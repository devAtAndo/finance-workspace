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Platform Nov 4-6 2025" state="visible" r:id="rId4"/>
    <sheet sheetId="2" name="Glovo Raw Nov 4-6 2025" state="visible" r:id="rId5"/>
    <sheet sheetId="3" name="Auditing Nov 4-6 2025" state="visible" r:id="rId6"/>
    <sheet sheetId="4" name="Payment Summary Nov 4-6 2025" state="visible" r:id="rId7"/>
  </sheets>
  <calcPr calcId="171027"/>
</workbook>
</file>

<file path=xl/sharedStrings.xml><?xml version="1.0" encoding="utf-8"?>
<sst xmlns="http://schemas.openxmlformats.org/spreadsheetml/2006/main" count="47954" uniqueCount="10644">
  <si>
    <t>OrderDate</t>
  </si>
  <si>
    <t>Hour</t>
  </si>
  <si>
    <t>OrderID</t>
  </si>
  <si>
    <t>Alternate_Id</t>
  </si>
  <si>
    <t>Restaurant</t>
  </si>
  <si>
    <t>Location</t>
  </si>
  <si>
    <t>Platform</t>
  </si>
  <si>
    <t>TotalSales</t>
  </si>
  <si>
    <t>Nov 6, 2025</t>
  </si>
  <si>
    <t>13.0</t>
  </si>
  <si>
    <t>E3753</t>
  </si>
  <si>
    <t>d311e99e-8294-4ea3-8a62-c7860c4e3753</t>
  </si>
  <si>
    <t>Siam - Thai Kitchen</t>
  </si>
  <si>
    <t>NSK NRB</t>
  </si>
  <si>
    <t>Uber KE</t>
  </si>
  <si>
    <t>1890.0</t>
  </si>
  <si>
    <t>17.0</t>
  </si>
  <si>
    <t>66951</t>
  </si>
  <si>
    <t>a1db4ea7-4976-49d8-aaba-6fbc0b766951</t>
  </si>
  <si>
    <t>Village Market NRB</t>
  </si>
  <si>
    <t>2390.0</t>
  </si>
  <si>
    <t>C851C</t>
  </si>
  <si>
    <t>510b3a2f-1439-431f-a743-5196b35c851c</t>
  </si>
  <si>
    <t>Khan's - Pakistani Kitchen</t>
  </si>
  <si>
    <t>Westlands NRB</t>
  </si>
  <si>
    <t>1500.0</t>
  </si>
  <si>
    <t>12.0</t>
  </si>
  <si>
    <t>17A3F</t>
  </si>
  <si>
    <t>88bf6653-8268-4004-a679-5f5a19617a3f</t>
  </si>
  <si>
    <t>Little Italy</t>
  </si>
  <si>
    <t>Kilimani NRB</t>
  </si>
  <si>
    <t>2250.0</t>
  </si>
  <si>
    <t>21.0</t>
  </si>
  <si>
    <t>360EA</t>
  </si>
  <si>
    <t>f23ed8a5-0965-4c75-a146-a9a71cd360ea</t>
  </si>
  <si>
    <t>DILLI! - Curries &amp; Grill</t>
  </si>
  <si>
    <t>1140.0</t>
  </si>
  <si>
    <t>18.0</t>
  </si>
  <si>
    <t>0D2F0</t>
  </si>
  <si>
    <t>4b934bbd-7fdf-4bf8-b220-0f587270d2f0</t>
  </si>
  <si>
    <t>Kai Sushi Bar</t>
  </si>
  <si>
    <t>7040.0</t>
  </si>
  <si>
    <t>19.0</t>
  </si>
  <si>
    <t>DD3D4</t>
  </si>
  <si>
    <t>d390f304-1588-4c00-9af2-ea35084dd3d4</t>
  </si>
  <si>
    <t>Marty's Famous Burgers</t>
  </si>
  <si>
    <t>2080.0</t>
  </si>
  <si>
    <t>8.0</t>
  </si>
  <si>
    <t>088F9</t>
  </si>
  <si>
    <t>b203c4ca-6fc4-4636-84a1-6c36dcb088f9</t>
  </si>
  <si>
    <t>SuperWings</t>
  </si>
  <si>
    <t>null</t>
  </si>
  <si>
    <t>10260.0</t>
  </si>
  <si>
    <t>9.0</t>
  </si>
  <si>
    <t>139333</t>
  </si>
  <si>
    <t>11986</t>
  </si>
  <si>
    <t>ANDO App</t>
  </si>
  <si>
    <t>920.0</t>
  </si>
  <si>
    <t>676E0</t>
  </si>
  <si>
    <t>0ee617a6-4279-489a-bab1-02e454f676e0</t>
  </si>
  <si>
    <t>Pasta Della Nonna</t>
  </si>
  <si>
    <t>2200.0</t>
  </si>
  <si>
    <t>101477071505</t>
  </si>
  <si>
    <t>Glovo</t>
  </si>
  <si>
    <t>2780.0</t>
  </si>
  <si>
    <t>1ANDMBP05669</t>
  </si>
  <si>
    <t>LTHCQF4T52GW</t>
  </si>
  <si>
    <t>ANDO</t>
  </si>
  <si>
    <t>1250.0</t>
  </si>
  <si>
    <t>2442F</t>
  </si>
  <si>
    <t>7d8c02d1-9003-468b-870d-f73bda42442f</t>
  </si>
  <si>
    <t>Hurlingham NRB</t>
  </si>
  <si>
    <t>1390.0</t>
  </si>
  <si>
    <t>11.0</t>
  </si>
  <si>
    <t>C7204</t>
  </si>
  <si>
    <t>c4780c7d-1567-4658-a195-72c5ee5c7204</t>
  </si>
  <si>
    <t>4110.0</t>
  </si>
  <si>
    <t>14.0</t>
  </si>
  <si>
    <t>D189C</t>
  </si>
  <si>
    <t>174ada5a-872c-4ce2-9aa4-2a8ad80d189c</t>
  </si>
  <si>
    <t>Ngong Rd NRB</t>
  </si>
  <si>
    <t>2230.0</t>
  </si>
  <si>
    <t>24404</t>
  </si>
  <si>
    <t>776fad5c-5d41-4194-9cc2-dadcc3f24404</t>
  </si>
  <si>
    <t>990.0</t>
  </si>
  <si>
    <t>ALTI05351</t>
  </si>
  <si>
    <t>LTHCQJWHNDCZ</t>
  </si>
  <si>
    <t>950.0</t>
  </si>
  <si>
    <t>6746B</t>
  </si>
  <si>
    <t>5feca9dc-9a38-4542-a0c2-29bd3eb6746b</t>
  </si>
  <si>
    <t>1050.0</t>
  </si>
  <si>
    <t>20.0</t>
  </si>
  <si>
    <t>48F04</t>
  </si>
  <si>
    <t>7fd815b0-0820-47df-a1bc-71c8d2048f04</t>
  </si>
  <si>
    <t>1101.0</t>
  </si>
  <si>
    <t>3F473</t>
  </si>
  <si>
    <t>d2ea0208-5786-44d6-a212-c5c67753f473</t>
  </si>
  <si>
    <t>Cape Town SA</t>
  </si>
  <si>
    <t>Uber SA</t>
  </si>
  <si>
    <t>159.0</t>
  </si>
  <si>
    <t>16.0</t>
  </si>
  <si>
    <t>13B51</t>
  </si>
  <si>
    <t>86e6554e-e1f8-4db2-b4eb-6c9dd8413b51</t>
  </si>
  <si>
    <t>993.0</t>
  </si>
  <si>
    <t>E476C</t>
  </si>
  <si>
    <t>d0ae2ce2-4938-4e54-9d92-ea722cfe476c</t>
  </si>
  <si>
    <t>3650.0</t>
  </si>
  <si>
    <t>39E8A</t>
  </si>
  <si>
    <t>60e5ebee-c915-4764-8ba8-4090ba039e8a</t>
  </si>
  <si>
    <t>1215.0</t>
  </si>
  <si>
    <t>936B0</t>
  </si>
  <si>
    <t>4c6db5e1-e1b2-4ada-ae6f-043aee4936b0</t>
  </si>
  <si>
    <t>1730.0</t>
  </si>
  <si>
    <t>15.0</t>
  </si>
  <si>
    <t>A9E26</t>
  </si>
  <si>
    <t>23ad1e18-1517-4062-af6f-1dfba2ca9e26</t>
  </si>
  <si>
    <t>ANDO Kitchens</t>
  </si>
  <si>
    <t>1310.0</t>
  </si>
  <si>
    <t>A8FDC</t>
  </si>
  <si>
    <t>ec914e38-e5c2-476b-8755-cc0c049a8fdc</t>
  </si>
  <si>
    <t>9C447</t>
  </si>
  <si>
    <t>e4eb4cf9-3262-4c7d-90ee-49ff5599c447</t>
  </si>
  <si>
    <t>1090.0</t>
  </si>
  <si>
    <t>10.0</t>
  </si>
  <si>
    <t>4CC48</t>
  </si>
  <si>
    <t>0dd276da-3eb1-4432-835f-b64cbf34cc48</t>
  </si>
  <si>
    <t>AMR01685</t>
  </si>
  <si>
    <t>LTHCQC1QHSIH</t>
  </si>
  <si>
    <t>1180.0</t>
  </si>
  <si>
    <t>138425</t>
  </si>
  <si>
    <t>12000</t>
  </si>
  <si>
    <t>1680.0</t>
  </si>
  <si>
    <t>BF027</t>
  </si>
  <si>
    <t>a2514a2e-031b-4854-ac3b-6a2ecafbf027</t>
  </si>
  <si>
    <t>6050.0</t>
  </si>
  <si>
    <t>8CA87</t>
  </si>
  <si>
    <t>cbdae769-1aee-492f-9089-a26b94e8ca87</t>
  </si>
  <si>
    <t>1150.0</t>
  </si>
  <si>
    <t>D119B</t>
  </si>
  <si>
    <t>ede90f05-626b-42b7-8f84-f9d9daad119b</t>
  </si>
  <si>
    <t>1290.0</t>
  </si>
  <si>
    <t>AMR01693</t>
  </si>
  <si>
    <t>LTHCQIR2B90M</t>
  </si>
  <si>
    <t>340.0</t>
  </si>
  <si>
    <t>2B27A</t>
  </si>
  <si>
    <t>e17fb02a-0871-41a8-bf51-46d50d12b27a</t>
  </si>
  <si>
    <t>1600.0</t>
  </si>
  <si>
    <t>54A4E</t>
  </si>
  <si>
    <t>3a874ef7-bcbb-4dd6-a356-7725ea654a4e</t>
  </si>
  <si>
    <t>2750.0</t>
  </si>
  <si>
    <t>65DC2</t>
  </si>
  <si>
    <t>97fef7db-a7d7-4886-92fa-301f25065dc2</t>
  </si>
  <si>
    <t>4460.0</t>
  </si>
  <si>
    <t>ALTI05342</t>
  </si>
  <si>
    <t>LTHCQIRAN5OJ</t>
  </si>
  <si>
    <t>1830.0</t>
  </si>
  <si>
    <t>101477460377</t>
  </si>
  <si>
    <t>3800.0</t>
  </si>
  <si>
    <t>1ANDMBP05673</t>
  </si>
  <si>
    <t>LTHCQIPVSDN9</t>
  </si>
  <si>
    <t>1200.0</t>
  </si>
  <si>
    <t>C6AD2</t>
  </si>
  <si>
    <t>ebdd7f51-a51a-494f-bf5c-2b418b4c6ad2</t>
  </si>
  <si>
    <t>3230.0</t>
  </si>
  <si>
    <t>00D20</t>
  </si>
  <si>
    <t>35011c69-b7df-4f4d-8527-3bd4bf600d20</t>
  </si>
  <si>
    <t>325.0</t>
  </si>
  <si>
    <t>436A9</t>
  </si>
  <si>
    <t>31815c68-13c0-48d6-8c8b-a56b809436a9</t>
  </si>
  <si>
    <t>415.0</t>
  </si>
  <si>
    <t>135463</t>
  </si>
  <si>
    <t>11992</t>
  </si>
  <si>
    <t>Bibi's Swahili Kitchen</t>
  </si>
  <si>
    <t>1740.0</t>
  </si>
  <si>
    <t>95F72</t>
  </si>
  <si>
    <t>4a379d02-4cbe-41d6-9ac6-112dca295f72</t>
  </si>
  <si>
    <t>135.0</t>
  </si>
  <si>
    <t>E5ACA</t>
  </si>
  <si>
    <t>517b9ada-4322-4196-9903-cee8402e5aca</t>
  </si>
  <si>
    <t>1513.0</t>
  </si>
  <si>
    <t>EADB9</t>
  </si>
  <si>
    <t>fcbac148-9116-48b7-b593-550b165eadb9</t>
  </si>
  <si>
    <t>1699.0</t>
  </si>
  <si>
    <t>22.0</t>
  </si>
  <si>
    <t>6C224</t>
  </si>
  <si>
    <t>eae1423c-f397-49d2-b253-dd59f8c6c224</t>
  </si>
  <si>
    <t>4270.0</t>
  </si>
  <si>
    <t>707A7</t>
  </si>
  <si>
    <t>757b1a86-0cc0-4007-9e06-2d6e4d0707a7</t>
  </si>
  <si>
    <t>3210.0</t>
  </si>
  <si>
    <t>101477150922</t>
  </si>
  <si>
    <t>AURO</t>
  </si>
  <si>
    <t>3900.0</t>
  </si>
  <si>
    <t>7D9D7</t>
  </si>
  <si>
    <t>0092c6d2-df11-4e69-bba3-027329c7d9d7</t>
  </si>
  <si>
    <t>2210.0</t>
  </si>
  <si>
    <t>101477066402</t>
  </si>
  <si>
    <t>2400.0</t>
  </si>
  <si>
    <t>FA262</t>
  </si>
  <si>
    <t>75324413-f309-4489-a893-d2cabf0fa262</t>
  </si>
  <si>
    <t>1750.0</t>
  </si>
  <si>
    <t>AMR01695</t>
  </si>
  <si>
    <t>LT4TJDA37DSXG</t>
  </si>
  <si>
    <t>BF760</t>
  </si>
  <si>
    <t>171d0723-40bc-4e4d-8139-e808ab5bf760</t>
  </si>
  <si>
    <t>1220.0</t>
  </si>
  <si>
    <t>47B88</t>
  </si>
  <si>
    <t>0b98266e-5e45-4f19-986d-43538a647b88</t>
  </si>
  <si>
    <t>7010.0</t>
  </si>
  <si>
    <t>0CD4C</t>
  </si>
  <si>
    <t>1b6e5650-e4db-448b-99c1-5643b190cd4c</t>
  </si>
  <si>
    <t>2509.0</t>
  </si>
  <si>
    <t>25E25</t>
  </si>
  <si>
    <t>ad7980ce-ed7d-40a6-997f-11949c425e25</t>
  </si>
  <si>
    <t>1815.0</t>
  </si>
  <si>
    <t>112128</t>
  </si>
  <si>
    <t>11995</t>
  </si>
  <si>
    <t>1950.0</t>
  </si>
  <si>
    <t>B0FC8</t>
  </si>
  <si>
    <t>fee6a813-a74a-4e5a-8bd9-b9c12e1b0fc8</t>
  </si>
  <si>
    <t>2770.0</t>
  </si>
  <si>
    <t>1ANDMBP05671</t>
  </si>
  <si>
    <t>LTHCQGV7YCU3</t>
  </si>
  <si>
    <t>1690.0</t>
  </si>
  <si>
    <t>ADLY05323</t>
  </si>
  <si>
    <t>LTHCQBQW3GD3</t>
  </si>
  <si>
    <t>26C8C</t>
  </si>
  <si>
    <t>395d9ce4-1969-406d-98c8-2021aad26c8c</t>
  </si>
  <si>
    <t>2490.0</t>
  </si>
  <si>
    <t>96C69</t>
  </si>
  <si>
    <t>f23ce094-e488-4bd0-8cb0-f63ab4696c69</t>
  </si>
  <si>
    <t>3550.0</t>
  </si>
  <si>
    <t>17644</t>
  </si>
  <si>
    <t>843cebad-fb45-4a14-b2a2-c22d76917644</t>
  </si>
  <si>
    <t>3430.0</t>
  </si>
  <si>
    <t>ALTI05321</t>
  </si>
  <si>
    <t>LTHCQ7RQYIK4</t>
  </si>
  <si>
    <t>1640.0</t>
  </si>
  <si>
    <t>0BC22</t>
  </si>
  <si>
    <t>ccc9841b-f73e-42ff-9e7f-d1c20f60bc22</t>
  </si>
  <si>
    <t>2280.0</t>
  </si>
  <si>
    <t>AMR01692</t>
  </si>
  <si>
    <t>LT4TJD5V1S1MG</t>
  </si>
  <si>
    <t>ALTI05324</t>
  </si>
  <si>
    <t>LT4TJBZ6OVQ5A</t>
  </si>
  <si>
    <t>2547E</t>
  </si>
  <si>
    <t>5f271304-5246-4720-bac3-d2d5a212547e</t>
  </si>
  <si>
    <t>2190.0</t>
  </si>
  <si>
    <t>ANDVI00003</t>
  </si>
  <si>
    <t>LTHCQC3DNRF3</t>
  </si>
  <si>
    <t>2890.0</t>
  </si>
  <si>
    <t>101477539337</t>
  </si>
  <si>
    <t>5320.0</t>
  </si>
  <si>
    <t>00424</t>
  </si>
  <si>
    <t>bc2e3eda-962a-4216-a99c-5df35da00424</t>
  </si>
  <si>
    <t>3810.0</t>
  </si>
  <si>
    <t>69BAC</t>
  </si>
  <si>
    <t>1033fd61-d483-4a84-90c5-dd836dd69bac</t>
  </si>
  <si>
    <t>2575.0</t>
  </si>
  <si>
    <t>ALTI05320</t>
  </si>
  <si>
    <t>LTHCQ65Z4OCT</t>
  </si>
  <si>
    <t>390.0</t>
  </si>
  <si>
    <t>42F02</t>
  </si>
  <si>
    <t>f461e2bd-a4c6-4a2a-834d-9b7e17442f02</t>
  </si>
  <si>
    <t>1480.0</t>
  </si>
  <si>
    <t>1DD8B</t>
  </si>
  <si>
    <t>8f20d3f8-5424-4dbe-ad1d-9de521b1dd8b</t>
  </si>
  <si>
    <t>180.0</t>
  </si>
  <si>
    <t>101477472920</t>
  </si>
  <si>
    <t>3220.0</t>
  </si>
  <si>
    <t>651C7</t>
  </si>
  <si>
    <t>6fcd0c7d-c464-4ee6-a51c-131f655651c7</t>
  </si>
  <si>
    <t>21F98</t>
  </si>
  <si>
    <t>9dcba978-2f40-4afc-8f9a-a02287121f98</t>
  </si>
  <si>
    <t>08E60</t>
  </si>
  <si>
    <t>2d5cd1de-d48b-4230-a98d-d1dc4e508e60</t>
  </si>
  <si>
    <t>Tandoori Patio</t>
  </si>
  <si>
    <t>2670.0</t>
  </si>
  <si>
    <t>AMR01687</t>
  </si>
  <si>
    <t>LTHCQFYU32TD</t>
  </si>
  <si>
    <t>AMR01688</t>
  </si>
  <si>
    <t>LTHCQGXHRT4M</t>
  </si>
  <si>
    <t>1130.0</t>
  </si>
  <si>
    <t>C7635</t>
  </si>
  <si>
    <t>202f31f5-42fa-41c7-85fc-f635b98c7635</t>
  </si>
  <si>
    <t>BA8E4</t>
  </si>
  <si>
    <t>86a6a95c-81c7-471b-8924-495740bba8e4</t>
  </si>
  <si>
    <t>3700.0</t>
  </si>
  <si>
    <t>101477240388</t>
  </si>
  <si>
    <t>5200.0</t>
  </si>
  <si>
    <t>E75CB</t>
  </si>
  <si>
    <t>aa905f28-f938-4732-8aea-467afb6e75cb</t>
  </si>
  <si>
    <t>B31E1</t>
  </si>
  <si>
    <t>00b6577c-8038-4e96-a459-6972308b31e1</t>
  </si>
  <si>
    <t>AKLL10015</t>
  </si>
  <si>
    <t>LTHCQHLS77DI</t>
  </si>
  <si>
    <t>1470.0</t>
  </si>
  <si>
    <t>02DF3</t>
  </si>
  <si>
    <t>03fb65bf-e448-42e2-b1d4-805e55402df3</t>
  </si>
  <si>
    <t>710.0</t>
  </si>
  <si>
    <t>101477122757</t>
  </si>
  <si>
    <t>2880.0</t>
  </si>
  <si>
    <t>101477097920</t>
  </si>
  <si>
    <t>2820.0</t>
  </si>
  <si>
    <t>EFD2D</t>
  </si>
  <si>
    <t>2d6528ba-9758-47c7-aef0-c63c118efd2d</t>
  </si>
  <si>
    <t>2970.0</t>
  </si>
  <si>
    <t>E77A8</t>
  </si>
  <si>
    <t>e47fee94-c2ee-41de-a89c-48a3a22e77a8</t>
  </si>
  <si>
    <t>4710.0</t>
  </si>
  <si>
    <t>ALTI05332</t>
  </si>
  <si>
    <t>LT4TJCOSZ2FS8</t>
  </si>
  <si>
    <t>3720.0</t>
  </si>
  <si>
    <t>B953A</t>
  </si>
  <si>
    <t>81e64748-741c-4a73-bf32-15f958db953a</t>
  </si>
  <si>
    <t>3490.0</t>
  </si>
  <si>
    <t>101477398665</t>
  </si>
  <si>
    <t>3640.0</t>
  </si>
  <si>
    <t>04337</t>
  </si>
  <si>
    <t>595dd9e9-4757-4ad7-97f7-0c5c62e04337</t>
  </si>
  <si>
    <t>ALTI05334</t>
  </si>
  <si>
    <t>LTHCQH9CP9T8</t>
  </si>
  <si>
    <t>1530.0</t>
  </si>
  <si>
    <t>ANDOWES00327452</t>
  </si>
  <si>
    <t>LTHCQGJ4Z5P9</t>
  </si>
  <si>
    <t>4000.0</t>
  </si>
  <si>
    <t>5E69D</t>
  </si>
  <si>
    <t>5c7af65d-e44a-4170-bd0e-ff1d0ab5e69d</t>
  </si>
  <si>
    <t>Pizza Corner, Since 1989</t>
  </si>
  <si>
    <t>3425.0</t>
  </si>
  <si>
    <t>B4DCC</t>
  </si>
  <si>
    <t>ee65b25e-5779-45d7-8ee2-5f27713b4dcc</t>
  </si>
  <si>
    <t>101477119738</t>
  </si>
  <si>
    <t>2380.0</t>
  </si>
  <si>
    <t>AMR01690</t>
  </si>
  <si>
    <t>LT4TJCSWVGXPM</t>
  </si>
  <si>
    <t>1080.0</t>
  </si>
  <si>
    <t>ALTI05340</t>
  </si>
  <si>
    <t>LT4TJD1BLPODK</t>
  </si>
  <si>
    <t>1370.0</t>
  </si>
  <si>
    <t>2CE47</t>
  </si>
  <si>
    <t>4714a8c4-5060-46ca-bb77-9c8def12ce47</t>
  </si>
  <si>
    <t>1590.0</t>
  </si>
  <si>
    <t>15984</t>
  </si>
  <si>
    <t>2ca4ea6e-b245-4a61-a304-035554c15984</t>
  </si>
  <si>
    <t>Pot of Jollof Kitchen, Kilimani</t>
  </si>
  <si>
    <t>3760.0</t>
  </si>
  <si>
    <t>2F124</t>
  </si>
  <si>
    <t>b902e5f5-aa04-4002-b909-f21bf652f124</t>
  </si>
  <si>
    <t>3089.0</t>
  </si>
  <si>
    <t>ANDVI00008</t>
  </si>
  <si>
    <t>LT4TJBGYRMTJU</t>
  </si>
  <si>
    <t>2320.0</t>
  </si>
  <si>
    <t>7D4C7</t>
  </si>
  <si>
    <t>ccd93cbf-7030-4a8e-a8bd-890053a7d4c7</t>
  </si>
  <si>
    <t>2240.0</t>
  </si>
  <si>
    <t>68E6A</t>
  </si>
  <si>
    <t>ac9a4889-7dbd-45f9-8cb1-468f28868e6a</t>
  </si>
  <si>
    <t>3500.0</t>
  </si>
  <si>
    <t>E23EE</t>
  </si>
  <si>
    <t>de653ed3-ed26-4773-bc19-10eb230e23ee</t>
  </si>
  <si>
    <t>2690.0</t>
  </si>
  <si>
    <t>34943</t>
  </si>
  <si>
    <t>f67873a8-faa2-4f3d-a9a4-439d27634943</t>
  </si>
  <si>
    <t>300.0</t>
  </si>
  <si>
    <t>17ACB</t>
  </si>
  <si>
    <t>2dff784a-56cb-4cdb-a9b5-5f6504817acb</t>
  </si>
  <si>
    <t>1350.0</t>
  </si>
  <si>
    <t>BBBA1</t>
  </si>
  <si>
    <t>cf34011e-b805-4e12-9ae4-58294f1bbba1</t>
  </si>
  <si>
    <t>3130.0</t>
  </si>
  <si>
    <t>2F5C4</t>
  </si>
  <si>
    <t>e83fabd5-6c32-44ef-a101-594372a2f5c4</t>
  </si>
  <si>
    <t>BA9FA</t>
  </si>
  <si>
    <t>859cb4cc-15df-4c87-9af3-4687c11ba9fa</t>
  </si>
  <si>
    <t>1190.0</t>
  </si>
  <si>
    <t>DD3B3</t>
  </si>
  <si>
    <t>504b1239-2ea5-46f0-853a-939db2fdd3b3</t>
  </si>
  <si>
    <t>1170.0</t>
  </si>
  <si>
    <t>ALTI05328</t>
  </si>
  <si>
    <t>LTHCQG6KQFZL</t>
  </si>
  <si>
    <t>0CE3F</t>
  </si>
  <si>
    <t>28b969a2-9930-4da5-8d28-6bf5ec70ce3f</t>
  </si>
  <si>
    <t>47F74</t>
  </si>
  <si>
    <t>f0792d7e-0d1a-4194-99a1-747bdd947f74</t>
  </si>
  <si>
    <t>1E869</t>
  </si>
  <si>
    <t>9b633c07-c6d2-4a23-94a1-8b4fbfb1e869</t>
  </si>
  <si>
    <t>2800.0</t>
  </si>
  <si>
    <t>733B0</t>
  </si>
  <si>
    <t>d802b2d6-54fa-4ffd-b0b7-718f02e733b0</t>
  </si>
  <si>
    <t>Open House Restaurant</t>
  </si>
  <si>
    <t>4690.0</t>
  </si>
  <si>
    <t>A31AC</t>
  </si>
  <si>
    <t>cbe25dd5-044f-44ee-bf3c-e285d48a31ac</t>
  </si>
  <si>
    <t>81608</t>
  </si>
  <si>
    <t>12ac153a-de9f-4f81-ab99-476b24081608</t>
  </si>
  <si>
    <t>EF491</t>
  </si>
  <si>
    <t>01615dcf-c940-4ec0-abec-dad3542ef491</t>
  </si>
  <si>
    <t>12B6C</t>
  </si>
  <si>
    <t>351819e0-2c62-4c41-a0ae-ec2c47e12b6c</t>
  </si>
  <si>
    <t>1985.0</t>
  </si>
  <si>
    <t>FF96A</t>
  </si>
  <si>
    <t>f0c1b024-0271-436b-93da-d1d4bffff96a</t>
  </si>
  <si>
    <t>830F6</t>
  </si>
  <si>
    <t>0bdb8792-e2e1-43c9-b2e6-7c8d001830f6</t>
  </si>
  <si>
    <t>2270.0</t>
  </si>
  <si>
    <t>8D824</t>
  </si>
  <si>
    <t>b9dc2201-bdcf-446f-85f6-ee2280c8d824</t>
  </si>
  <si>
    <t>2180.0</t>
  </si>
  <si>
    <t>AKLL10011</t>
  </si>
  <si>
    <t>LTHCQ6GHV21U</t>
  </si>
  <si>
    <t>9A01A</t>
  </si>
  <si>
    <t>60099507-dbde-452a-a922-651c7b79a01a</t>
  </si>
  <si>
    <t>2910.0</t>
  </si>
  <si>
    <t>E22EF</t>
  </si>
  <si>
    <t>b2424f3e-18e2-4785-968e-b8d0986e22ef</t>
  </si>
  <si>
    <t>1360.0</t>
  </si>
  <si>
    <t>127717</t>
  </si>
  <si>
    <t>11994</t>
  </si>
  <si>
    <t>ANDOWES00327449</t>
  </si>
  <si>
    <t>LTHCQ9UL6XZS</t>
  </si>
  <si>
    <t>2640.0</t>
  </si>
  <si>
    <t>26EC4</t>
  </si>
  <si>
    <t>b220ebd5-cfd8-4582-aea0-c18934c26ec4</t>
  </si>
  <si>
    <t>AMR01697</t>
  </si>
  <si>
    <t>LT4TJE0WFN6UI</t>
  </si>
  <si>
    <t>2340.0</t>
  </si>
  <si>
    <t>90122</t>
  </si>
  <si>
    <t>f432211d-e195-43ba-9fad-cd4cdd190122</t>
  </si>
  <si>
    <t>2070.0</t>
  </si>
  <si>
    <t>C6762</t>
  </si>
  <si>
    <t>635299b7-cd17-4bae-ad6c-9a93a0cc6762</t>
  </si>
  <si>
    <t>Bombay Canteen - Chai &amp; Snacks</t>
  </si>
  <si>
    <t>930.0</t>
  </si>
  <si>
    <t>ALTI05322</t>
  </si>
  <si>
    <t>LTHCQ8QGTC50</t>
  </si>
  <si>
    <t>77160</t>
  </si>
  <si>
    <t>5158d3e2-699d-4af4-8c73-20245a577160</t>
  </si>
  <si>
    <t>ALTI05349</t>
  </si>
  <si>
    <t>LTHCQJSONXXG</t>
  </si>
  <si>
    <t>880.0</t>
  </si>
  <si>
    <t>6B933</t>
  </si>
  <si>
    <t>97113a5e-cb6b-4ea5-84f2-8c0cd5d6b933</t>
  </si>
  <si>
    <t>1490.0</t>
  </si>
  <si>
    <t>5F155</t>
  </si>
  <si>
    <t>158c6a11-909e-4e68-aff0-7482b0d5f155</t>
  </si>
  <si>
    <t>1610.0</t>
  </si>
  <si>
    <t>79A8A</t>
  </si>
  <si>
    <t>ea4ed843-f2eb-4ab3-994b-c8f8fa179a8a</t>
  </si>
  <si>
    <t>139762</t>
  </si>
  <si>
    <t>11999</t>
  </si>
  <si>
    <t>ALTI05318</t>
  </si>
  <si>
    <t>LTHCQ54P1BJW</t>
  </si>
  <si>
    <t>ALTI05344</t>
  </si>
  <si>
    <t>LTHCQJAAHBUA</t>
  </si>
  <si>
    <t>550.0</t>
  </si>
  <si>
    <t>ALTI05346</t>
  </si>
  <si>
    <t>LTHCQJDCK8WJ</t>
  </si>
  <si>
    <t>1550.0</t>
  </si>
  <si>
    <t>AMR01686</t>
  </si>
  <si>
    <t>LTHCQC30SOD8</t>
  </si>
  <si>
    <t>101477175155</t>
  </si>
  <si>
    <t>3180.0</t>
  </si>
  <si>
    <t>101477463665</t>
  </si>
  <si>
    <t>1060.0</t>
  </si>
  <si>
    <t>EC346</t>
  </si>
  <si>
    <t>bb7402ce-9900-4fb1-b81e-45daa27ec346</t>
  </si>
  <si>
    <t>Burger Hut, Since 1986</t>
  </si>
  <si>
    <t>2815.0</t>
  </si>
  <si>
    <t>CE82B</t>
  </si>
  <si>
    <t>a3cb995f-89c2-498a-a4da-9acfe19ce82b</t>
  </si>
  <si>
    <t>1880.0</t>
  </si>
  <si>
    <t>101477455020</t>
  </si>
  <si>
    <t>2600.0</t>
  </si>
  <si>
    <t>D60CE</t>
  </si>
  <si>
    <t>3c24d6f1-b17f-420c-baa2-6c8b923d60ce</t>
  </si>
  <si>
    <t>1990.0</t>
  </si>
  <si>
    <t>438A6</t>
  </si>
  <si>
    <t>7049020b-dc28-4950-aa3e-5203183438a6</t>
  </si>
  <si>
    <t>C8505</t>
  </si>
  <si>
    <t>d8ba38e6-1832-405d-a450-500f391c8505</t>
  </si>
  <si>
    <t>2680.0</t>
  </si>
  <si>
    <t>80A89</t>
  </si>
  <si>
    <t>d77d6646-765e-4c35-a836-45dd62480a89</t>
  </si>
  <si>
    <t>1165.0</t>
  </si>
  <si>
    <t>E9DBB</t>
  </si>
  <si>
    <t>cca4f5d3-563c-47dd-a8bf-5bcff56e9dbb</t>
  </si>
  <si>
    <t>1739.0</t>
  </si>
  <si>
    <t>101477405691</t>
  </si>
  <si>
    <t>76196</t>
  </si>
  <si>
    <t>3aef9437-18b1-43eb-bc6f-89ce1a076196</t>
  </si>
  <si>
    <t>101477051783</t>
  </si>
  <si>
    <t>7740.0</t>
  </si>
  <si>
    <t>ALTI05348</t>
  </si>
  <si>
    <t>LT4TJDHCN4K2M</t>
  </si>
  <si>
    <t>A5C44</t>
  </si>
  <si>
    <t>881db8d3-b086-447b-8cd2-08aa1e9a5c44</t>
  </si>
  <si>
    <t>7210.0</t>
  </si>
  <si>
    <t>7612F</t>
  </si>
  <si>
    <t>7ade6ecd-1d8a-4091-8772-72473787612f</t>
  </si>
  <si>
    <t>34B58</t>
  </si>
  <si>
    <t>95b1a51e-480c-46ae-8a9c-172d81934b58</t>
  </si>
  <si>
    <t>1340.0</t>
  </si>
  <si>
    <t>15142</t>
  </si>
  <si>
    <t>4e814c42-7a17-4556-bc67-40a34e815142</t>
  </si>
  <si>
    <t>TastiWOK</t>
  </si>
  <si>
    <t>1940.0</t>
  </si>
  <si>
    <t>C1A80</t>
  </si>
  <si>
    <t>fed36328-69ba-47cd-b8d1-b278aa0c1a80</t>
  </si>
  <si>
    <t>1450.0</t>
  </si>
  <si>
    <t>9E437</t>
  </si>
  <si>
    <t>df4b5970-ec8d-4c0f-b414-a8686419e437</t>
  </si>
  <si>
    <t>101477132100</t>
  </si>
  <si>
    <t>10770.0</t>
  </si>
  <si>
    <t>ALTI05337</t>
  </si>
  <si>
    <t>LTHCQHFF9LC0</t>
  </si>
  <si>
    <t>3100.0</t>
  </si>
  <si>
    <t>ANDVI00001</t>
  </si>
  <si>
    <t>LTHCQBY3G3ZW</t>
  </si>
  <si>
    <t>3270.0</t>
  </si>
  <si>
    <t>ALTI05341</t>
  </si>
  <si>
    <t>LTHCQIET4OBG</t>
  </si>
  <si>
    <t>4A0CA</t>
  </si>
  <si>
    <t>c478f262-14b3-4e6b-9f84-d7981684a0ca</t>
  </si>
  <si>
    <t>C8C6B</t>
  </si>
  <si>
    <t>8c5f4c42-68d6-4b0b-8b5d-56928eac8c6b</t>
  </si>
  <si>
    <t>4040.0</t>
  </si>
  <si>
    <t>4E193</t>
  </si>
  <si>
    <t>9b751ef5-3a43-4fd9-84b6-e9c67344e193</t>
  </si>
  <si>
    <t>Lagos Suya Spot, Nigerian Restaurant</t>
  </si>
  <si>
    <t>2840.0</t>
  </si>
  <si>
    <t>8C712</t>
  </si>
  <si>
    <t>42c0f1fd-f692-41ff-8221-cb0f2718c712</t>
  </si>
  <si>
    <t>2000.0</t>
  </si>
  <si>
    <t>57D5D</t>
  </si>
  <si>
    <t>37ae8e5b-45b8-4c50-b499-98bbeb457d5d</t>
  </si>
  <si>
    <t>1811.0</t>
  </si>
  <si>
    <t>90BE0</t>
  </si>
  <si>
    <t>292f4031-6840-4138-be99-a0fa87590be0</t>
  </si>
  <si>
    <t>1320.0</t>
  </si>
  <si>
    <t>101477515959</t>
  </si>
  <si>
    <t>5060.0</t>
  </si>
  <si>
    <t>C5926</t>
  </si>
  <si>
    <t>53a531e9-8c69-4e6f-b576-114668cc5926</t>
  </si>
  <si>
    <t>1720.0</t>
  </si>
  <si>
    <t>AKLL10016</t>
  </si>
  <si>
    <t>LTHCQI8GV0DM</t>
  </si>
  <si>
    <t>A2662</t>
  </si>
  <si>
    <t>98326be4-4fb3-4537-a86d-d5c0dcfa2662</t>
  </si>
  <si>
    <t>1040.0</t>
  </si>
  <si>
    <t>2F18F</t>
  </si>
  <si>
    <t>4bef2f98-3e6e-4a30-8195-927f64b2f18f</t>
  </si>
  <si>
    <t>5810.0</t>
  </si>
  <si>
    <t>139573</t>
  </si>
  <si>
    <t>11996</t>
  </si>
  <si>
    <t>Afrinaija Pots Restaurant</t>
  </si>
  <si>
    <t>Kigali Rwanda</t>
  </si>
  <si>
    <t>12000.0</t>
  </si>
  <si>
    <t>101477070884</t>
  </si>
  <si>
    <t>4B7F8</t>
  </si>
  <si>
    <t>dcbf5c00-592d-4771-94f2-46f7bf44b7f8</t>
  </si>
  <si>
    <t>4570.0</t>
  </si>
  <si>
    <t>CA608</t>
  </si>
  <si>
    <t>2d151fac-dd39-4e8a-926c-32d9130ca608</t>
  </si>
  <si>
    <t>AMR01691</t>
  </si>
  <si>
    <t>LT4TJD3FPSAMW</t>
  </si>
  <si>
    <t>3DB03</t>
  </si>
  <si>
    <t>8fbb67e7-4316-479f-a381-260e4c53db03</t>
  </si>
  <si>
    <t>ALTI05339</t>
  </si>
  <si>
    <t>LTHCQI3MW9CF</t>
  </si>
  <si>
    <t>2540.0</t>
  </si>
  <si>
    <t>23FC1</t>
  </si>
  <si>
    <t>54695079-576e-4530-9f19-c02779e23fc1</t>
  </si>
  <si>
    <t>1249.0</t>
  </si>
  <si>
    <t>0C798</t>
  </si>
  <si>
    <t>74fad857-fc8e-4e52-92e7-d8898700c798</t>
  </si>
  <si>
    <t>1270.0</t>
  </si>
  <si>
    <t>54934</t>
  </si>
  <si>
    <t>3574e67a-82da-4ae7-b551-feb45d354934</t>
  </si>
  <si>
    <t>2020.0</t>
  </si>
  <si>
    <t>34D7B</t>
  </si>
  <si>
    <t>4741b42b-b368-4505-b238-d7bb0ea34d7b</t>
  </si>
  <si>
    <t>1960.0</t>
  </si>
  <si>
    <t>92724</t>
  </si>
  <si>
    <t>2da820a2-b29e-40c2-8721-3a7d63b92724</t>
  </si>
  <si>
    <t>ANDOWES00327456</t>
  </si>
  <si>
    <t>LT4TJCYSE7888</t>
  </si>
  <si>
    <t>1420.0</t>
  </si>
  <si>
    <t>9B877</t>
  </si>
  <si>
    <t>250a73c9-ae70-4d38-91c9-3f452859b877</t>
  </si>
  <si>
    <t>101477291607</t>
  </si>
  <si>
    <t>101477415883</t>
  </si>
  <si>
    <t>12320.0</t>
  </si>
  <si>
    <t>D216D</t>
  </si>
  <si>
    <t>b627c54d-9f71-4be0-b36c-e2de537d216d</t>
  </si>
  <si>
    <t>4679.0</t>
  </si>
  <si>
    <t>C0629</t>
  </si>
  <si>
    <t>604282f8-1e7b-445f-87f9-106c900c0629</t>
  </si>
  <si>
    <t>ALTI05330</t>
  </si>
  <si>
    <t>LTHCQGO7XYSO</t>
  </si>
  <si>
    <t>BA23E</t>
  </si>
  <si>
    <t>08d0bec8-c82c-4530-a10a-581ff46ba23e</t>
  </si>
  <si>
    <t>D18DA</t>
  </si>
  <si>
    <t>36a46ad9-6f05-4213-8cf3-f3fabb6d18da</t>
  </si>
  <si>
    <t>3799.0</t>
  </si>
  <si>
    <t>BA947</t>
  </si>
  <si>
    <t>0eca11c9-99fa-4407-adaf-dc1d9a4ba947</t>
  </si>
  <si>
    <t>4BECE</t>
  </si>
  <si>
    <t>df1836f6-4efb-43a3-adfd-eb198384bece</t>
  </si>
  <si>
    <t>3450.0</t>
  </si>
  <si>
    <t>101477221146</t>
  </si>
  <si>
    <t>2920.0</t>
  </si>
  <si>
    <t>C4B02</t>
  </si>
  <si>
    <t>40388393-c6cf-4e75-a99f-0ab0828c4b02</t>
  </si>
  <si>
    <t>ANDOWES00327454</t>
  </si>
  <si>
    <t>LTHCQGW6UIRY</t>
  </si>
  <si>
    <t>58705</t>
  </si>
  <si>
    <t>4e404203-80cb-415e-9344-f812c7658705</t>
  </si>
  <si>
    <t>1319.0</t>
  </si>
  <si>
    <t>101477302149</t>
  </si>
  <si>
    <t>6510.0</t>
  </si>
  <si>
    <t>BF6DE</t>
  </si>
  <si>
    <t>0f4c537f-dfc0-4460-991d-a0ca4c8bf6de</t>
  </si>
  <si>
    <t xml:space="preserve">Pot of Jollof Kitchen, Westlands </t>
  </si>
  <si>
    <t>92309</t>
  </si>
  <si>
    <t>9881525c-5d44-44d3-a1cd-8e9e4ef92309</t>
  </si>
  <si>
    <t>5100.0</t>
  </si>
  <si>
    <t>E907E</t>
  </si>
  <si>
    <t>6d07b5fd-5a0b-49d0-807c-240d7dee907e</t>
  </si>
  <si>
    <t>1000.0</t>
  </si>
  <si>
    <t>ANDVI00011</t>
  </si>
  <si>
    <t>LTHCQHHEZYRL</t>
  </si>
  <si>
    <t>2650.0</t>
  </si>
  <si>
    <t>4B953</t>
  </si>
  <si>
    <t>20f313d9-8541-4a85-bb5e-c7506a84b953</t>
  </si>
  <si>
    <t>Om El Dunia, Authentic Arabian Flavors</t>
  </si>
  <si>
    <t>1057.0</t>
  </si>
  <si>
    <t>91DEE</t>
  </si>
  <si>
    <t>180a3394-c1cd-46da-93cb-d99541491dee</t>
  </si>
  <si>
    <t>D28EE</t>
  </si>
  <si>
    <t>d2ddd189-ff3f-48cf-90a8-7f26b7dd28ee</t>
  </si>
  <si>
    <t>All Day Drinks</t>
  </si>
  <si>
    <t>4500.0</t>
  </si>
  <si>
    <t>ALTI05352</t>
  </si>
  <si>
    <t>LT4TJDKRJOW12</t>
  </si>
  <si>
    <t>2580.0</t>
  </si>
  <si>
    <t>101477091498</t>
  </si>
  <si>
    <t>101477118635</t>
  </si>
  <si>
    <t>F1CC6</t>
  </si>
  <si>
    <t>e2e6f4df-6f90-4a73-a032-c34a218f1cc6</t>
  </si>
  <si>
    <t>53C41</t>
  </si>
  <si>
    <t>7933bede-2e42-410c-82c3-3e86b6453c41</t>
  </si>
  <si>
    <t>2075.0</t>
  </si>
  <si>
    <t>101477249215</t>
  </si>
  <si>
    <t>2980.0</t>
  </si>
  <si>
    <t>03A80</t>
  </si>
  <si>
    <t>eccfa949-8804-4ca6-814e-694049f03a80</t>
  </si>
  <si>
    <t>3200.0</t>
  </si>
  <si>
    <t>0398F</t>
  </si>
  <si>
    <t>17788c76-5ebe-4a36-86f6-688c2fa0398f</t>
  </si>
  <si>
    <t>394A9</t>
  </si>
  <si>
    <t>a2a3f0ae-6134-41dc-90de-eef3fc9394a9</t>
  </si>
  <si>
    <t>1FB78</t>
  </si>
  <si>
    <t>a5976d7d-652f-4fa7-96fd-786ed561fb78</t>
  </si>
  <si>
    <t>3BA3B</t>
  </si>
  <si>
    <t>c0698dcc-b5d7-45fd-9ca4-9ae73063ba3b</t>
  </si>
  <si>
    <t>3279.0</t>
  </si>
  <si>
    <t>15631</t>
  </si>
  <si>
    <t>4d160d34-b872-4a7e-af0b-cc34e0715631</t>
  </si>
  <si>
    <t>2560.0</t>
  </si>
  <si>
    <t>130832</t>
  </si>
  <si>
    <t>11991</t>
  </si>
  <si>
    <t>A798E</t>
  </si>
  <si>
    <t>cf90354d-4300-43f3-80df-4aad91ca798e</t>
  </si>
  <si>
    <t>2040.0</t>
  </si>
  <si>
    <t>BA250</t>
  </si>
  <si>
    <t>4bd09ee1-eed0-47de-b677-4e784a0ba250</t>
  </si>
  <si>
    <t>95609</t>
  </si>
  <si>
    <t>eebf715d-81a4-4a23-a6d9-ca16b2995609</t>
  </si>
  <si>
    <t>5190.0</t>
  </si>
  <si>
    <t>1ANDMBP05672</t>
  </si>
  <si>
    <t>LTHCQI8BX7CP</t>
  </si>
  <si>
    <t>2260.0</t>
  </si>
  <si>
    <t>4C9FB</t>
  </si>
  <si>
    <t>4ebfcfd1-cd96-487e-9c7a-1cc8ea74c9fb</t>
  </si>
  <si>
    <t>3000.0</t>
  </si>
  <si>
    <t>FEACF</t>
  </si>
  <si>
    <t>d40da5c4-7446-4d46-92f4-f25bcd7feacf</t>
  </si>
  <si>
    <t>3485.0</t>
  </si>
  <si>
    <t>7AD8F</t>
  </si>
  <si>
    <t>082c7d1f-1bfe-4ca9-b314-d0621aa7ad8f</t>
  </si>
  <si>
    <t>3520.0</t>
  </si>
  <si>
    <t>ALTI05336</t>
  </si>
  <si>
    <t>LTHCQHE3I709</t>
  </si>
  <si>
    <t>ALTI05347</t>
  </si>
  <si>
    <t>LTHCQJGU6YH3</t>
  </si>
  <si>
    <t>AMR01694</t>
  </si>
  <si>
    <t>LT4TJD9763TI8</t>
  </si>
  <si>
    <t>AKLL10013</t>
  </si>
  <si>
    <t>LTHCQBMG6M7U</t>
  </si>
  <si>
    <t>2E09E</t>
  </si>
  <si>
    <t>b046f7ba-4461-4837-806c-8e163822e09e</t>
  </si>
  <si>
    <t xml:space="preserve">Ichiban Sushi, Westlands </t>
  </si>
  <si>
    <t>67BF9</t>
  </si>
  <si>
    <t>ea865f6a-26d7-4d13-b33a-3a3db4867bf9</t>
  </si>
  <si>
    <t>1110.0</t>
  </si>
  <si>
    <t>101477540416</t>
  </si>
  <si>
    <t>970.0</t>
  </si>
  <si>
    <t>F9B1F</t>
  </si>
  <si>
    <t>5db3f696-32a5-4951-be3e-a21bc24f9b1f</t>
  </si>
  <si>
    <t>1520.0</t>
  </si>
  <si>
    <t>5A454</t>
  </si>
  <si>
    <t>d4564595-fda9-4381-b78f-bacab605a454</t>
  </si>
  <si>
    <t>7200.0</t>
  </si>
  <si>
    <t>63C3A</t>
  </si>
  <si>
    <t>3d3a8b37-d2a5-4468-b529-9f40fc563c3a</t>
  </si>
  <si>
    <t>91BE3</t>
  </si>
  <si>
    <t>e291c088-6733-4352-bb07-048dda591be3</t>
  </si>
  <si>
    <t>81616</t>
  </si>
  <si>
    <t>0e9970eb-1419-4929-899f-8e8bcb581616</t>
  </si>
  <si>
    <t>Ando Foods, Village Market</t>
  </si>
  <si>
    <t>84398</t>
  </si>
  <si>
    <t>d6a748c3-57a0-4bba-bbfb-0efe14f84398</t>
  </si>
  <si>
    <t>2F9A3</t>
  </si>
  <si>
    <t>c86e9f13-d87a-4b67-b462-aeb731d2f9a3</t>
  </si>
  <si>
    <t>186FD</t>
  </si>
  <si>
    <t>5f5928f4-0970-432f-a178-4faa020186fd</t>
  </si>
  <si>
    <t>1540.0</t>
  </si>
  <si>
    <t>136566</t>
  </si>
  <si>
    <t>11988</t>
  </si>
  <si>
    <t>C123B</t>
  </si>
  <si>
    <t>7b5b077a-c5a4-4d8e-aa55-828cb8cc123b</t>
  </si>
  <si>
    <t>3F115</t>
  </si>
  <si>
    <t>a4466bd6-9172-469f-9a84-90b07f43f115</t>
  </si>
  <si>
    <t>844F6</t>
  </si>
  <si>
    <t>38158f04-953d-44b3-819f-036db7e844f6</t>
  </si>
  <si>
    <t>2430.0</t>
  </si>
  <si>
    <t>3A8D0</t>
  </si>
  <si>
    <t>41b96291-34cc-43e0-a864-67b80d03a8d0</t>
  </si>
  <si>
    <t>1410.0</t>
  </si>
  <si>
    <t>424FB</t>
  </si>
  <si>
    <t>a765e410-8ccf-428f-940c-6a9cc36424fb</t>
  </si>
  <si>
    <t>ECED0</t>
  </si>
  <si>
    <t>7f973d79-4852-4a87-badb-1de6c64eced0</t>
  </si>
  <si>
    <t>FED45</t>
  </si>
  <si>
    <t>3ba7e012-b466-4065-a0bf-4e8d27afed45</t>
  </si>
  <si>
    <t>195DA</t>
  </si>
  <si>
    <t>dbc00747-dbf2-4c95-a6c0-54215cd195da</t>
  </si>
  <si>
    <t>1860.0</t>
  </si>
  <si>
    <t>EA44C</t>
  </si>
  <si>
    <t>d98f9ee0-7938-4be4-86fb-4fd826dea44c</t>
  </si>
  <si>
    <t>9F87E</t>
  </si>
  <si>
    <t>19668d20-412e-4c5c-a57f-cfcb0ed9f87e</t>
  </si>
  <si>
    <t>24916</t>
  </si>
  <si>
    <t>02c94c23-088a-460c-977e-6277d9d24916</t>
  </si>
  <si>
    <t>5950.0</t>
  </si>
  <si>
    <t>D647C</t>
  </si>
  <si>
    <t>925e8501-58d8-4dd5-9728-ff2fe1ad647c</t>
  </si>
  <si>
    <t>2570.0</t>
  </si>
  <si>
    <t>2F8B0</t>
  </si>
  <si>
    <t>c040ea5d-3b03-4d8c-8dda-54237d72f8b0</t>
  </si>
  <si>
    <t>2120.0</t>
  </si>
  <si>
    <t>04C8C</t>
  </si>
  <si>
    <t>21f78533-02a8-4cea-9a0b-5bbc17b04c8c</t>
  </si>
  <si>
    <t>1939.0</t>
  </si>
  <si>
    <t>7D0B1</t>
  </si>
  <si>
    <t>2abdb81c-69bd-4076-a148-de71de97d0b1</t>
  </si>
  <si>
    <t>119940</t>
  </si>
  <si>
    <t>11997</t>
  </si>
  <si>
    <t>2700.0</t>
  </si>
  <si>
    <t>8382E</t>
  </si>
  <si>
    <t>92aa1229-5d51-4838-8f9e-01fa4a18382e</t>
  </si>
  <si>
    <t>Open House Restaurant, Karen (Crossroad)</t>
  </si>
  <si>
    <t>900.0</t>
  </si>
  <si>
    <t>5C65F</t>
  </si>
  <si>
    <t>64594eb8-760d-4c94-8c39-2ad18625c65f</t>
  </si>
  <si>
    <t>20256</t>
  </si>
  <si>
    <t>adf3737e-e1fe-4c01-8fda-8b5158920256</t>
  </si>
  <si>
    <t>AEAA9</t>
  </si>
  <si>
    <t>725dd92c-96e3-4826-a716-8f4edbcaeaa9</t>
  </si>
  <si>
    <t>2740.0</t>
  </si>
  <si>
    <t>173EF</t>
  </si>
  <si>
    <t>9ea1fdfc-86b0-42a3-b616-e89318a173ef</t>
  </si>
  <si>
    <t>1389.0</t>
  </si>
  <si>
    <t>ALTI05331</t>
  </si>
  <si>
    <t>LTHCQGTPNZ27</t>
  </si>
  <si>
    <t>ANDVI00014</t>
  </si>
  <si>
    <t>LTHCQJI3V03R</t>
  </si>
  <si>
    <t>1240.0</t>
  </si>
  <si>
    <t>D377A</t>
  </si>
  <si>
    <t>1ae4ff28-25bd-4210-aad3-549eefbd377a</t>
  </si>
  <si>
    <t>101477432217</t>
  </si>
  <si>
    <t>3400.0</t>
  </si>
  <si>
    <t>005EC</t>
  </si>
  <si>
    <t>3f62f5f0-7e79-40fc-9e6d-3d85f86005ec</t>
  </si>
  <si>
    <t>ANDOWES00327447</t>
  </si>
  <si>
    <t>LTHCQ9K8UDN9</t>
  </si>
  <si>
    <t>2D9EC</t>
  </si>
  <si>
    <t>97ac8d81-d554-48ca-82b3-161e2392d9ec</t>
  </si>
  <si>
    <t>590.0</t>
  </si>
  <si>
    <t>AD19E</t>
  </si>
  <si>
    <t>9502da67-99ac-4033-b9e6-f313cf5ad19e</t>
  </si>
  <si>
    <t>5580.0</t>
  </si>
  <si>
    <t>2CAF1</t>
  </si>
  <si>
    <t>8cf552c9-9504-44dc-b321-6595bc62caf1</t>
  </si>
  <si>
    <t>ALTI05325</t>
  </si>
  <si>
    <t>LT4TJC2D2CR7C</t>
  </si>
  <si>
    <t>AMR01681</t>
  </si>
  <si>
    <t>LT4TJ9PE6JDKK</t>
  </si>
  <si>
    <t>101477521976</t>
  </si>
  <si>
    <t>CF95B</t>
  </si>
  <si>
    <t>c6a6a431-ff1b-4359-8be4-53faf68cf95b</t>
  </si>
  <si>
    <t>ANDVI00002</t>
  </si>
  <si>
    <t>LT4TJBC3LKKM8</t>
  </si>
  <si>
    <t>91438</t>
  </si>
  <si>
    <t>c26b6976-faa5-4c2c-9a1e-238ebd791438</t>
  </si>
  <si>
    <t>E2FF3</t>
  </si>
  <si>
    <t>44d74209-e35a-4f6d-bf1d-d3b23c7e2ff3</t>
  </si>
  <si>
    <t>76C14</t>
  </si>
  <si>
    <t>65af47c1-9b2e-4659-8444-971704e76c14</t>
  </si>
  <si>
    <t>2205.0</t>
  </si>
  <si>
    <t>ALTI05350</t>
  </si>
  <si>
    <t>LTHCQJT8QHVN</t>
  </si>
  <si>
    <t>1440.0</t>
  </si>
  <si>
    <t>AFDA0</t>
  </si>
  <si>
    <t>7618ad48-0ef9-4044-b4d1-fbe7755afda0</t>
  </si>
  <si>
    <t>63C59</t>
  </si>
  <si>
    <t>d1f5d917-c7f5-429a-a0e4-f81314363c59</t>
  </si>
  <si>
    <t>2630.0</t>
  </si>
  <si>
    <t>70379</t>
  </si>
  <si>
    <t>7f06ebeb-8fd2-4734-82aa-368e25570379</t>
  </si>
  <si>
    <t>CA2B9</t>
  </si>
  <si>
    <t>077947b2-1fd1-4028-9ad8-cead96cca2b9</t>
  </si>
  <si>
    <t>1930.0</t>
  </si>
  <si>
    <t>1D949</t>
  </si>
  <si>
    <t>df4ace81-2c52-45c9-83a4-cfe67391d949</t>
  </si>
  <si>
    <t>1725.0</t>
  </si>
  <si>
    <t>917BC</t>
  </si>
  <si>
    <t>66e5501d-97b6-4981-b2b5-e6ac305917bc</t>
  </si>
  <si>
    <t>831F1</t>
  </si>
  <si>
    <t>e56ea011-4a74-4bf2-9c54-cd333fd831f1</t>
  </si>
  <si>
    <t>ANDVI00012</t>
  </si>
  <si>
    <t>LTHCQICDBKVC</t>
  </si>
  <si>
    <t>8D718</t>
  </si>
  <si>
    <t>18d0c60a-9bfb-495f-b84c-13a2b5e8d718</t>
  </si>
  <si>
    <t>Pot of Jollof Kitchen, Lavington</t>
  </si>
  <si>
    <t>2265.0</t>
  </si>
  <si>
    <t>F9D17</t>
  </si>
  <si>
    <t>1df5dbea-61e0-4539-ba1f-67a654ff9d17</t>
  </si>
  <si>
    <t>9CA5A</t>
  </si>
  <si>
    <t>db93bd3d-6cd9-4e78-91f1-6df809c9ca5a</t>
  </si>
  <si>
    <t>1710.0</t>
  </si>
  <si>
    <t>ALTI05335</t>
  </si>
  <si>
    <t>LTHCQHAWHLPZ</t>
  </si>
  <si>
    <t>529FC</t>
  </si>
  <si>
    <t>6106160b-5d22-42ae-aae4-756de46529fc</t>
  </si>
  <si>
    <t>D7B65</t>
  </si>
  <si>
    <t>b178971c-50cc-4fd2-97d4-44608edd7b65</t>
  </si>
  <si>
    <t>1845.0</t>
  </si>
  <si>
    <t>101477403564</t>
  </si>
  <si>
    <t>2160.0</t>
  </si>
  <si>
    <t>FA234</t>
  </si>
  <si>
    <t>dc537d79-f3b7-4330-a7de-16fafcefa234</t>
  </si>
  <si>
    <t>C877E</t>
  </si>
  <si>
    <t>4b494815-39e5-4d15-9a47-b9063f5c877e</t>
  </si>
  <si>
    <t>1339.0</t>
  </si>
  <si>
    <t>120785</t>
  </si>
  <si>
    <t>11987</t>
  </si>
  <si>
    <t>EA66D</t>
  </si>
  <si>
    <t>d393ba4d-4442-41bd-a49f-84d6335ea66d</t>
  </si>
  <si>
    <t>1323B</t>
  </si>
  <si>
    <t>2d61987f-363d-4e4d-b0bc-60b5dbc1323b</t>
  </si>
  <si>
    <t>2450.0</t>
  </si>
  <si>
    <t>501D9</t>
  </si>
  <si>
    <t>fa1f3a4d-c76a-4a05-bfd0-0d0226d501d9</t>
  </si>
  <si>
    <t>E2B73</t>
  </si>
  <si>
    <t>ce5fd20b-78a9-44cc-9df8-d0e81a1e2b73</t>
  </si>
  <si>
    <t>101477093687</t>
  </si>
  <si>
    <t>AB200</t>
  </si>
  <si>
    <t>5bf3c6b5-662f-4258-8c38-1d0aaa4ab200</t>
  </si>
  <si>
    <t>2925.0</t>
  </si>
  <si>
    <t>ALTI05338</t>
  </si>
  <si>
    <t>LTHCQHI3LFZU</t>
  </si>
  <si>
    <t>3BEAE</t>
  </si>
  <si>
    <t>d9035282-3fc5-4a1c-af1e-bc0e4ca3beae</t>
  </si>
  <si>
    <t>4FC37</t>
  </si>
  <si>
    <t>e221fda7-04f2-4224-9bd8-47ac1934fc37</t>
  </si>
  <si>
    <t>2410.0</t>
  </si>
  <si>
    <t>C7FD7</t>
  </si>
  <si>
    <t>62269a9b-c007-4d6d-a5bf-a003cc5c7fd7</t>
  </si>
  <si>
    <t>7620.0</t>
  </si>
  <si>
    <t>ANDOWES00327445</t>
  </si>
  <si>
    <t>LTHCQ6QCJ245</t>
  </si>
  <si>
    <t>8B594</t>
  </si>
  <si>
    <t>60dbe8a2-cbd7-48b4-adb0-86fd9b08b594</t>
  </si>
  <si>
    <t>5300.0</t>
  </si>
  <si>
    <t>1FE69</t>
  </si>
  <si>
    <t>18d1bbce-0c9f-4394-ba12-5df77f41fe69</t>
  </si>
  <si>
    <t>1630.0</t>
  </si>
  <si>
    <t>101477302535</t>
  </si>
  <si>
    <t>1840.0</t>
  </si>
  <si>
    <t>0CCCE</t>
  </si>
  <si>
    <t>3eb9950b-fdb2-4616-9fb2-c550e3a0ccce</t>
  </si>
  <si>
    <t>1760.0</t>
  </si>
  <si>
    <t>A6151</t>
  </si>
  <si>
    <t>ed81a600-d6b3-4447-88ae-bbd9297a6151</t>
  </si>
  <si>
    <t>4890.0</t>
  </si>
  <si>
    <t>ALTI05353</t>
  </si>
  <si>
    <t>LTHCQKZ8FOTG</t>
  </si>
  <si>
    <t>67CEB</t>
  </si>
  <si>
    <t>e1b8fbdd-9309-4856-bf42-0fb567367ceb</t>
  </si>
  <si>
    <t>194.0</t>
  </si>
  <si>
    <t>ALTI05345</t>
  </si>
  <si>
    <t>LTHCQJBX2NQ2</t>
  </si>
  <si>
    <t>1900.0</t>
  </si>
  <si>
    <t>101477500831</t>
  </si>
  <si>
    <t>95F86</t>
  </si>
  <si>
    <t>705fb3e0-471f-4f0a-8269-241736395f86</t>
  </si>
  <si>
    <t>2155.0</t>
  </si>
  <si>
    <t>101477473155</t>
  </si>
  <si>
    <t>ANDVI00009</t>
  </si>
  <si>
    <t>LTHCQD04OOD0</t>
  </si>
  <si>
    <t>1820.0</t>
  </si>
  <si>
    <t>101477381676</t>
  </si>
  <si>
    <t>4700.0</t>
  </si>
  <si>
    <t>C8CAE</t>
  </si>
  <si>
    <t>d13feb2d-dffa-4ab6-b6e4-13c162dc8cae</t>
  </si>
  <si>
    <t>101477103691</t>
  </si>
  <si>
    <t>3120.0</t>
  </si>
  <si>
    <t>AKLL10012</t>
  </si>
  <si>
    <t>LT4TJALOB0L6Q</t>
  </si>
  <si>
    <t>D45DC</t>
  </si>
  <si>
    <t>77eb8b4e-9435-4223-a7df-e1f99f9d45dc</t>
  </si>
  <si>
    <t>2675.0</t>
  </si>
  <si>
    <t>101477076629</t>
  </si>
  <si>
    <t>101477239615</t>
  </si>
  <si>
    <t>Curry Club</t>
  </si>
  <si>
    <t>2500.0</t>
  </si>
  <si>
    <t>7A9F5</t>
  </si>
  <si>
    <t>5d52b626-5a02-4a17-acf3-2638a347a9f5</t>
  </si>
  <si>
    <t>4D132</t>
  </si>
  <si>
    <t>35abc716-5f26-4849-910d-1b656c64d132</t>
  </si>
  <si>
    <t>1665.0</t>
  </si>
  <si>
    <t>1ADLY02876</t>
  </si>
  <si>
    <t>LTHCQJEWPKZY</t>
  </si>
  <si>
    <t>101477412193</t>
  </si>
  <si>
    <t>2300.0</t>
  </si>
  <si>
    <t>51148</t>
  </si>
  <si>
    <t>f0f4cb04-bdb3-423a-9106-e9b120551148</t>
  </si>
  <si>
    <t>101477079083</t>
  </si>
  <si>
    <t>6840.0</t>
  </si>
  <si>
    <t>92DD4</t>
  </si>
  <si>
    <t>aa77faa3-41b4-41ba-b4d1-06a812392dd4</t>
  </si>
  <si>
    <t>3709.0</t>
  </si>
  <si>
    <t>54949</t>
  </si>
  <si>
    <t>c9bce96d-a331-41fe-acd1-b32e1ab54949</t>
  </si>
  <si>
    <t>9220.0</t>
  </si>
  <si>
    <t>04D05</t>
  </si>
  <si>
    <t>b86b71b1-3e87-4c7a-a0e9-8be6aec04d05</t>
  </si>
  <si>
    <t>1800.0</t>
  </si>
  <si>
    <t>101477138528</t>
  </si>
  <si>
    <t>6690.0</t>
  </si>
  <si>
    <t>93FF5</t>
  </si>
  <si>
    <t>a4f3c11b-68f1-40fb-b527-ba1cd5c93ff5</t>
  </si>
  <si>
    <t>ANDOWES00327450</t>
  </si>
  <si>
    <t>LTHCQA5RWTQ9</t>
  </si>
  <si>
    <t>600.0</t>
  </si>
  <si>
    <t>101477434883</t>
  </si>
  <si>
    <t>1980.0</t>
  </si>
  <si>
    <t>101477113863</t>
  </si>
  <si>
    <t>2128B</t>
  </si>
  <si>
    <t>adc30941-0fc2-4043-82a0-063c45f2128b</t>
  </si>
  <si>
    <t>60C4D</t>
  </si>
  <si>
    <t>0cf7edb1-1878-408c-ae89-98d7d8960c4d</t>
  </si>
  <si>
    <t>101477382504</t>
  </si>
  <si>
    <t>57A80</t>
  </si>
  <si>
    <t>abe7ee8e-52af-4c2d-90e3-43ba79c57a80</t>
  </si>
  <si>
    <t>3030.0</t>
  </si>
  <si>
    <t>101477475603</t>
  </si>
  <si>
    <t>3750.0</t>
  </si>
  <si>
    <t>ALTI05333</t>
  </si>
  <si>
    <t>LT4TJCQYLSYWG</t>
  </si>
  <si>
    <t>3170.0</t>
  </si>
  <si>
    <t>00279</t>
  </si>
  <si>
    <t>4f7364c5-114b-438c-afe2-f6a615600279</t>
  </si>
  <si>
    <t>9655.0</t>
  </si>
  <si>
    <t>101477521652</t>
  </si>
  <si>
    <t>14280.0</t>
  </si>
  <si>
    <t>101477325644</t>
  </si>
  <si>
    <t>101477553646</t>
  </si>
  <si>
    <t>1790.0</t>
  </si>
  <si>
    <t>DD66E</t>
  </si>
  <si>
    <t>f1fdb59f-bc1e-4c7d-bad2-7030016dd66e</t>
  </si>
  <si>
    <t>2760.0</t>
  </si>
  <si>
    <t>B76B3</t>
  </si>
  <si>
    <t>8c80f408-4a9a-4e3f-b16a-5ab087fb76b3</t>
  </si>
  <si>
    <t>2440.0</t>
  </si>
  <si>
    <t>ANDOWES00327455</t>
  </si>
  <si>
    <t>LTHCQHC4X1DF</t>
  </si>
  <si>
    <t>1670.0</t>
  </si>
  <si>
    <t>51830</t>
  </si>
  <si>
    <t>b2a54a54-c852-4382-87b2-c7ef99951830</t>
  </si>
  <si>
    <t>8170.0</t>
  </si>
  <si>
    <t>ALTI05319</t>
  </si>
  <si>
    <t>LTHCQ5G0V86I</t>
  </si>
  <si>
    <t>9BACB</t>
  </si>
  <si>
    <t>907aacd8-5cc7-431a-8721-086a0b89bacb</t>
  </si>
  <si>
    <t>1879.0</t>
  </si>
  <si>
    <t>27800</t>
  </si>
  <si>
    <t>6d48de5d-579c-49ff-82af-32ae63227800</t>
  </si>
  <si>
    <t>ALTI05355</t>
  </si>
  <si>
    <t>LT4TJE85VDBIY</t>
  </si>
  <si>
    <t>266D0</t>
  </si>
  <si>
    <t>76a19aec-480c-48ba-9fbe-81af531266d0</t>
  </si>
  <si>
    <t>2039.0</t>
  </si>
  <si>
    <t>101477534288</t>
  </si>
  <si>
    <t>65EE0</t>
  </si>
  <si>
    <t>5a32887d-439c-4ef3-af6b-8fca35b65ee0</t>
  </si>
  <si>
    <t>37360</t>
  </si>
  <si>
    <t>7ae8cc68-c99a-430d-8402-811bef537360</t>
  </si>
  <si>
    <t>2060.0</t>
  </si>
  <si>
    <t>ADLY05343</t>
  </si>
  <si>
    <t>LTHCQJA64QSB</t>
  </si>
  <si>
    <t>95F5D</t>
  </si>
  <si>
    <t>9e938aad-7d82-438c-a0e0-d47fb5495f5d</t>
  </si>
  <si>
    <t>70435</t>
  </si>
  <si>
    <t>00591f14-72ba-44ca-a75b-7c7d98c70435</t>
  </si>
  <si>
    <t>1260.0</t>
  </si>
  <si>
    <t>06F87</t>
  </si>
  <si>
    <t>a6bf8ae4-881f-48b8-aab6-a783d5d06f87</t>
  </si>
  <si>
    <t>ANDOWES00327444</t>
  </si>
  <si>
    <t>LTHCQ57F7P9G</t>
  </si>
  <si>
    <t>101477144178</t>
  </si>
  <si>
    <t>3BDA1</t>
  </si>
  <si>
    <t>00062c85-0818-47ae-87ce-8fc25143bda1</t>
  </si>
  <si>
    <t>B4C22</t>
  </si>
  <si>
    <t>9641f002-5dc1-441d-80af-7deac36b4c22</t>
  </si>
  <si>
    <t>874F5</t>
  </si>
  <si>
    <t>1f3d5269-63af-49df-8624-dbcc376874f5</t>
  </si>
  <si>
    <t>1700.0</t>
  </si>
  <si>
    <t>101477079935</t>
  </si>
  <si>
    <t>B60C9</t>
  </si>
  <si>
    <t>062f6271-3698-47d1-9d7e-20430bcb60c9</t>
  </si>
  <si>
    <t>4240.0</t>
  </si>
  <si>
    <t>78C22</t>
  </si>
  <si>
    <t>3a0ecc7e-30cb-4a2c-acb0-6ea674678c22</t>
  </si>
  <si>
    <t>ANDOWES00327453</t>
  </si>
  <si>
    <t>LTHCQGQQ6UAR</t>
  </si>
  <si>
    <t>24D4D</t>
  </si>
  <si>
    <t>00593e2f-c29f-4ed5-94e4-3b2dc7824d4d</t>
  </si>
  <si>
    <t>7EF73</t>
  </si>
  <si>
    <t>5f50f9b6-8739-4bea-8d95-57d71077ef73</t>
  </si>
  <si>
    <t>7750.0</t>
  </si>
  <si>
    <t>CC8AF</t>
  </si>
  <si>
    <t>4f42a4e4-d281-410a-9459-7e9f84ccc8af</t>
  </si>
  <si>
    <t>4440.0</t>
  </si>
  <si>
    <t>1A3C1</t>
  </si>
  <si>
    <t>2a8d7024-f21d-4ac5-8e92-4850fa11a3c1</t>
  </si>
  <si>
    <t>03C53</t>
  </si>
  <si>
    <t>cd547c8b-6500-4b34-94e1-f89a45303c53</t>
  </si>
  <si>
    <t>1865.0</t>
  </si>
  <si>
    <t>101477401592</t>
  </si>
  <si>
    <t>9630.0</t>
  </si>
  <si>
    <t>F3304</t>
  </si>
  <si>
    <t>fa5861f5-a191-47f9-9b5d-ec9bd03f3304</t>
  </si>
  <si>
    <t>830.0</t>
  </si>
  <si>
    <t>6FD79</t>
  </si>
  <si>
    <t>1a0f4437-d3db-48b0-94a5-dc646876fd79</t>
  </si>
  <si>
    <t>2983.0</t>
  </si>
  <si>
    <t>101477563520</t>
  </si>
  <si>
    <t>EA468</t>
  </si>
  <si>
    <t>2651170c-0f6c-45c8-b045-14e1b65ea468</t>
  </si>
  <si>
    <t>6940.0</t>
  </si>
  <si>
    <t>674D2</t>
  </si>
  <si>
    <t>fed942c8-007c-430e-a298-d7a1b98674d2</t>
  </si>
  <si>
    <t>4220.0</t>
  </si>
  <si>
    <t>63101</t>
  </si>
  <si>
    <t>0ea06b6c-94e8-4d34-8913-2372bf563101</t>
  </si>
  <si>
    <t>AMR01683</t>
  </si>
  <si>
    <t>LTHCQ8RZAT6Z</t>
  </si>
  <si>
    <t>2319B</t>
  </si>
  <si>
    <t>93ffa2fe-9e9e-47b7-8fbb-600f46c2319b</t>
  </si>
  <si>
    <t>ADAB3</t>
  </si>
  <si>
    <t>23fbf154-eef7-42e2-85dc-f9640bcadab3</t>
  </si>
  <si>
    <t>2065.0</t>
  </si>
  <si>
    <t>C97D3</t>
  </si>
  <si>
    <t>b7217caf-e25e-4724-ad00-08ceb99c97d3</t>
  </si>
  <si>
    <t>2030.0</t>
  </si>
  <si>
    <t>5C714</t>
  </si>
  <si>
    <t>2d4bd096-c26d-4a5d-81db-480c42b5c714</t>
  </si>
  <si>
    <t>BEC95</t>
  </si>
  <si>
    <t>b95edd9d-16b6-489a-a709-4d4e80abec95</t>
  </si>
  <si>
    <t>AMR01696</t>
  </si>
  <si>
    <t>LTHCQL5FGU1A</t>
  </si>
  <si>
    <t>790.0</t>
  </si>
  <si>
    <t>1114F</t>
  </si>
  <si>
    <t>553766c3-fd9f-4e71-87a8-fdd25bb1114f</t>
  </si>
  <si>
    <t>1910.0</t>
  </si>
  <si>
    <t>5A817</t>
  </si>
  <si>
    <t>d9cf49d9-8ba4-455d-8b4a-5f23b8c5a817</t>
  </si>
  <si>
    <t>Biryani Blues</t>
  </si>
  <si>
    <t>3940.0</t>
  </si>
  <si>
    <t>AMR01689</t>
  </si>
  <si>
    <t>LTHCQH2NR12H</t>
  </si>
  <si>
    <t>ANDVI00013</t>
  </si>
  <si>
    <t>LTHCQIPIZJWL</t>
  </si>
  <si>
    <t>ALTI05329</t>
  </si>
  <si>
    <t>LTHCQGCDEHYA</t>
  </si>
  <si>
    <t>101477498999</t>
  </si>
  <si>
    <t>BA4BB</t>
  </si>
  <si>
    <t>783d63c0-a36a-4809-9f1a-eb9605bba4bb</t>
  </si>
  <si>
    <t>DC519</t>
  </si>
  <si>
    <t>422a4aa3-acd8-4741-b708-47430eedc519</t>
  </si>
  <si>
    <t>1620.0</t>
  </si>
  <si>
    <t>97AEE</t>
  </si>
  <si>
    <t>7bb1a235-eb9f-462f-9f0c-ae139af97aee</t>
  </si>
  <si>
    <t>AMR01682</t>
  </si>
  <si>
    <t>LTHCQ8R1LF7L</t>
  </si>
  <si>
    <t>ALTI05354</t>
  </si>
  <si>
    <t>LT4TJDVPAJLFS</t>
  </si>
  <si>
    <t>101477484460</t>
  </si>
  <si>
    <t>8225A</t>
  </si>
  <si>
    <t>7b1fefc9-c513-4ca1-bcbc-d5d05e08225a</t>
  </si>
  <si>
    <t>91D18</t>
  </si>
  <si>
    <t>69067663-3de4-44bb-8e33-65f31e191d18</t>
  </si>
  <si>
    <t>A121A</t>
  </si>
  <si>
    <t>1254281e-cec4-4ef3-8d36-d331f86a121a</t>
  </si>
  <si>
    <t>ANDVI00007</t>
  </si>
  <si>
    <t>LTHCQCDPCTSN</t>
  </si>
  <si>
    <t>ALTI05326</t>
  </si>
  <si>
    <t>LT4TJCD5EC6KC</t>
  </si>
  <si>
    <t>9C652</t>
  </si>
  <si>
    <t>be587185-703a-40c0-87ef-80c52609c652</t>
  </si>
  <si>
    <t>800.0</t>
  </si>
  <si>
    <t>AC154</t>
  </si>
  <si>
    <t>1ab86d98-7f3d-4509-993f-0f73ecbac154</t>
  </si>
  <si>
    <t>101477053694</t>
  </si>
  <si>
    <t>ANDVI00005</t>
  </si>
  <si>
    <t>LTHCQCAXX8L4</t>
  </si>
  <si>
    <t>5D546</t>
  </si>
  <si>
    <t>a8ecbfb2-313a-4031-b6fd-be5e9195d546</t>
  </si>
  <si>
    <t>318.0</t>
  </si>
  <si>
    <t>3FD36</t>
  </si>
  <si>
    <t>2d1b1dcf-a61c-43a1-9be8-5118b543fd36</t>
  </si>
  <si>
    <t>4400.0</t>
  </si>
  <si>
    <t>1568E</t>
  </si>
  <si>
    <t>59909541-6247-465c-ac28-746059f1568e</t>
  </si>
  <si>
    <t>2520.0</t>
  </si>
  <si>
    <t>9E45D</t>
  </si>
  <si>
    <t>9671f987-ba2b-463f-9ca9-26481c59e45d</t>
  </si>
  <si>
    <t>528B4</t>
  </si>
  <si>
    <t>9a642e1e-8a28-4c84-9258-a192c55528b4</t>
  </si>
  <si>
    <t>2333.0</t>
  </si>
  <si>
    <t>4B98D</t>
  </si>
  <si>
    <t>ca20afcb-9596-4032-9a23-f386b9b4b98d</t>
  </si>
  <si>
    <t>1400.0</t>
  </si>
  <si>
    <t>B6016</t>
  </si>
  <si>
    <t>b820cf8d-1c40-40ab-a5d6-0634b57b6016</t>
  </si>
  <si>
    <t>4830.0</t>
  </si>
  <si>
    <t>62305</t>
  </si>
  <si>
    <t>0d84db69-99ff-4348-94c5-63cafcd62305</t>
  </si>
  <si>
    <t>101477473930</t>
  </si>
  <si>
    <t>2529A</t>
  </si>
  <si>
    <t>c0d288d8-1ef6-4397-b409-5dcdd192529a</t>
  </si>
  <si>
    <t>9CDBF</t>
  </si>
  <si>
    <t>f80d4056-fa44-4625-82ee-7b07ec79cdbf</t>
  </si>
  <si>
    <t>5480.0</t>
  </si>
  <si>
    <t>101477440761</t>
  </si>
  <si>
    <t>2100.0</t>
  </si>
  <si>
    <t>101477530004</t>
  </si>
  <si>
    <t>101477587223</t>
  </si>
  <si>
    <t>3206C</t>
  </si>
  <si>
    <t>e1577c98-5009-4227-911d-c2068ff3206c</t>
  </si>
  <si>
    <t>4189.0</t>
  </si>
  <si>
    <t>101477623331</t>
  </si>
  <si>
    <t>10660.0</t>
  </si>
  <si>
    <t>B0BC1</t>
  </si>
  <si>
    <t>c3b78f2e-dcd5-4a9c-b3b8-31c458cb0bc1</t>
  </si>
  <si>
    <t>2079.0</t>
  </si>
  <si>
    <t>101477514113</t>
  </si>
  <si>
    <t>95A54</t>
  </si>
  <si>
    <t>fca2be33-1037-4f4f-a93d-c4e29fe95a54</t>
  </si>
  <si>
    <t>1659.0</t>
  </si>
  <si>
    <t>2BF40</t>
  </si>
  <si>
    <t>fec2fce4-6c9b-4813-acd6-53b0a1d2bf40</t>
  </si>
  <si>
    <t>ANDOWES00327451</t>
  </si>
  <si>
    <t>LTHCQAQEIG96</t>
  </si>
  <si>
    <t>1100.0</t>
  </si>
  <si>
    <t>A7DBE</t>
  </si>
  <si>
    <t>9ad99355-8349-4145-b3b3-4a9b0d0a7dbe</t>
  </si>
  <si>
    <t>15534</t>
  </si>
  <si>
    <t>e14cf545-428f-47b5-a75a-e6b52ee15534</t>
  </si>
  <si>
    <t>1510.0</t>
  </si>
  <si>
    <t>18F14</t>
  </si>
  <si>
    <t>035de2e2-b115-4b40-ac04-865127118f14</t>
  </si>
  <si>
    <t>ANDVI00004</t>
  </si>
  <si>
    <t>LTHCQC9G87ZO</t>
  </si>
  <si>
    <t>780.0</t>
  </si>
  <si>
    <t>101477484847</t>
  </si>
  <si>
    <t>9FA27</t>
  </si>
  <si>
    <t>cc4fe6c4-7448-491e-b4b5-8d2efa19fa27</t>
  </si>
  <si>
    <t>2330.0</t>
  </si>
  <si>
    <t>770F7</t>
  </si>
  <si>
    <t>b5132cda-eb4d-4b8a-9ac1-6091748770f7</t>
  </si>
  <si>
    <t>EB358</t>
  </si>
  <si>
    <t>a955296f-ea33-4139-b2dd-2261c74eb358</t>
  </si>
  <si>
    <t>CFF4B</t>
  </si>
  <si>
    <t>a3c6420b-1b96-4ec1-ac81-cf2aeedcff4b</t>
  </si>
  <si>
    <t>1795.0</t>
  </si>
  <si>
    <t>F29C2</t>
  </si>
  <si>
    <t>df609d2b-53a9-4862-8e50-1c7585cf29c2</t>
  </si>
  <si>
    <t>101477548502</t>
  </si>
  <si>
    <t>7A670</t>
  </si>
  <si>
    <t>c0a80acf-0e72-4e8b-982b-ad903ff7a670</t>
  </si>
  <si>
    <t>3405.0</t>
  </si>
  <si>
    <t>FF3A4</t>
  </si>
  <si>
    <t>775cd12d-cbce-4429-9ba5-7c91c45ff3a4</t>
  </si>
  <si>
    <t>64A37</t>
  </si>
  <si>
    <t>75ba0b34-7d46-41e5-8263-b0a8d0764a37</t>
  </si>
  <si>
    <t>3850.0</t>
  </si>
  <si>
    <t>3E235</t>
  </si>
  <si>
    <t>98ea5f3d-cfe1-48fb-bb5e-29745813e235</t>
  </si>
  <si>
    <t>2150.0</t>
  </si>
  <si>
    <t>A9AAA</t>
  </si>
  <si>
    <t>a9d4ee0d-d93d-463f-8239-c8c4d4ca9aaa</t>
  </si>
  <si>
    <t>101477168303</t>
  </si>
  <si>
    <t>10140.0</t>
  </si>
  <si>
    <t>49893</t>
  </si>
  <si>
    <t>2a247aab-8bc6-4eea-a9af-5a996d949893</t>
  </si>
  <si>
    <t>3075.0</t>
  </si>
  <si>
    <t>EEC50</t>
  </si>
  <si>
    <t>f9c81a2e-4076-48b1-b3be-cca9d67eec50</t>
  </si>
  <si>
    <t>101477454686</t>
  </si>
  <si>
    <t>CDBDA</t>
  </si>
  <si>
    <t>eee09a04-604f-426c-bd1b-41e0cb2cdbda</t>
  </si>
  <si>
    <t>7525.0</t>
  </si>
  <si>
    <t>64C56</t>
  </si>
  <si>
    <t>934def06-dba3-48b6-9c2c-de8a20164c56</t>
  </si>
  <si>
    <t>ANDVI00006</t>
  </si>
  <si>
    <t>LT4TJBFF2IU3E</t>
  </si>
  <si>
    <t>ANDOWES00327448</t>
  </si>
  <si>
    <t>LT4TJAOA093MG</t>
  </si>
  <si>
    <t>1560.0</t>
  </si>
  <si>
    <t>AA305</t>
  </si>
  <si>
    <t>25f687e0-0007-4a9d-a94d-f5a76cdaa305</t>
  </si>
  <si>
    <t>2523.0</t>
  </si>
  <si>
    <t>00909</t>
  </si>
  <si>
    <t>2139591e-aa17-440b-a18b-8112e0c00909</t>
  </si>
  <si>
    <t>AD41B</t>
  </si>
  <si>
    <t>9f08d3a4-e9e7-421a-80d9-b1ba604ad41b</t>
  </si>
  <si>
    <t>101477525662</t>
  </si>
  <si>
    <t>101477540824</t>
  </si>
  <si>
    <t>136717</t>
  </si>
  <si>
    <t>11998</t>
  </si>
  <si>
    <t>ANDVI00010</t>
  </si>
  <si>
    <t>LT4TJCCWRMHDU</t>
  </si>
  <si>
    <t>F7098</t>
  </si>
  <si>
    <t>380fd488-b223-49cc-8bca-c781acaf7098</t>
  </si>
  <si>
    <t>A4CF5</t>
  </si>
  <si>
    <t>62dfd586-616c-4ca5-ab2a-2e02131a4cf5</t>
  </si>
  <si>
    <t>A4771</t>
  </si>
  <si>
    <t>a9e6a0d3-77a1-4457-9bc6-9b570f7a4771</t>
  </si>
  <si>
    <t>165.0</t>
  </si>
  <si>
    <t>ANDOWES00327446</t>
  </si>
  <si>
    <t>LTHCQ8ZTI3AD</t>
  </si>
  <si>
    <t>6B9CA</t>
  </si>
  <si>
    <t>f0eded6a-fc16-4537-a9d1-ce2e1dc6b9ca</t>
  </si>
  <si>
    <t>89935</t>
  </si>
  <si>
    <t>1735d5f3-ae10-4813-ba85-44fcb4189935</t>
  </si>
  <si>
    <t>2235.0</t>
  </si>
  <si>
    <t>1ANDMBP05668</t>
  </si>
  <si>
    <t>LTHCQEPNPQYC</t>
  </si>
  <si>
    <t>FCD3E</t>
  </si>
  <si>
    <t>39090044-3d7c-4402-936b-d658dd0fcd3e</t>
  </si>
  <si>
    <t>1ANDMBP05670</t>
  </si>
  <si>
    <t>LTHCQGHVDLST</t>
  </si>
  <si>
    <t>4120.0</t>
  </si>
  <si>
    <t>101477235205</t>
  </si>
  <si>
    <t>2140.0</t>
  </si>
  <si>
    <t>101477163967</t>
  </si>
  <si>
    <t>2E0A2</t>
  </si>
  <si>
    <t>0673180e-dcc3-4540-bde7-82547142e0a2</t>
  </si>
  <si>
    <t>BF482</t>
  </si>
  <si>
    <t>826381be-ab20-4f5c-8e04-fbfb48fbf482</t>
  </si>
  <si>
    <t>AMR01684</t>
  </si>
  <si>
    <t>LTHCQ98UN3OV</t>
  </si>
  <si>
    <t>4F249</t>
  </si>
  <si>
    <t>8d42ea69-de73-459f-855f-fd7a02f4f249</t>
  </si>
  <si>
    <t>65B6A</t>
  </si>
  <si>
    <t>d74bec01-8c15-4256-8d06-183161a65b6a</t>
  </si>
  <si>
    <t>4600.0</t>
  </si>
  <si>
    <t>6A7CB</t>
  </si>
  <si>
    <t>787496bc-d74c-4ddb-9ae5-64e987f6a7cb</t>
  </si>
  <si>
    <t>60F37</t>
  </si>
  <si>
    <t>24b45fdc-8e31-46fc-850c-500ada060f37</t>
  </si>
  <si>
    <t>6135.0</t>
  </si>
  <si>
    <t>656FD</t>
  </si>
  <si>
    <t>2c887883-61a9-4ddd-961b-665a8f0656fd</t>
  </si>
  <si>
    <t>C22B9</t>
  </si>
  <si>
    <t>241b9d5c-428e-4f2e-bbcb-432ba1dc22b9</t>
  </si>
  <si>
    <t>D89B8</t>
  </si>
  <si>
    <t>df174d39-32ef-4235-9bf3-85ff8a7d89b8</t>
  </si>
  <si>
    <t>901.0</t>
  </si>
  <si>
    <t>ADLY05327</t>
  </si>
  <si>
    <t>LT4TJCG3XXLXW</t>
  </si>
  <si>
    <t>614E2</t>
  </si>
  <si>
    <t>f02367c2-4d56-4a7c-b4a0-7bdf984614e2</t>
  </si>
  <si>
    <t>6360.0</t>
  </si>
  <si>
    <t>F9D32</t>
  </si>
  <si>
    <t>5e167136-8dd9-4a1f-bc65-dc3e8f0f9d32</t>
  </si>
  <si>
    <t>E8E2D</t>
  </si>
  <si>
    <t>ed9f5ed5-816b-43c4-911e-13017bfe8e2d</t>
  </si>
  <si>
    <t>101477090931</t>
  </si>
  <si>
    <t>61CAA</t>
  </si>
  <si>
    <t>420e1432-00eb-4671-b620-40eae5b61caa</t>
  </si>
  <si>
    <t>1535.0</t>
  </si>
  <si>
    <t>B4A93</t>
  </si>
  <si>
    <t>89426f5d-fb1e-4083-a80f-70690b1b4a93</t>
  </si>
  <si>
    <t>3443.0</t>
  </si>
  <si>
    <t>AKLL10014</t>
  </si>
  <si>
    <t>LTHCQGL17FRB</t>
  </si>
  <si>
    <t>55526</t>
  </si>
  <si>
    <t>6c0bd529-9ad5-48a4-91c9-7da25e555526</t>
  </si>
  <si>
    <t>52973</t>
  </si>
  <si>
    <t>8a5b611a-c93d-44be-9c36-8308ffd52973</t>
  </si>
  <si>
    <t>3299.0</t>
  </si>
  <si>
    <t>38980</t>
  </si>
  <si>
    <t>6c15ef9c-eb2e-402c-84a2-a83e66b38980</t>
  </si>
  <si>
    <t>101477033017</t>
  </si>
  <si>
    <t>7D135</t>
  </si>
  <si>
    <t>1832ad88-0b27-4c64-bddd-38076ed7d135</t>
  </si>
  <si>
    <t>1329.0</t>
  </si>
  <si>
    <t>A619E</t>
  </si>
  <si>
    <t>62333d07-34e3-46ba-b9b1-f15fd3aa619e</t>
  </si>
  <si>
    <t>BBA4E</t>
  </si>
  <si>
    <t>8ae258df-8a40-4a9d-a98b-3d43005bba4e</t>
  </si>
  <si>
    <t>C4F4F</t>
  </si>
  <si>
    <t>5d318a99-b703-485d-ae9b-9c5e522c4f4f</t>
  </si>
  <si>
    <t>76E52</t>
  </si>
  <si>
    <t>26a0452e-242d-401a-891c-976c96276e52</t>
  </si>
  <si>
    <t>24F80</t>
  </si>
  <si>
    <t>cc7679c6-bfc0-4825-b65e-2dcb2c724f80</t>
  </si>
  <si>
    <t>AA728</t>
  </si>
  <si>
    <t>52d71ea8-cfe6-48d6-8678-bd094daaa728</t>
  </si>
  <si>
    <t>101477077643</t>
  </si>
  <si>
    <t>101477616319</t>
  </si>
  <si>
    <t>5460.0</t>
  </si>
  <si>
    <t>249A3</t>
  </si>
  <si>
    <t>59b81659-7c53-4d0c-954f-ae05a35249a3</t>
  </si>
  <si>
    <t>123815</t>
  </si>
  <si>
    <t>11989</t>
  </si>
  <si>
    <t>C5602</t>
  </si>
  <si>
    <t>60ba3480-1af2-409c-b802-95ca009c5602</t>
  </si>
  <si>
    <t>3240.0</t>
  </si>
  <si>
    <t>A4D90</t>
  </si>
  <si>
    <t>599e4c2b-b794-448a-9adc-324d44ea4d90</t>
  </si>
  <si>
    <t>BE057</t>
  </si>
  <si>
    <t>41614c6e-9818-4c65-a2e8-2562142be057</t>
  </si>
  <si>
    <t>2585.0</t>
  </si>
  <si>
    <t>0F86F</t>
  </si>
  <si>
    <t>182bc241-be0e-4041-9413-e04aae00f86f</t>
  </si>
  <si>
    <t>101477429953</t>
  </si>
  <si>
    <t>3780.0</t>
  </si>
  <si>
    <t>20682</t>
  </si>
  <si>
    <t>1b6743e6-47b4-4488-a179-cf589a220682</t>
  </si>
  <si>
    <t>101477149314</t>
  </si>
  <si>
    <t>101477186634</t>
  </si>
  <si>
    <t>9DA82</t>
  </si>
  <si>
    <t>a7c083ec-d295-48e6-b1a4-a76ea329da82</t>
  </si>
  <si>
    <t>3280.0</t>
  </si>
  <si>
    <t>005A4</t>
  </si>
  <si>
    <t>f89074ea-8fa2-4ff7-a292-5d5bd91005a4</t>
  </si>
  <si>
    <t>79E36</t>
  </si>
  <si>
    <t>542764f9-b04a-4b9b-9385-cd88afc79e36</t>
  </si>
  <si>
    <t>DE3D4</t>
  </si>
  <si>
    <t>c5175e8a-e24f-42a7-b58b-92ef488de3d4</t>
  </si>
  <si>
    <t>0384B</t>
  </si>
  <si>
    <t>75ec109f-aa51-4db6-9567-abd58f30384b</t>
  </si>
  <si>
    <t>853EC</t>
  </si>
  <si>
    <t>21e0929d-6cf3-46ba-8ccd-bab079e853ec</t>
  </si>
  <si>
    <t>3580.0</t>
  </si>
  <si>
    <t>790CC</t>
  </si>
  <si>
    <t>d279b0e5-855d-44c1-b59d-10fae7e790cc</t>
  </si>
  <si>
    <t>1810.0</t>
  </si>
  <si>
    <t>1DD39</t>
  </si>
  <si>
    <t>54d2714d-6a6f-4369-9f24-e0845d31dd39</t>
  </si>
  <si>
    <t>D4B00</t>
  </si>
  <si>
    <t>4595c8ed-8fcf-44d6-b0e5-52369c4d4b00</t>
  </si>
  <si>
    <t>101477363549</t>
  </si>
  <si>
    <t>23075</t>
  </si>
  <si>
    <t>14b349b1-e579-47ee-9883-04ea8f423075</t>
  </si>
  <si>
    <t>AC99D</t>
  </si>
  <si>
    <t>d6539079-6fad-44ba-8222-787752eac99d</t>
  </si>
  <si>
    <t>101477220519</t>
  </si>
  <si>
    <t>6440.0</t>
  </si>
  <si>
    <t>785E1</t>
  </si>
  <si>
    <t>6e02f056-c318-448a-aa5f-e39bed1785e1</t>
  </si>
  <si>
    <t>60B36</t>
  </si>
  <si>
    <t>903db5da-0e51-4cf2-be2f-39b1e9560b36</t>
  </si>
  <si>
    <t>130.0</t>
  </si>
  <si>
    <t>3C527</t>
  </si>
  <si>
    <t>3b96fd6f-7c57-47e1-a39c-eb9980c3c527</t>
  </si>
  <si>
    <t>E76A3</t>
  </si>
  <si>
    <t>d6dfa8cd-d3b1-423a-bdaf-4b2bb3ae76a3</t>
  </si>
  <si>
    <t>803DD</t>
  </si>
  <si>
    <t>6b3effb0-fb70-4e1f-bc1c-d4439e5803dd</t>
  </si>
  <si>
    <t>4430.0</t>
  </si>
  <si>
    <t>139677</t>
  </si>
  <si>
    <t>11993</t>
  </si>
  <si>
    <t>Pot of Jollof Kitchen</t>
  </si>
  <si>
    <t>2110.0</t>
  </si>
  <si>
    <t>38449</t>
  </si>
  <si>
    <t>6203f0de-c1cc-45f4-bc8f-44d1e5738449</t>
  </si>
  <si>
    <t>1650.0</t>
  </si>
  <si>
    <t>137434</t>
  </si>
  <si>
    <t>11990</t>
  </si>
  <si>
    <t>93C91</t>
  </si>
  <si>
    <t>66a98588-0b4a-4cf5-b8a2-f95fa4f93c91</t>
  </si>
  <si>
    <t>3330.0</t>
  </si>
  <si>
    <t>A6DF5</t>
  </si>
  <si>
    <t>a5d14225-ba19-49e8-b2de-cc297d1a6df5</t>
  </si>
  <si>
    <t>2130.0</t>
  </si>
  <si>
    <t>FC8AB</t>
  </si>
  <si>
    <t>e2e06f2e-6e48-4044-a6fe-184f7d5fc8ab</t>
  </si>
  <si>
    <t>2D0EE</t>
  </si>
  <si>
    <t>6f21a11b-6a1b-4dcc-981b-4a39b5f2d0ee</t>
  </si>
  <si>
    <t>D91BD</t>
  </si>
  <si>
    <t>820ffa93-29eb-4f5c-b6ba-0c2e384d91bd</t>
  </si>
  <si>
    <t>DED65</t>
  </si>
  <si>
    <t>24c0611e-a027-4228-a491-5ed234eded65</t>
  </si>
  <si>
    <t>D3DE6</t>
  </si>
  <si>
    <t>1f186ad8-9f5d-4e29-93d1-90eb984d3de6</t>
  </si>
  <si>
    <t>07FF8</t>
  </si>
  <si>
    <t>11c8467d-20c0-4449-8a8f-66ef69607ff8</t>
  </si>
  <si>
    <t>91E0F</t>
  </si>
  <si>
    <t>e49a1b44-0487-4be4-943b-f9893e291e0f</t>
  </si>
  <si>
    <t>1780.0</t>
  </si>
  <si>
    <t>97188</t>
  </si>
  <si>
    <t>26dab976-8dec-4ec1-9f5f-6610dc297188</t>
  </si>
  <si>
    <t>2825.0</t>
  </si>
  <si>
    <t>Nov 5, 2025</t>
  </si>
  <si>
    <t>941DE</t>
  </si>
  <si>
    <t>49831231-addb-4d71-a30d-56c85dd941de</t>
  </si>
  <si>
    <t>6230.0</t>
  </si>
  <si>
    <t>ALTI05316</t>
  </si>
  <si>
    <t>LTHCPED7G3TG</t>
  </si>
  <si>
    <t>ANDOWES00327433</t>
  </si>
  <si>
    <t>LTHCP6NZAD4H</t>
  </si>
  <si>
    <t>95CDC</t>
  </si>
  <si>
    <t>4906b766-1b06-47c6-bf37-85c96e195cdc</t>
  </si>
  <si>
    <t>E0C6F</t>
  </si>
  <si>
    <t>e5b0a3f9-b85e-4592-b662-1617bc7e0c6f</t>
  </si>
  <si>
    <t>0B07C</t>
  </si>
  <si>
    <t>4d864f1a-9cb1-43d4-b5fa-662269f0b07c</t>
  </si>
  <si>
    <t>3555.0</t>
  </si>
  <si>
    <t>3AAC2</t>
  </si>
  <si>
    <t>555ddf02-ebcf-4a31-b46e-b1302363aac2</t>
  </si>
  <si>
    <t>C261F</t>
  </si>
  <si>
    <t>2170ede9-226e-4023-ad2a-88a8444c261f</t>
  </si>
  <si>
    <t>AKLL10005</t>
  </si>
  <si>
    <t>LT4TIXH1IPKCS</t>
  </si>
  <si>
    <t>B65D0</t>
  </si>
  <si>
    <t>cd65fb75-ff31-4af8-a60f-33347b3b65d0</t>
  </si>
  <si>
    <t>2290.0</t>
  </si>
  <si>
    <t>23DDB</t>
  </si>
  <si>
    <t>f4de40c6-b7c2-4dc9-ab60-deba7e123ddb</t>
  </si>
  <si>
    <t>Ichiban Sushi ,Village Market</t>
  </si>
  <si>
    <t>CF34F</t>
  </si>
  <si>
    <t>0f884b1c-3db9-4ac5-bc77-af1479acf34f</t>
  </si>
  <si>
    <t>1415.0</t>
  </si>
  <si>
    <t>ADLY05305</t>
  </si>
  <si>
    <t>LTHCPBNNO6NE</t>
  </si>
  <si>
    <t>4940.0</t>
  </si>
  <si>
    <t>13C8D</t>
  </si>
  <si>
    <t>b2b2dcf3-ca65-4f22-9650-fc93ecd13c8d</t>
  </si>
  <si>
    <t>1ANDMBP05666</t>
  </si>
  <si>
    <t>LT4TJ1740STAC</t>
  </si>
  <si>
    <t>890.0</t>
  </si>
  <si>
    <t>D9158</t>
  </si>
  <si>
    <t>81b2be1b-fd56-48bc-ab6d-9696a37d9158</t>
  </si>
  <si>
    <t>08697</t>
  </si>
  <si>
    <t>5690e872-9db6-4f96-9105-4ab815508697</t>
  </si>
  <si>
    <t>83B4B</t>
  </si>
  <si>
    <t>534d2baf-f607-46ea-9119-d6ab5e683b4b</t>
  </si>
  <si>
    <t>4295.0</t>
  </si>
  <si>
    <t>DVM31647</t>
  </si>
  <si>
    <t>LTHCP2TLC6NW</t>
  </si>
  <si>
    <t>02415</t>
  </si>
  <si>
    <t>02300f41-96f6-496a-b4f0-1af362302415</t>
  </si>
  <si>
    <t>DVM31649</t>
  </si>
  <si>
    <t>LTHCP4G44B01</t>
  </si>
  <si>
    <t>101476733858</t>
  </si>
  <si>
    <t>2420.0</t>
  </si>
  <si>
    <t>101476204942</t>
  </si>
  <si>
    <t>101476507039</t>
  </si>
  <si>
    <t>8760.0</t>
  </si>
  <si>
    <t>101476564577</t>
  </si>
  <si>
    <t>DVM31648</t>
  </si>
  <si>
    <t>LTHCP40MWS0V</t>
  </si>
  <si>
    <t>350.0</t>
  </si>
  <si>
    <t>101476551313</t>
  </si>
  <si>
    <t>4420.0</t>
  </si>
  <si>
    <t>101476612443</t>
  </si>
  <si>
    <t>13400.0</t>
  </si>
  <si>
    <t>101476255406</t>
  </si>
  <si>
    <t>4100.0</t>
  </si>
  <si>
    <t>101476639744</t>
  </si>
  <si>
    <t>3080.0</t>
  </si>
  <si>
    <t>D52B5</t>
  </si>
  <si>
    <t>bd011425-ea49-4420-8eb8-e9e7ffdd52b5</t>
  </si>
  <si>
    <t>2550.0</t>
  </si>
  <si>
    <t>8A3D6</t>
  </si>
  <si>
    <t>08f42f9a-54fd-4e86-adab-75542a18a3d6</t>
  </si>
  <si>
    <t>3675.0</t>
  </si>
  <si>
    <t>ED7B5</t>
  </si>
  <si>
    <t>597220a4-3f25-4c63-9b23-4b1486fed7b5</t>
  </si>
  <si>
    <t>145.0</t>
  </si>
  <si>
    <t>DVM31653</t>
  </si>
  <si>
    <t>LTHCPBGUGAD6</t>
  </si>
  <si>
    <t>101476440949</t>
  </si>
  <si>
    <t>101476291902</t>
  </si>
  <si>
    <t>11940.0</t>
  </si>
  <si>
    <t>101476244412</t>
  </si>
  <si>
    <t>1120.0</t>
  </si>
  <si>
    <t>101476595353</t>
  </si>
  <si>
    <t>3110.0</t>
  </si>
  <si>
    <t>DC84D</t>
  </si>
  <si>
    <t>ed6b175c-c5eb-48d1-aa52-4ac527edc84d</t>
  </si>
  <si>
    <t>101476358940</t>
  </si>
  <si>
    <t>C8E15</t>
  </si>
  <si>
    <t>db8b0c13-48af-4fe0-ad41-718f882c8e15</t>
  </si>
  <si>
    <t>101476500609</t>
  </si>
  <si>
    <t>101476493800</t>
  </si>
  <si>
    <t>4360.0</t>
  </si>
  <si>
    <t>58A40</t>
  </si>
  <si>
    <t>aeaca39c-e8d7-4f5d-a2c8-16e875358a40</t>
  </si>
  <si>
    <t>Ichiban Sushi, Kilimani</t>
  </si>
  <si>
    <t>3DB19</t>
  </si>
  <si>
    <t>464a8a46-5255-4673-ad90-47c34be3db19</t>
  </si>
  <si>
    <t>1695.0</t>
  </si>
  <si>
    <t>101476491032</t>
  </si>
  <si>
    <t>5A089</t>
  </si>
  <si>
    <t>c77c7f72-acb3-4268-b7f0-dfeeda25a089</t>
  </si>
  <si>
    <t>1025.0</t>
  </si>
  <si>
    <t>101476231198</t>
  </si>
  <si>
    <t>9040.0</t>
  </si>
  <si>
    <t>AMR01680</t>
  </si>
  <si>
    <t>LTHCPDD5AG6X</t>
  </si>
  <si>
    <t>101476514100</t>
  </si>
  <si>
    <t>68846</t>
  </si>
  <si>
    <t>f31d14f9-510a-4fe2-a51a-bed1ef068846</t>
  </si>
  <si>
    <t>101476306774</t>
  </si>
  <si>
    <t>3260.0</t>
  </si>
  <si>
    <t>CE2FB</t>
  </si>
  <si>
    <t>95766f3c-5b64-4cd9-ab53-670d22dce2fb</t>
  </si>
  <si>
    <t>101476256037</t>
  </si>
  <si>
    <t>101476610921</t>
  </si>
  <si>
    <t>86359</t>
  </si>
  <si>
    <t>e4ecc696-e8b5-4eeb-90e2-f76387086359</t>
  </si>
  <si>
    <t>4975.0</t>
  </si>
  <si>
    <t>F0FC7</t>
  </si>
  <si>
    <t>5f6b2574-5aa6-4f36-b3c4-1b63389f0fc7</t>
  </si>
  <si>
    <t>EADF2</t>
  </si>
  <si>
    <t>8b74cd85-c986-4e9c-b024-8e4ae71eadf2</t>
  </si>
  <si>
    <t>1893.0</t>
  </si>
  <si>
    <t>101476263788</t>
  </si>
  <si>
    <t>10230.0</t>
  </si>
  <si>
    <t>58926</t>
  </si>
  <si>
    <t>32cd3989-6c81-468b-afdd-23944a858926</t>
  </si>
  <si>
    <t>101476238243</t>
  </si>
  <si>
    <t>Pizza Corner Capital Center</t>
  </si>
  <si>
    <t>376EE</t>
  </si>
  <si>
    <t>76c8c215-2e04-4b73-b55d-7f7ea89376ee</t>
  </si>
  <si>
    <t>764D8</t>
  </si>
  <si>
    <t>40b3fcfc-d67e-4cac-99b5-b9f5c0c764d8</t>
  </si>
  <si>
    <t>439.0</t>
  </si>
  <si>
    <t>90DE8</t>
  </si>
  <si>
    <t>b817b849-6ff9-44cc-a425-f0c253590de8</t>
  </si>
  <si>
    <t>080F9</t>
  </si>
  <si>
    <t>3c9336c7-2eba-4c3f-b398-ea3049e080f9</t>
  </si>
  <si>
    <t>8F8F6</t>
  </si>
  <si>
    <t>8bebb179-ad01-4b4c-aa92-31bd7cd8f8f6</t>
  </si>
  <si>
    <t>C999A</t>
  </si>
  <si>
    <t>a934f7ff-539c-4232-85e6-78a7f23c999a</t>
  </si>
  <si>
    <t>64AD0</t>
  </si>
  <si>
    <t>2c4c5ef8-f885-4f1f-8a04-73b0b2564ad0</t>
  </si>
  <si>
    <t>A1E48</t>
  </si>
  <si>
    <t>7182830a-5da8-4a89-a83f-5619f2fa1e48</t>
  </si>
  <si>
    <t>DF9B4</t>
  </si>
  <si>
    <t>be81d01a-4834-48bc-a88c-836c4bbdf9b4</t>
  </si>
  <si>
    <t>1850.0</t>
  </si>
  <si>
    <t>ALTI05302</t>
  </si>
  <si>
    <t>LTHCP7JF5BV6</t>
  </si>
  <si>
    <t>EBE61</t>
  </si>
  <si>
    <t>81517225-bb62-42a5-8716-f54cba7ebe61</t>
  </si>
  <si>
    <t>86B98</t>
  </si>
  <si>
    <t>1d6ad78e-027e-4aa3-b7ae-889fd5486b98</t>
  </si>
  <si>
    <t>3129.0</t>
  </si>
  <si>
    <t>AMR01673</t>
  </si>
  <si>
    <t>LTHCP2SBW278</t>
  </si>
  <si>
    <t>15BCC</t>
  </si>
  <si>
    <t>93b9a49a-536b-4b57-bb8a-f98497615bcc</t>
  </si>
  <si>
    <t>2709.0</t>
  </si>
  <si>
    <t>37A0A</t>
  </si>
  <si>
    <t>198711fb-8400-4e20-aa1b-2abc22237a0a</t>
  </si>
  <si>
    <t>3790.0</t>
  </si>
  <si>
    <t>A162D</t>
  </si>
  <si>
    <t>60fcca32-186c-4a46-a388-ad16365a162d</t>
  </si>
  <si>
    <t>2329.0</t>
  </si>
  <si>
    <t>E0613</t>
  </si>
  <si>
    <t>c91f826a-5e6f-4376-90f1-d44109ae0613</t>
  </si>
  <si>
    <t>1919.0</t>
  </si>
  <si>
    <t>C81EC</t>
  </si>
  <si>
    <t>5fcf6cdd-4843-40ce-b4f9-010e3bec81ec</t>
  </si>
  <si>
    <t>1829.0</t>
  </si>
  <si>
    <t>E86B2</t>
  </si>
  <si>
    <t>12fbfd16-66ac-4fab-aeaf-f6bd81be86b2</t>
  </si>
  <si>
    <t>1079.0</t>
  </si>
  <si>
    <t>35DF5</t>
  </si>
  <si>
    <t>f2ff45d1-55ba-42bd-8eae-5c89eb535df5</t>
  </si>
  <si>
    <t>8780.0</t>
  </si>
  <si>
    <t>DDBDA</t>
  </si>
  <si>
    <t>25f725c9-d965-4640-9910-2cb80e6ddbda</t>
  </si>
  <si>
    <t>3190.0</t>
  </si>
  <si>
    <t>1BA77</t>
  </si>
  <si>
    <t>147a61f4-a20b-456b-955e-2c8b4fa1ba77</t>
  </si>
  <si>
    <t>AMR01677</t>
  </si>
  <si>
    <t>LT4TIZXBBTJ3C</t>
  </si>
  <si>
    <t>8B68B</t>
  </si>
  <si>
    <t>2e1b0c80-9554-4edb-9b72-2f665848b68b</t>
  </si>
  <si>
    <t>ALTI05295</t>
  </si>
  <si>
    <t>LT4TIYXCTZQI2</t>
  </si>
  <si>
    <t>FAF0E</t>
  </si>
  <si>
    <t>7a9e5f74-5f59-447b-9b4e-a6e2fe2faf0e</t>
  </si>
  <si>
    <t>4540.0</t>
  </si>
  <si>
    <t>ALTI05312</t>
  </si>
  <si>
    <t>LTHCPDS5MX73</t>
  </si>
  <si>
    <t>3690.0</t>
  </si>
  <si>
    <t>C60BC</t>
  </si>
  <si>
    <t>b0c022d8-176a-4f81-a942-51076d2c60bc</t>
  </si>
  <si>
    <t>79D54</t>
  </si>
  <si>
    <t>ada9dc8b-79bb-44be-a1ed-db6d53579d54</t>
  </si>
  <si>
    <t>4250.0</t>
  </si>
  <si>
    <t>6471B</t>
  </si>
  <si>
    <t>5bd0572c-2b84-4259-874e-ce9a9f06471b</t>
  </si>
  <si>
    <t>ALTI05317</t>
  </si>
  <si>
    <t>LTHCPEKTS7U6</t>
  </si>
  <si>
    <t>1970.0</t>
  </si>
  <si>
    <t>A6D03</t>
  </si>
  <si>
    <t>923574d6-ade9-4f11-8289-e40825fa6d03</t>
  </si>
  <si>
    <t>3950.0</t>
  </si>
  <si>
    <t>6DA76</t>
  </si>
  <si>
    <t>a84a9236-354a-4cc1-ae31-d66d9e26da76</t>
  </si>
  <si>
    <t>3730.0</t>
  </si>
  <si>
    <t>574F6</t>
  </si>
  <si>
    <t>ee3abdbc-039e-421d-a19c-14f736f574f6</t>
  </si>
  <si>
    <t>05541</t>
  </si>
  <si>
    <t>aad948dc-0a38-4304-b966-91d9b3105541</t>
  </si>
  <si>
    <t>335EB</t>
  </si>
  <si>
    <t>82a59b24-a0ef-4a55-a307-4a09d35335eb</t>
  </si>
  <si>
    <t>DVM31651</t>
  </si>
  <si>
    <t>LTHCP4O1260G</t>
  </si>
  <si>
    <t>B4D93</t>
  </si>
  <si>
    <t>0104d415-56e1-4fb5-b62f-ebdcde9b4d93</t>
  </si>
  <si>
    <t>CAFE6</t>
  </si>
  <si>
    <t>e04702c6-36a1-43ad-8986-325b7f9cafe6</t>
  </si>
  <si>
    <t>B06A9</t>
  </si>
  <si>
    <t>a8e84f13-4213-468b-89a0-4edffb7b06a9</t>
  </si>
  <si>
    <t>DVM31645</t>
  </si>
  <si>
    <t>LT1C79JV90VMLC</t>
  </si>
  <si>
    <t>850.0</t>
  </si>
  <si>
    <t>ALTI05293</t>
  </si>
  <si>
    <t>LTHCP2HTRVFO</t>
  </si>
  <si>
    <t>B3916</t>
  </si>
  <si>
    <t>86c1cb3b-dbdb-4572-bcf1-8441c11b3916</t>
  </si>
  <si>
    <t>2480.0</t>
  </si>
  <si>
    <t>D6C87</t>
  </si>
  <si>
    <t>bdb62f9c-51cf-4920-8c75-158b79fd6c87</t>
  </si>
  <si>
    <t>AMR01678</t>
  </si>
  <si>
    <t>LTHCP7K58FA8</t>
  </si>
  <si>
    <t>52879</t>
  </si>
  <si>
    <t>ebd6b34a-dabb-4741-8adf-3b69fec52879</t>
  </si>
  <si>
    <t>DE96A</t>
  </si>
  <si>
    <t>1774fa29-d059-45bc-a991-c2672acde96a</t>
  </si>
  <si>
    <t>E88F8</t>
  </si>
  <si>
    <t>db898649-ec1b-49d8-a39c-6aab502e88f8</t>
  </si>
  <si>
    <t>877A2</t>
  </si>
  <si>
    <t>a3b1c94a-3f29-4e4f-8fda-d3ffdda877a2</t>
  </si>
  <si>
    <t>2283B</t>
  </si>
  <si>
    <t>cc3a222b-654e-47af-bcc7-b5767642283b</t>
  </si>
  <si>
    <t>2460.0</t>
  </si>
  <si>
    <t>1ANDMBP05667</t>
  </si>
  <si>
    <t>LTHCPEGDZDT8</t>
  </si>
  <si>
    <t>AMR01676</t>
  </si>
  <si>
    <t>LTHCP4YLXFEE</t>
  </si>
  <si>
    <t>8CB1E</t>
  </si>
  <si>
    <t>e6abe0ab-7403-4b41-a8ad-ee4d95d8cb1e</t>
  </si>
  <si>
    <t>D2EA2</t>
  </si>
  <si>
    <t>1289d844-70f8-48b2-bf56-6fb18d2d2ea2</t>
  </si>
  <si>
    <t>ACF52</t>
  </si>
  <si>
    <t>65823b2c-e81b-47e9-bc52-c291755acf52</t>
  </si>
  <si>
    <t>ALTI05314</t>
  </si>
  <si>
    <t>LT4TJ1YIF462M</t>
  </si>
  <si>
    <t>1A679</t>
  </si>
  <si>
    <t>6c909aff-b7e2-487b-a218-e8209391a679</t>
  </si>
  <si>
    <t>5C443</t>
  </si>
  <si>
    <t>1510bed2-0408-40de-8ca4-6933a785c443</t>
  </si>
  <si>
    <t>7DBF0</t>
  </si>
  <si>
    <t>4d77f71f-8e45-4d50-8dd6-7a320e77dbf0</t>
  </si>
  <si>
    <t>AB921</t>
  </si>
  <si>
    <t>f3f5bc6f-93f4-4e7a-bae4-dd5c0eaab921</t>
  </si>
  <si>
    <t>05BB8</t>
  </si>
  <si>
    <t>ce57a51c-5b21-47b7-9143-b24f08905bb8</t>
  </si>
  <si>
    <t>1C9EE</t>
  </si>
  <si>
    <t>e25bc28c-b3fb-4979-b279-a3fa6391c9ee</t>
  </si>
  <si>
    <t>1460.0</t>
  </si>
  <si>
    <t>269B9</t>
  </si>
  <si>
    <t>48fe7c8e-9757-4eec-9ba3-fc24501269b9</t>
  </si>
  <si>
    <t>3599.0</t>
  </si>
  <si>
    <t>ALTI05306</t>
  </si>
  <si>
    <t>LTHCPC0S02I0</t>
  </si>
  <si>
    <t>7D1AE</t>
  </si>
  <si>
    <t>2949f367-c334-43b9-832f-8b9caa87d1ae</t>
  </si>
  <si>
    <t>0E2D7</t>
  </si>
  <si>
    <t>a2721958-b37e-4f4d-a730-11215490e2d7</t>
  </si>
  <si>
    <t>746FE</t>
  </si>
  <si>
    <t>95f9a2c1-8e89-4ac3-a021-9dd6f53746fe</t>
  </si>
  <si>
    <t>B8ED1</t>
  </si>
  <si>
    <t>3ef54441-568d-46ec-aafb-f454361b8ed1</t>
  </si>
  <si>
    <t>90B03</t>
  </si>
  <si>
    <t>cd6072e6-d7ba-4e1f-a2b8-d62bb8f90b03</t>
  </si>
  <si>
    <t>4D52E</t>
  </si>
  <si>
    <t>8e6d0772-8e56-41bb-97b5-b74cc734d52e</t>
  </si>
  <si>
    <t>53D9B</t>
  </si>
  <si>
    <t>8bda7543-3878-45ea-85f6-297344453d9b</t>
  </si>
  <si>
    <t>1430.0</t>
  </si>
  <si>
    <t>7282B</t>
  </si>
  <si>
    <t>77a745b8-df7d-437b-9bee-b81935a7282b</t>
  </si>
  <si>
    <t>2660.0</t>
  </si>
  <si>
    <t>95A98</t>
  </si>
  <si>
    <t>177dfdf6-366b-4d5c-86ca-d9e27e095a98</t>
  </si>
  <si>
    <t>C71A8</t>
  </si>
  <si>
    <t>5a87dac4-ca3d-4cfc-843c-bb94a7dc71a8</t>
  </si>
  <si>
    <t>F20DE</t>
  </si>
  <si>
    <t>85b84e3e-7118-4523-89c3-91c826af20de</t>
  </si>
  <si>
    <t>101476690586</t>
  </si>
  <si>
    <t>3160.0</t>
  </si>
  <si>
    <t>101476558562</t>
  </si>
  <si>
    <t>AD9E7</t>
  </si>
  <si>
    <t>92f95964-b464-42d4-bd89-1fa229aad9e7</t>
  </si>
  <si>
    <t>7DDDD</t>
  </si>
  <si>
    <t>631543e2-02a5-48fe-9434-d1a002e7dddd</t>
  </si>
  <si>
    <t>63C9D</t>
  </si>
  <si>
    <t>a7f66272-d25c-4a57-86ee-e25854c63c9d</t>
  </si>
  <si>
    <t>0379A</t>
  </si>
  <si>
    <t>48fc6d03-55ad-43a5-9c9a-33f30d10379a</t>
  </si>
  <si>
    <t>1330.0</t>
  </si>
  <si>
    <t>DC9A6</t>
  </si>
  <si>
    <t>6b1fa1aa-27ad-4830-b5bb-2c93a23dc9a6</t>
  </si>
  <si>
    <t>9A2AD</t>
  </si>
  <si>
    <t>0e209e56-85f7-4542-a90e-15734189a2ad</t>
  </si>
  <si>
    <t>101476288394</t>
  </si>
  <si>
    <t>82F33</t>
  </si>
  <si>
    <t>d2e07ca0-77cb-42d4-bdcb-bf4348482f33</t>
  </si>
  <si>
    <t>101476568297</t>
  </si>
  <si>
    <t>A4EF9</t>
  </si>
  <si>
    <t>4aa9062f-70f1-427e-a1fa-63209fca4ef9</t>
  </si>
  <si>
    <t>101476440702</t>
  </si>
  <si>
    <t>4900.0</t>
  </si>
  <si>
    <t>101476231974</t>
  </si>
  <si>
    <t>3460.0</t>
  </si>
  <si>
    <t>162CC</t>
  </si>
  <si>
    <t>fed8244c-b722-49d5-87d4-3ae1f4b162cc</t>
  </si>
  <si>
    <t>4A5B1</t>
  </si>
  <si>
    <t>b59a1ab0-6826-4305-9489-534e1d04a5b1</t>
  </si>
  <si>
    <t>98F94</t>
  </si>
  <si>
    <t>fb9275d6-9b03-459b-b1e0-c58ab3c98f94</t>
  </si>
  <si>
    <t>101476666570</t>
  </si>
  <si>
    <t>4680.0</t>
  </si>
  <si>
    <t>C9997</t>
  </si>
  <si>
    <t>dd54b907-347f-4e35-a6d5-5b37ca5c9997</t>
  </si>
  <si>
    <t>640.0</t>
  </si>
  <si>
    <t>101476217037</t>
  </si>
  <si>
    <t>49839</t>
  </si>
  <si>
    <t>d25af077-1428-4e3d-9232-a782fbf49839</t>
  </si>
  <si>
    <t>2001.0</t>
  </si>
  <si>
    <t>9BC2C</t>
  </si>
  <si>
    <t>96ecdcbd-dc1b-4381-921f-f4a00239bc2c</t>
  </si>
  <si>
    <t>2951.0</t>
  </si>
  <si>
    <t>101476646188</t>
  </si>
  <si>
    <t xml:space="preserve">Pizza Corner (Village market 00000
00000 Nairobi
Kenya) [NBO]</t>
  </si>
  <si>
    <t>101476553464</t>
  </si>
  <si>
    <t>3560.0</t>
  </si>
  <si>
    <t>28E1D</t>
  </si>
  <si>
    <t>85d65cff-6eb7-4bb9-a2c5-a4083e228e1d</t>
  </si>
  <si>
    <t>1661.0</t>
  </si>
  <si>
    <t>101476557659</t>
  </si>
  <si>
    <t>4770.0</t>
  </si>
  <si>
    <t>11E9A</t>
  </si>
  <si>
    <t>acc975f7-54fb-4a8c-8d5e-d3e053511e9a</t>
  </si>
  <si>
    <t>6F507</t>
  </si>
  <si>
    <t>6298211d-8417-4037-ba84-a0c9fa16f507</t>
  </si>
  <si>
    <t>1010.0</t>
  </si>
  <si>
    <t>300FA</t>
  </si>
  <si>
    <t>5c7ba6be-3602-4c8a-9a31-4a3f5de300fa</t>
  </si>
  <si>
    <t>9DF1E</t>
  </si>
  <si>
    <t>f6a5ebbe-ecd2-4246-9127-a8084239df1e</t>
  </si>
  <si>
    <t>5040.0</t>
  </si>
  <si>
    <t>D9033</t>
  </si>
  <si>
    <t>5cd83073-3fe9-4925-b071-e3100bed9033</t>
  </si>
  <si>
    <t>5240.0</t>
  </si>
  <si>
    <t>0483B</t>
  </si>
  <si>
    <t>1de03933-d27c-4d67-a273-8457d760483b</t>
  </si>
  <si>
    <t>3920.0</t>
  </si>
  <si>
    <t>101476626016</t>
  </si>
  <si>
    <t>101476244801</t>
  </si>
  <si>
    <t>9D357</t>
  </si>
  <si>
    <t>1ef344b2-2269-4d5e-9a89-3fd9c0d9d357</t>
  </si>
  <si>
    <t>6AFC2</t>
  </si>
  <si>
    <t>34b13a33-d8a9-4229-961c-d43abca6afc2</t>
  </si>
  <si>
    <t>101476603667</t>
  </si>
  <si>
    <t>Pizza Corner - NBO - Mpaka rd</t>
  </si>
  <si>
    <t>101476638371</t>
  </si>
  <si>
    <t>4960.0</t>
  </si>
  <si>
    <t>F847E</t>
  </si>
  <si>
    <t>d2070216-292e-4714-8191-79ddf96f847e</t>
  </si>
  <si>
    <t>5E69B</t>
  </si>
  <si>
    <t>020ba002-4b77-413c-8bc5-2afbbcc5e69b</t>
  </si>
  <si>
    <t>447D1</t>
  </si>
  <si>
    <t>b490fab3-aa19-46f3-8707-79e1dc2447d1</t>
  </si>
  <si>
    <t>1595.0</t>
  </si>
  <si>
    <t>8C365</t>
  </si>
  <si>
    <t>33cb5a7b-00a4-4cf1-8d38-4f2d1d38c365</t>
  </si>
  <si>
    <t>3D033</t>
  </si>
  <si>
    <t>94daecfd-c1cc-4795-aec9-816c3803d033</t>
  </si>
  <si>
    <t>101476236994</t>
  </si>
  <si>
    <t>101476246496</t>
  </si>
  <si>
    <t>101476462767</t>
  </si>
  <si>
    <t>101476268193</t>
  </si>
  <si>
    <t>101476484596</t>
  </si>
  <si>
    <t>081D2</t>
  </si>
  <si>
    <t>c11cb8f9-3354-4b5e-9a0b-e67d5fe081d2</t>
  </si>
  <si>
    <t>101476576274</t>
  </si>
  <si>
    <t>101476355587</t>
  </si>
  <si>
    <t>87C74</t>
  </si>
  <si>
    <t>c6c8d280-7a63-479b-818f-dcad46387c74</t>
  </si>
  <si>
    <t>1193.0</t>
  </si>
  <si>
    <t>F6B4B</t>
  </si>
  <si>
    <t>6af13781-32d6-48d7-9f82-f76c7fbf6b4b</t>
  </si>
  <si>
    <t>1133.0</t>
  </si>
  <si>
    <t>52B6D</t>
  </si>
  <si>
    <t>b503f0f0-c608-4fff-9277-4397c1b52b6d</t>
  </si>
  <si>
    <t>3070.0</t>
  </si>
  <si>
    <t>D5965</t>
  </si>
  <si>
    <t>7c5b7492-a4b6-4762-aa1a-46e7007d5965</t>
  </si>
  <si>
    <t>2810.0</t>
  </si>
  <si>
    <t>3DDBF</t>
  </si>
  <si>
    <t>d315c641-7f7f-47c0-8177-a04df483ddbf</t>
  </si>
  <si>
    <t>610.0</t>
  </si>
  <si>
    <t>A3396</t>
  </si>
  <si>
    <t>a7301ca8-e0df-4784-af73-4503531a3396</t>
  </si>
  <si>
    <t>335.0</t>
  </si>
  <si>
    <t>3B4A4</t>
  </si>
  <si>
    <t>95fc84f3-789f-4627-9cdb-808b4593b4a4</t>
  </si>
  <si>
    <t>204.0</t>
  </si>
  <si>
    <t>B6E6A</t>
  </si>
  <si>
    <t>b53ec784-0730-4d70-a99d-fa34b33b6e6a</t>
  </si>
  <si>
    <t>2710.0</t>
  </si>
  <si>
    <t>AE166</t>
  </si>
  <si>
    <t>1706c5a9-c319-4b96-a181-3138b8eae166</t>
  </si>
  <si>
    <t>2608F</t>
  </si>
  <si>
    <t>fbda47e4-0d60-443a-b2ba-a54a4572608f</t>
  </si>
  <si>
    <t>4E759</t>
  </si>
  <si>
    <t>c040be95-7dd8-45e4-89ec-c31f5ac4e759</t>
  </si>
  <si>
    <t>906C1</t>
  </si>
  <si>
    <t>a0fca639-52b0-436a-805d-c1b4b05906c1</t>
  </si>
  <si>
    <t>ANDOWES00327435</t>
  </si>
  <si>
    <t>LT1C7A5VDHAGKG</t>
  </si>
  <si>
    <t>2D9D2</t>
  </si>
  <si>
    <t>6cda71e0-a154-46b8-8c44-383b0602d9d2</t>
  </si>
  <si>
    <t>01D1D</t>
  </si>
  <si>
    <t>e1fbc551-aca9-4d3a-b639-416439501d1d</t>
  </si>
  <si>
    <t>79BBD</t>
  </si>
  <si>
    <t>2370da1b-24a9-4307-b034-00d2e2a79bbd</t>
  </si>
  <si>
    <t>3530.0</t>
  </si>
  <si>
    <t>C67A2</t>
  </si>
  <si>
    <t>2ffc9e53-dd09-466c-b4eb-62d3ac1c67a2</t>
  </si>
  <si>
    <t>4330.0</t>
  </si>
  <si>
    <t>90443</t>
  </si>
  <si>
    <t>b18addf2-0b8c-4b62-a1e8-ed6ac4a90443</t>
  </si>
  <si>
    <t>DBD41</t>
  </si>
  <si>
    <t>c664f832-54c6-4b21-a954-1401509dbd41</t>
  </si>
  <si>
    <t>2F699</t>
  </si>
  <si>
    <t>3f2f6314-f435-42b9-99df-fa295ff2f699</t>
  </si>
  <si>
    <t>85B84</t>
  </si>
  <si>
    <t>7cecd415-02d4-492d-b38d-b1fb00d85b84</t>
  </si>
  <si>
    <t>190.0</t>
  </si>
  <si>
    <t>B7947</t>
  </si>
  <si>
    <t>3ee8ffaa-73d4-48a3-9dc5-3af87b1b7947</t>
  </si>
  <si>
    <t>6ECD3</t>
  </si>
  <si>
    <t>21e2eaf8-60ea-48a4-bcab-dd6adc36ecd3</t>
  </si>
  <si>
    <t>AB5AF</t>
  </si>
  <si>
    <t>4dba569e-4557-460d-8936-45ee30eab5af</t>
  </si>
  <si>
    <t>D287C</t>
  </si>
  <si>
    <t>20b05f1f-b7fb-4601-b327-a0fa116d287c</t>
  </si>
  <si>
    <t>63B35</t>
  </si>
  <si>
    <t>d4b4a8d7-7d53-4bf3-9aef-480223d63b35</t>
  </si>
  <si>
    <t>1369B</t>
  </si>
  <si>
    <t>d9f96f6e-072e-4076-b5d4-e5b9ffd1369b</t>
  </si>
  <si>
    <t>542A3</t>
  </si>
  <si>
    <t>c56615b3-b4e9-46ee-9601-bb4d3fc542a3</t>
  </si>
  <si>
    <t>1365.0</t>
  </si>
  <si>
    <t>C2B0E</t>
  </si>
  <si>
    <t>597ac31f-97ba-4d00-b9a7-7eddb98c2b0e</t>
  </si>
  <si>
    <t>101476658570</t>
  </si>
  <si>
    <t>3360.0</t>
  </si>
  <si>
    <t>101476538494</t>
  </si>
  <si>
    <t>8730.0</t>
  </si>
  <si>
    <t>35763</t>
  </si>
  <si>
    <t>e698a382-dce6-48d6-9db6-ac2808435763</t>
  </si>
  <si>
    <t>2725.0</t>
  </si>
  <si>
    <t>24339</t>
  </si>
  <si>
    <t>af09e43a-c6b5-4814-a160-2be5e9324339</t>
  </si>
  <si>
    <t>8619B</t>
  </si>
  <si>
    <t>852edc36-eda6-4886-af7f-cea69208619b</t>
  </si>
  <si>
    <t>2393.0</t>
  </si>
  <si>
    <t>6A4E4</t>
  </si>
  <si>
    <t>8ac97d70-82bc-4f37-8acd-91e6fe56a4e4</t>
  </si>
  <si>
    <t>3F7E7</t>
  </si>
  <si>
    <t>6c990c44-6e04-4822-8aa6-40098243f7e7</t>
  </si>
  <si>
    <t>1380.0</t>
  </si>
  <si>
    <t>501BA</t>
  </si>
  <si>
    <t>b7bce550-e1b8-41de-ae0b-0cf5ef0501ba</t>
  </si>
  <si>
    <t>F4CEE</t>
  </si>
  <si>
    <t>a4ae7b61-94fc-4a40-b3a0-2cbe7e6f4cee</t>
  </si>
  <si>
    <t>174CC</t>
  </si>
  <si>
    <t>3cbe3911-27ea-47f4-86d8-7e602c1174cc</t>
  </si>
  <si>
    <t>88B86</t>
  </si>
  <si>
    <t>04cab823-1aee-4a4d-9817-9ad0c8b88b86</t>
  </si>
  <si>
    <t>D9A1A</t>
  </si>
  <si>
    <t>dbddb896-2d57-4522-bcc6-e6de497d9a1a</t>
  </si>
  <si>
    <t>7AE4C</t>
  </si>
  <si>
    <t>1f6cb20e-6f07-43b1-a0dc-db67d0a7ae4c</t>
  </si>
  <si>
    <t>22816</t>
  </si>
  <si>
    <t>79b0cc20-b53e-4f06-9ec4-fcd46a322816</t>
  </si>
  <si>
    <t>39137</t>
  </si>
  <si>
    <t>0f4cc5c3-93b6-4794-8901-696ded239137</t>
  </si>
  <si>
    <t>3370.0</t>
  </si>
  <si>
    <t>0D5EB</t>
  </si>
  <si>
    <t>2ef366d7-593a-4ba7-a61b-53e22d20d5eb</t>
  </si>
  <si>
    <t>101476630542</t>
  </si>
  <si>
    <t>B0763</t>
  </si>
  <si>
    <t>ce9622db-ae82-4b8d-90b0-dd4dd48b0763</t>
  </si>
  <si>
    <t>5730.0</t>
  </si>
  <si>
    <t>E95FE</t>
  </si>
  <si>
    <t>b26f9c28-1ad1-4cbd-8b4b-2eaa1a4e95fe</t>
  </si>
  <si>
    <t>4380.0</t>
  </si>
  <si>
    <t>8DEA4</t>
  </si>
  <si>
    <t>12e12d9d-9f3b-42df-a3c5-12a9c048dea4</t>
  </si>
  <si>
    <t>8E38E</t>
  </si>
  <si>
    <t>dfe2f442-0670-4c90-b00a-d3215cc8e38e</t>
  </si>
  <si>
    <t>2125.0</t>
  </si>
  <si>
    <t>55753</t>
  </si>
  <si>
    <t>429336c7-45f7-4e9b-9694-d78e1a655753</t>
  </si>
  <si>
    <t>A63FD</t>
  </si>
  <si>
    <t>8accf3a0-ed41-4c08-a5d8-08465b6a63fd</t>
  </si>
  <si>
    <t>3150.0</t>
  </si>
  <si>
    <t>3A695</t>
  </si>
  <si>
    <t>2b4cc333-88d2-4a4f-bda8-7f1baf83a695</t>
  </si>
  <si>
    <t>4090.0</t>
  </si>
  <si>
    <t>9B679</t>
  </si>
  <si>
    <t>f625a268-6d4e-46a1-a838-e10e91b9b679</t>
  </si>
  <si>
    <t>3660.0</t>
  </si>
  <si>
    <t>0550E</t>
  </si>
  <si>
    <t>9d6f220a-3512-46d0-81ef-0e41fe40550e</t>
  </si>
  <si>
    <t>FAC1E</t>
  </si>
  <si>
    <t>5c94bdac-6fd8-4342-9f0a-18d0326fac1e</t>
  </si>
  <si>
    <t>834A6</t>
  </si>
  <si>
    <t>8dd5bedd-72f8-4b40-828f-ef56b4f834a6</t>
  </si>
  <si>
    <t>3819.0</t>
  </si>
  <si>
    <t>CA5B0</t>
  </si>
  <si>
    <t>e9ee0244-3733-438f-aae8-afb8161ca5b0</t>
  </si>
  <si>
    <t>FDE80</t>
  </si>
  <si>
    <t>6ee541b3-c381-4a27-a515-82847a2fde80</t>
  </si>
  <si>
    <t>230CA</t>
  </si>
  <si>
    <t>ae291352-35bc-4635-81a9-2f3a67e230ca</t>
  </si>
  <si>
    <t>1230.0</t>
  </si>
  <si>
    <t>A2541</t>
  </si>
  <si>
    <t>396ce0ca-57a6-45fd-a0d4-11567a6a2541</t>
  </si>
  <si>
    <t>3F06F</t>
  </si>
  <si>
    <t>6ef167a1-6011-4ea9-b973-b1fe8513f06f</t>
  </si>
  <si>
    <t>1411.0</t>
  </si>
  <si>
    <t>C735E</t>
  </si>
  <si>
    <t>61b37c2c-59c9-40bc-84c6-8475b31c735e</t>
  </si>
  <si>
    <t>3960.0</t>
  </si>
  <si>
    <t>A6675</t>
  </si>
  <si>
    <t>41d4a736-cda3-45a3-9a1e-8c2c40da6675</t>
  </si>
  <si>
    <t>2050.0</t>
  </si>
  <si>
    <t>C2A03</t>
  </si>
  <si>
    <t>c4fa7d31-f210-4286-8499-ae55730c2a03</t>
  </si>
  <si>
    <t>AC506</t>
  </si>
  <si>
    <t>dfa4938c-2c32-42d6-aee9-22ea622ac506</t>
  </si>
  <si>
    <t>FBCD0</t>
  </si>
  <si>
    <t>623562d4-0023-43f2-9659-0a06242fbcd0</t>
  </si>
  <si>
    <t>5375.0</t>
  </si>
  <si>
    <t>101476530949</t>
  </si>
  <si>
    <t>B2361</t>
  </si>
  <si>
    <t>7d2ac56d-21ea-4b15-ba1a-18a3eb6b2361</t>
  </si>
  <si>
    <t>620.0</t>
  </si>
  <si>
    <t>7.0</t>
  </si>
  <si>
    <t>138020</t>
  </si>
  <si>
    <t>11974</t>
  </si>
  <si>
    <t>68B10</t>
  </si>
  <si>
    <t>a2e5ec68-8fd6-4762-ae7e-23bf6a068b10</t>
  </si>
  <si>
    <t>DE0E7</t>
  </si>
  <si>
    <t>7c626a1b-fcba-46b1-8054-f41be12de0e7</t>
  </si>
  <si>
    <t>30E09</t>
  </si>
  <si>
    <t>0d5a92dd-6e56-4e56-a874-33eda5430e09</t>
  </si>
  <si>
    <t>1765.0</t>
  </si>
  <si>
    <t>133972</t>
  </si>
  <si>
    <t>11978</t>
  </si>
  <si>
    <t>135379</t>
  </si>
  <si>
    <t>11984</t>
  </si>
  <si>
    <t>470.0</t>
  </si>
  <si>
    <t>E1B71</t>
  </si>
  <si>
    <t>5e6d15d9-4171-49ab-b98a-d734d40e1b71</t>
  </si>
  <si>
    <t>2220.0</t>
  </si>
  <si>
    <t>B5C77</t>
  </si>
  <si>
    <t>792b46d4-b371-45ae-8046-b7e8861b5c77</t>
  </si>
  <si>
    <t>9C2C6</t>
  </si>
  <si>
    <t>e3c23715-0c82-4320-9490-e19d6a59c2c6</t>
  </si>
  <si>
    <t>88DFF</t>
  </si>
  <si>
    <t>6da243b2-479d-43eb-b158-9bf5e6988dff</t>
  </si>
  <si>
    <t>E82E4</t>
  </si>
  <si>
    <t>b35d77b5-eb7e-484d-a66c-7dc54b5e82e4</t>
  </si>
  <si>
    <t>53DF4</t>
  </si>
  <si>
    <t>97e6639b-f911-4e47-a926-ae952ce53df4</t>
  </si>
  <si>
    <t>101476223126</t>
  </si>
  <si>
    <t>4180.0</t>
  </si>
  <si>
    <t>101476265194</t>
  </si>
  <si>
    <t>DEC28</t>
  </si>
  <si>
    <t>cd4cf0b8-8d4b-453a-ac42-9a728fcdec28</t>
  </si>
  <si>
    <t>c26c2d9d-a14c-4628-aef1-b36cfa8ac99d</t>
  </si>
  <si>
    <t>130863</t>
  </si>
  <si>
    <t>11982</t>
  </si>
  <si>
    <t>134451</t>
  </si>
  <si>
    <t>11977</t>
  </si>
  <si>
    <t>Chicago Pizza</t>
  </si>
  <si>
    <t>139116</t>
  </si>
  <si>
    <t>11979</t>
  </si>
  <si>
    <t>AEA54</t>
  </si>
  <si>
    <t>8f17aa96-3e68-4e3b-af02-09e3be0aea54</t>
  </si>
  <si>
    <t>1A324</t>
  </si>
  <si>
    <t>a0f35479-3882-4423-9189-60106741a324</t>
  </si>
  <si>
    <t>281D4</t>
  </si>
  <si>
    <t>e2882d22-78e9-4831-a2fc-48763dc281d4</t>
  </si>
  <si>
    <t>1770.0</t>
  </si>
  <si>
    <t>155F6</t>
  </si>
  <si>
    <t>38c5f983-7c14-4ce2-9856-7d3c9ed155f6</t>
  </si>
  <si>
    <t>0E212</t>
  </si>
  <si>
    <t>3dd6b962-7370-409f-9350-5de4a680e212</t>
  </si>
  <si>
    <t>40571</t>
  </si>
  <si>
    <t>29faa2b9-cf5e-427d-b47f-4cd562e40571</t>
  </si>
  <si>
    <t>F2935</t>
  </si>
  <si>
    <t>f0d027c3-c92d-43f4-bd8e-a1a90e4f2935</t>
  </si>
  <si>
    <t>1FF64</t>
  </si>
  <si>
    <t>a67e90ad-3c7e-4fae-b0f3-87be4841ff64</t>
  </si>
  <si>
    <t>139603</t>
  </si>
  <si>
    <t>11985</t>
  </si>
  <si>
    <t>Pizza Corner, Since 1989</t>
  </si>
  <si>
    <t>5F804</t>
  </si>
  <si>
    <t>ed132223-10a4-42cb-9b4f-57ee2785f804</t>
  </si>
  <si>
    <t>2650F</t>
  </si>
  <si>
    <t>92769163-0717-4334-93a1-75dfbae2650f</t>
  </si>
  <si>
    <t>1580.0</t>
  </si>
  <si>
    <t>0F810</t>
  </si>
  <si>
    <t>31240b40-8a0f-43a2-bf0c-7dae92a0f810</t>
  </si>
  <si>
    <t>861E3</t>
  </si>
  <si>
    <t>e1b83305-4c4d-4ec3-8076-54b9826861e3</t>
  </si>
  <si>
    <t>6258.0</t>
  </si>
  <si>
    <t>4A6E8</t>
  </si>
  <si>
    <t>b190baa9-12fa-4d08-b132-2ea01734a6e8</t>
  </si>
  <si>
    <t>3179.0</t>
  </si>
  <si>
    <t>0D5D1</t>
  </si>
  <si>
    <t>607cddce-0b5e-4ab7-978e-120c39a0d5d1</t>
  </si>
  <si>
    <t>C6D6A</t>
  </si>
  <si>
    <t>9ac6e505-a689-4ae2-9fb0-59a2458c6d6a</t>
  </si>
  <si>
    <t>1570.0</t>
  </si>
  <si>
    <t>C5F22</t>
  </si>
  <si>
    <t>b711a8a6-42bc-49b4-bb32-a886c17c5f22</t>
  </si>
  <si>
    <t>70E00</t>
  </si>
  <si>
    <t>1251b20e-9b44-42b4-b5af-82c57f070e00</t>
  </si>
  <si>
    <t>40091</t>
  </si>
  <si>
    <t>3468c04f-13d0-4c31-b4ce-6c883ca40091</t>
  </si>
  <si>
    <t>AE564</t>
  </si>
  <si>
    <t>1f54df1b-105e-421a-9203-1ef094aae564</t>
  </si>
  <si>
    <t>Pomona Fresh Juices, Since 1999</t>
  </si>
  <si>
    <t>2090.0</t>
  </si>
  <si>
    <t>85258</t>
  </si>
  <si>
    <t>f9c3d472-8cad-4577-9dfa-505883785258</t>
  </si>
  <si>
    <t>59BBD</t>
  </si>
  <si>
    <t>183d2513-1536-4d34-b1f4-7bff6d559bbd</t>
  </si>
  <si>
    <t>1575.0</t>
  </si>
  <si>
    <t>AEE8B</t>
  </si>
  <si>
    <t>be61bb0f-726a-4317-85bc-774da2eaee8b</t>
  </si>
  <si>
    <t>D6AB3</t>
  </si>
  <si>
    <t>cb36d962-94ff-4e4e-8c0b-731f1e3d6ab3</t>
  </si>
  <si>
    <t>42AD5</t>
  </si>
  <si>
    <t>ee5eb168-e5a9-4fd6-bb65-e82845442ad5</t>
  </si>
  <si>
    <t>1611.0</t>
  </si>
  <si>
    <t>A5E55</t>
  </si>
  <si>
    <t>c20ec6b6-b5b8-4c5e-9818-8ff15f5a5e55</t>
  </si>
  <si>
    <t>AMR01679</t>
  </si>
  <si>
    <t>LTHCP9IOQW5X</t>
  </si>
  <si>
    <t>B254A</t>
  </si>
  <si>
    <t>c6fd4eee-f393-4f87-a40f-3f926beb254a</t>
  </si>
  <si>
    <t>FA835</t>
  </si>
  <si>
    <t>1ab37773-68ef-4fbf-985f-9740fc0fa835</t>
  </si>
  <si>
    <t>A7DA7</t>
  </si>
  <si>
    <t>3774ada1-e1b5-40e3-ac47-859f584a7da7</t>
  </si>
  <si>
    <t>ABEC6</t>
  </si>
  <si>
    <t>b32f3792-7386-4493-bb64-dc67f44abec6</t>
  </si>
  <si>
    <t>8AEF8</t>
  </si>
  <si>
    <t>4ea87c1f-e808-4369-9566-0211cb68aef8</t>
  </si>
  <si>
    <t>2569.0</t>
  </si>
  <si>
    <t>5F028</t>
  </si>
  <si>
    <t>645e3d08-5872-4a7e-9395-b51d8405f028</t>
  </si>
  <si>
    <t>BDB93</t>
  </si>
  <si>
    <t>e8d8a87c-3317-4bc0-b5d3-51f368cbdb93</t>
  </si>
  <si>
    <t>8F2DD</t>
  </si>
  <si>
    <t>d7a46d3c-6c28-417e-b796-c7d71b88f2dd</t>
  </si>
  <si>
    <t>009C5</t>
  </si>
  <si>
    <t>cc1fd323-4634-4351-bafd-febace8009c5</t>
  </si>
  <si>
    <t>B2858</t>
  </si>
  <si>
    <t>4c5fd9ae-012a-4904-9023-3e6d500b2858</t>
  </si>
  <si>
    <t>9CD95</t>
  </si>
  <si>
    <t>ae6ef3da-0c4d-4f8f-8d14-e82274f9cd95</t>
  </si>
  <si>
    <t>6789.0</t>
  </si>
  <si>
    <t>F7ADD</t>
  </si>
  <si>
    <t>74f31223-3f8b-41fd-b19b-9db1bf1f7add</t>
  </si>
  <si>
    <t>C6FCB</t>
  </si>
  <si>
    <t>9b1b169a-61a7-4655-a419-0c9caa2c6fcb</t>
  </si>
  <si>
    <t>FC27C</t>
  </si>
  <si>
    <t>989f4fed-5fbb-4270-b649-1002bb2fc27c</t>
  </si>
  <si>
    <t>3630.0</t>
  </si>
  <si>
    <t>137474</t>
  </si>
  <si>
    <t>11975</t>
  </si>
  <si>
    <t>896.0</t>
  </si>
  <si>
    <t>ALTI05300</t>
  </si>
  <si>
    <t>LTHCP5FYZWUW</t>
  </si>
  <si>
    <t>2360.0</t>
  </si>
  <si>
    <t>5E334</t>
  </si>
  <si>
    <t>a877cf3d-def7-4acc-ae58-9d76ae85e334</t>
  </si>
  <si>
    <t>A5590</t>
  </si>
  <si>
    <t>c35a908d-cb5e-447c-99b7-f2438a7a5590</t>
  </si>
  <si>
    <t>4391.0</t>
  </si>
  <si>
    <t>16F1D</t>
  </si>
  <si>
    <t>3b2804a2-e477-4a75-917e-d42409816f1d</t>
  </si>
  <si>
    <t>3155.0</t>
  </si>
  <si>
    <t>CA136</t>
  </si>
  <si>
    <t>1a116d0b-4e63-43c1-ac7c-eab04aeca136</t>
  </si>
  <si>
    <t>2165.0</t>
  </si>
  <si>
    <t>BB657</t>
  </si>
  <si>
    <t>9202f5bc-a345-4ff0-8dbc-dad2b39bb657</t>
  </si>
  <si>
    <t>4160.0</t>
  </si>
  <si>
    <t>15CAE</t>
  </si>
  <si>
    <t>f5915b1c-a46c-4ee9-b099-161ad1b15cae</t>
  </si>
  <si>
    <t>2846.0</t>
  </si>
  <si>
    <t>62DAE</t>
  </si>
  <si>
    <t>c19edc0d-19ee-4019-a0ce-3b20abb62dae</t>
  </si>
  <si>
    <t>1195.0</t>
  </si>
  <si>
    <t>2B5D0</t>
  </si>
  <si>
    <t>57d467e6-17d2-4d90-a199-ee243ee2b5d0</t>
  </si>
  <si>
    <t>3185.0</t>
  </si>
  <si>
    <t>ALTI05299</t>
  </si>
  <si>
    <t>LT4TIZI8K6XU6</t>
  </si>
  <si>
    <t>020E6</t>
  </si>
  <si>
    <t>a56ef732-a03d-4426-b130-414a7ef020e6</t>
  </si>
  <si>
    <t>4A51F</t>
  </si>
  <si>
    <t>b5f301dc-0d1a-44b6-897f-3b6915d4a51f</t>
  </si>
  <si>
    <t>1693.0</t>
  </si>
  <si>
    <t>B0613</t>
  </si>
  <si>
    <t>1062f13d-edcb-4c90-9330-b144d1cb0613</t>
  </si>
  <si>
    <t>5990.0</t>
  </si>
  <si>
    <t>58838</t>
  </si>
  <si>
    <t>57a6fa7f-74b7-4932-b447-ed009fb58838</t>
  </si>
  <si>
    <t>2275.0</t>
  </si>
  <si>
    <t>101476318076</t>
  </si>
  <si>
    <t>6CBC2</t>
  </si>
  <si>
    <t>099136f8-0659-4f4b-ad27-07d97f66cbc2</t>
  </si>
  <si>
    <t>7625.0</t>
  </si>
  <si>
    <t>F5ABD</t>
  </si>
  <si>
    <t>6920c53a-11aa-4a33-a1dc-c36d9b7f5abd</t>
  </si>
  <si>
    <t>58BFE</t>
  </si>
  <si>
    <t>85f33693-0610-42df-ad97-f8d9f9958bfe</t>
  </si>
  <si>
    <t>DVM31652</t>
  </si>
  <si>
    <t>LTHCP5M9OMCL</t>
  </si>
  <si>
    <t>250.0</t>
  </si>
  <si>
    <t>18D0B</t>
  </si>
  <si>
    <t>6bafe36b-f763-4e39-b4aa-a7250b718d0b</t>
  </si>
  <si>
    <t>34DBF</t>
  </si>
  <si>
    <t>519b0985-ce6b-4bab-afbc-88c927834dbf</t>
  </si>
  <si>
    <t>1889.0</t>
  </si>
  <si>
    <t>C05EB</t>
  </si>
  <si>
    <t>52c4e730-8b19-4344-bc0d-660b32fc05eb</t>
  </si>
  <si>
    <t>ANDOWES00327429</t>
  </si>
  <si>
    <t>LTHCP2MYIDLX</t>
  </si>
  <si>
    <t>ANDOWES00327436</t>
  </si>
  <si>
    <t>LTHCP9E3NTQU</t>
  </si>
  <si>
    <t>2370.0</t>
  </si>
  <si>
    <t>0139D</t>
  </si>
  <si>
    <t>b7dec62d-b4c0-40d8-86d0-8cc10480139d</t>
  </si>
  <si>
    <t>5760.0</t>
  </si>
  <si>
    <t>ANDOWES00327428</t>
  </si>
  <si>
    <t>LTHCP2HY00KN</t>
  </si>
  <si>
    <t>82D95</t>
  </si>
  <si>
    <t>3826dd4a-dbc9-48d4-86b1-4276e7082d95</t>
  </si>
  <si>
    <t>ANDOWES00327437</t>
  </si>
  <si>
    <t>LTHCPAMVCIHZ</t>
  </si>
  <si>
    <t>ANDOWES00327432</t>
  </si>
  <si>
    <t>LTHCP62APHCP</t>
  </si>
  <si>
    <t>05634</t>
  </si>
  <si>
    <t>680eae4f-6465-4723-973b-c87a58905634</t>
  </si>
  <si>
    <t>ANDOWES00327440</t>
  </si>
  <si>
    <t>LTHCPCLQZQVQ</t>
  </si>
  <si>
    <t>67D52</t>
  </si>
  <si>
    <t>acb3f482-e1b2-4da0-ba96-271e77067d52</t>
  </si>
  <si>
    <t>F420F</t>
  </si>
  <si>
    <t>84c12271-46fb-4c89-9fe1-29b1aabf420f</t>
  </si>
  <si>
    <t>16200.0</t>
  </si>
  <si>
    <t>ANDOWES00327439</t>
  </si>
  <si>
    <t>LTHCPBZ4GHTM</t>
  </si>
  <si>
    <t>ANDOWES00327441</t>
  </si>
  <si>
    <t>LTHCPEHIXSO7</t>
  </si>
  <si>
    <t>1020.0</t>
  </si>
  <si>
    <t>446B1</t>
  </si>
  <si>
    <t>6e2088ea-d0d6-447a-99fa-5a4136e446b1</t>
  </si>
  <si>
    <t>AKLL10009</t>
  </si>
  <si>
    <t>LTHCPB1SDFNR</t>
  </si>
  <si>
    <t>AKLL10007</t>
  </si>
  <si>
    <t>LT4TJ0D8YB2Q4</t>
  </si>
  <si>
    <t>5F3B4</t>
  </si>
  <si>
    <t>c3427f00-fe30-4d76-9905-a13dde95f3b4</t>
  </si>
  <si>
    <t>2590.0</t>
  </si>
  <si>
    <t>AKLL10008</t>
  </si>
  <si>
    <t>LT4TJ11OR1MHA</t>
  </si>
  <si>
    <t>440C7</t>
  </si>
  <si>
    <t>db84472a-9bdd-49c4-9ab8-9b3acbd440c7</t>
  </si>
  <si>
    <t>1809.0</t>
  </si>
  <si>
    <t>AKLL10010</t>
  </si>
  <si>
    <t>LTHCPDZ90051</t>
  </si>
  <si>
    <t>ADLY05313</t>
  </si>
  <si>
    <t>LTHCPDYMONWR</t>
  </si>
  <si>
    <t>AKLL10006</t>
  </si>
  <si>
    <t>LTHCP14XWGPC</t>
  </si>
  <si>
    <t>1070.0</t>
  </si>
  <si>
    <t>B9B10</t>
  </si>
  <si>
    <t>27740415-296f-4f94-94e2-dedf04ab9b10</t>
  </si>
  <si>
    <t>1063.0</t>
  </si>
  <si>
    <t>86B62</t>
  </si>
  <si>
    <t>460fadcb-09ca-4487-9402-e58ff2286b62</t>
  </si>
  <si>
    <t>140.0</t>
  </si>
  <si>
    <t>ANDOWES00327431</t>
  </si>
  <si>
    <t>LT4TIZGGFE0QG</t>
  </si>
  <si>
    <t>2A92B</t>
  </si>
  <si>
    <t>4c370560-c59b-4303-8e00-918731e2a92b</t>
  </si>
  <si>
    <t>1425.0</t>
  </si>
  <si>
    <t>DVM31643</t>
  </si>
  <si>
    <t>LTHCP0G4H9AZ</t>
  </si>
  <si>
    <t>1210.0</t>
  </si>
  <si>
    <t>3E9EF</t>
  </si>
  <si>
    <t>60e657c3-65b0-4451-b607-4ff18903e9ef</t>
  </si>
  <si>
    <t>96EA9</t>
  </si>
  <si>
    <t>425b34f4-3aa5-481a-acde-fd8ceed96ea9</t>
  </si>
  <si>
    <t>3B722</t>
  </si>
  <si>
    <t>d9fccdd8-5537-4cf2-99cf-ef501493b722</t>
  </si>
  <si>
    <t>1343.0</t>
  </si>
  <si>
    <t>DVM31656</t>
  </si>
  <si>
    <t>LTHCPE1R15FY</t>
  </si>
  <si>
    <t>DVM31644</t>
  </si>
  <si>
    <t>LTHCP12VWE8O</t>
  </si>
  <si>
    <t>DVM31655</t>
  </si>
  <si>
    <t>LTHCPDCX8Q7G</t>
  </si>
  <si>
    <t>560FC</t>
  </si>
  <si>
    <t>b18c8cb4-c29f-4097-9641-1fdb583560fc</t>
  </si>
  <si>
    <t>1565.0</t>
  </si>
  <si>
    <t>DVM31646</t>
  </si>
  <si>
    <t>LTHCP24WVTHN</t>
  </si>
  <si>
    <t>ALTI05315</t>
  </si>
  <si>
    <t>LTHCPEBQOKV4</t>
  </si>
  <si>
    <t>53D1F</t>
  </si>
  <si>
    <t>d2471bc9-91d5-4c13-8937-425df0653d1f</t>
  </si>
  <si>
    <t>ALTI05301</t>
  </si>
  <si>
    <t>LTHCP5GS3WD1</t>
  </si>
  <si>
    <t>64643</t>
  </si>
  <si>
    <t>50e131c3-076e-47ef-a2dd-19b118364643</t>
  </si>
  <si>
    <t>DVM31650</t>
  </si>
  <si>
    <t>LTHCP4N4WTM9</t>
  </si>
  <si>
    <t>101476473891</t>
  </si>
  <si>
    <t>14100.0</t>
  </si>
  <si>
    <t>ALTI05297</t>
  </si>
  <si>
    <t>LT4TIZDRS9B14</t>
  </si>
  <si>
    <t>101476644738</t>
  </si>
  <si>
    <t>61FC6</t>
  </si>
  <si>
    <t>a49b3f0e-4742-410c-88a6-5a0d2ae61fc6</t>
  </si>
  <si>
    <t>ALTI05309</t>
  </si>
  <si>
    <t>LTHCPD1PFBIN</t>
  </si>
  <si>
    <t>0AD8B</t>
  </si>
  <si>
    <t>96b816bd-495b-43a1-8291-d14987c0ad8b</t>
  </si>
  <si>
    <t>ALTI05296</t>
  </si>
  <si>
    <t>LTHCP3DULK8W</t>
  </si>
  <si>
    <t>ALTI05311</t>
  </si>
  <si>
    <t>LTHCPDJGIVHD</t>
  </si>
  <si>
    <t>D455A</t>
  </si>
  <si>
    <t>6099643d-ff3c-4a6e-b90c-4736a18d455a</t>
  </si>
  <si>
    <t>1601.0</t>
  </si>
  <si>
    <t>826BE</t>
  </si>
  <si>
    <t>d5b60ec1-d5db-445e-b1d6-b38d457826be</t>
  </si>
  <si>
    <t>9F5E2</t>
  </si>
  <si>
    <t>c3c87a94-55cf-4efe-8b52-93a61d29f5e2</t>
  </si>
  <si>
    <t>ALTI05310</t>
  </si>
  <si>
    <t>LT4TJ1QIER2EG</t>
  </si>
  <si>
    <t>4860.0</t>
  </si>
  <si>
    <t>ALTI05294</t>
  </si>
  <si>
    <t>LTHCP2JUVTZS</t>
  </si>
  <si>
    <t>AMR01674</t>
  </si>
  <si>
    <t>LTHCP2U7U0ZL</t>
  </si>
  <si>
    <t>ALTI05308</t>
  </si>
  <si>
    <t>LT4TJ1JFPCQAS</t>
  </si>
  <si>
    <t>DVM31654</t>
  </si>
  <si>
    <t>LTHCPCLVI2MO</t>
  </si>
  <si>
    <t>500.0</t>
  </si>
  <si>
    <t>101476233289</t>
  </si>
  <si>
    <t>3980.0</t>
  </si>
  <si>
    <t>0BD4A</t>
  </si>
  <si>
    <t>74e7a446-054d-4f1d-8294-474fe170bd4a</t>
  </si>
  <si>
    <t>1660.0</t>
  </si>
  <si>
    <t>005B3</t>
  </si>
  <si>
    <t>95497e7f-8765-4632-9762-bd5bae0005b3</t>
  </si>
  <si>
    <t>A55FE</t>
  </si>
  <si>
    <t>b7c42206-6f92-48f1-843c-dc4e730a55fe</t>
  </si>
  <si>
    <t>2720.0</t>
  </si>
  <si>
    <t>D39A8</t>
  </si>
  <si>
    <t>fe2e39c7-01df-4648-8519-169591bd39a8</t>
  </si>
  <si>
    <t>56239</t>
  </si>
  <si>
    <t>cd8ccb9d-0659-442c-92d2-bdf6e6356239</t>
  </si>
  <si>
    <t>2625.0</t>
  </si>
  <si>
    <t>ALTI05304</t>
  </si>
  <si>
    <t>LTHCPBK4OKFO</t>
  </si>
  <si>
    <t>53C8B</t>
  </si>
  <si>
    <t>ba7fd1da-1f1c-459a-a4f5-a39ed3c53c8b</t>
  </si>
  <si>
    <t>AD66B</t>
  </si>
  <si>
    <t>ea09bc2b-0b07-424f-ae12-3cd02a7ad66b</t>
  </si>
  <si>
    <t>ALTI05307</t>
  </si>
  <si>
    <t>LTHCPC6UFBF5</t>
  </si>
  <si>
    <t>878BA</t>
  </si>
  <si>
    <t>15fb44fb-6f3a-4ed3-8ae4-2c5e980878ba</t>
  </si>
  <si>
    <t>528.0</t>
  </si>
  <si>
    <t>88A1B</t>
  </si>
  <si>
    <t>bf450851-5e13-4f11-8abe-cb1966988a1b</t>
  </si>
  <si>
    <t>324AF</t>
  </si>
  <si>
    <t>ae181f89-fbeb-4f05-abfd-38996c0324af</t>
  </si>
  <si>
    <t>71EFA</t>
  </si>
  <si>
    <t>f55992e0-e4c3-4a31-9f67-ba34dde71efa</t>
  </si>
  <si>
    <t>101476585266</t>
  </si>
  <si>
    <t>Ichiban Sushi (Village Market) [NBO]</t>
  </si>
  <si>
    <t>7AAE7</t>
  </si>
  <si>
    <t>08bedf0b-1060-4abc-8d7d-a583a287aae7</t>
  </si>
  <si>
    <t>35D0C</t>
  </si>
  <si>
    <t>2a6f9494-5627-4436-b86a-9c6c07335d0c</t>
  </si>
  <si>
    <t>3325.0</t>
  </si>
  <si>
    <t>85389</t>
  </si>
  <si>
    <t>12a717cf-3dd0-449e-b587-f0ccbc185389</t>
  </si>
  <si>
    <t>1359.0</t>
  </si>
  <si>
    <t>101476719935</t>
  </si>
  <si>
    <t>5180.0</t>
  </si>
  <si>
    <t>403F5</t>
  </si>
  <si>
    <t>7bcc2867-75b6-4081-b373-2df08bf403f5</t>
  </si>
  <si>
    <t>2325.0</t>
  </si>
  <si>
    <t>ALTI05298</t>
  </si>
  <si>
    <t>LTHCP5CUJ8IS</t>
  </si>
  <si>
    <t>101476252046</t>
  </si>
  <si>
    <t>728FC</t>
  </si>
  <si>
    <t>674451ec-741d-450b-9b05-7238d28728fc</t>
  </si>
  <si>
    <t>642C0</t>
  </si>
  <si>
    <t>1c47204f-deab-44c1-ade0-754d330642c0</t>
  </si>
  <si>
    <t>3FC66</t>
  </si>
  <si>
    <t>a2fc5ff3-cbcf-4643-95f7-f9f94fa3fc66</t>
  </si>
  <si>
    <t>875.0</t>
  </si>
  <si>
    <t>580C6</t>
  </si>
  <si>
    <t>b14bb2db-5b38-4413-b5a0-e9e83f4580c6</t>
  </si>
  <si>
    <t>139328</t>
  </si>
  <si>
    <t>11976</t>
  </si>
  <si>
    <t>711D3</t>
  </si>
  <si>
    <t>59185353-299f-4864-81b5-1f20554711d3</t>
  </si>
  <si>
    <t>2620.0</t>
  </si>
  <si>
    <t>101476636956</t>
  </si>
  <si>
    <t>5066B</t>
  </si>
  <si>
    <t>b5fdca2b-e63e-49f4-b76e-003c2745066b</t>
  </si>
  <si>
    <t>3355.0</t>
  </si>
  <si>
    <t>8E543</t>
  </si>
  <si>
    <t>bfee52de-a529-4996-9998-c1810398e543</t>
  </si>
  <si>
    <t>3235.0</t>
  </si>
  <si>
    <t>396F3</t>
  </si>
  <si>
    <t>98bd27f0-f834-46bd-9eb5-ec2f998396f3</t>
  </si>
  <si>
    <t>C305F</t>
  </si>
  <si>
    <t>22230f5b-21ac-4cd3-9039-39a8e56c305f</t>
  </si>
  <si>
    <t>F6686</t>
  </si>
  <si>
    <t>766da6b4-fe54-498a-8fec-0f6da9bf6686</t>
  </si>
  <si>
    <t>777FA</t>
  </si>
  <si>
    <t>d877fa5b-db09-4543-b716-b8aeb8a777fa</t>
  </si>
  <si>
    <t>8595.0</t>
  </si>
  <si>
    <t>4E03C</t>
  </si>
  <si>
    <t>f311d611-2d3d-4a23-bb48-c22e6c54e03c</t>
  </si>
  <si>
    <t>6650.0</t>
  </si>
  <si>
    <t>ALTI05303</t>
  </si>
  <si>
    <t>LTHCP9MNR9GB</t>
  </si>
  <si>
    <t>76147</t>
  </si>
  <si>
    <t>b8895a73-e6b3-40fb-8d24-8b38bc476147</t>
  </si>
  <si>
    <t>F74C3</t>
  </si>
  <si>
    <t>4baff46e-8762-481c-a375-dce5995f74c3</t>
  </si>
  <si>
    <t>0D227</t>
  </si>
  <si>
    <t>5f1cf30e-3673-47da-a3ce-33c04f90d227</t>
  </si>
  <si>
    <t>59421</t>
  </si>
  <si>
    <t>1ae5741a-841f-462a-a613-fad17bc59421</t>
  </si>
  <si>
    <t>3C369</t>
  </si>
  <si>
    <t>a8c7c831-457d-46ac-8462-8f163133c369</t>
  </si>
  <si>
    <t>D7C31</t>
  </si>
  <si>
    <t>b5ccd4cb-2bad-4cfe-a30b-2247579d7c31</t>
  </si>
  <si>
    <t>940.0</t>
  </si>
  <si>
    <t>2BA26</t>
  </si>
  <si>
    <t>cc90ea69-4867-43fd-b7bf-7126a762ba26</t>
  </si>
  <si>
    <t>AA0D1</t>
  </si>
  <si>
    <t>a2fdbd96-7086-4f3e-898e-52b5a7faa0d1</t>
  </si>
  <si>
    <t>95B6A</t>
  </si>
  <si>
    <t>39f8e80b-0160-4786-9a5e-c4c66bd95b6a</t>
  </si>
  <si>
    <t>ANDOWES00327430</t>
  </si>
  <si>
    <t>LTHCP2T947QN</t>
  </si>
  <si>
    <t>A9BB5</t>
  </si>
  <si>
    <t>49313af9-26a2-4862-a01b-26fd367a9bb5</t>
  </si>
  <si>
    <t>FC8E4</t>
  </si>
  <si>
    <t>a1f21cb9-a4d8-4d0f-8e5c-350b511fc8e4</t>
  </si>
  <si>
    <t>D04A3</t>
  </si>
  <si>
    <t>add904ee-020b-4e5b-b27c-53d370ed04a3</t>
  </si>
  <si>
    <t>F37A3</t>
  </si>
  <si>
    <t>5aedcd88-c5e2-4284-b115-d3eed6ff37a3</t>
  </si>
  <si>
    <t>265EB</t>
  </si>
  <si>
    <t>ef90dabe-5900-4e83-879b-6ddf97c265eb</t>
  </si>
  <si>
    <t>DA5B2</t>
  </si>
  <si>
    <t>f2dbfae8-9621-4042-b08c-7dc8568da5b2</t>
  </si>
  <si>
    <t>ANDOWES00327424</t>
  </si>
  <si>
    <t>LTHCOXPKPQHZ</t>
  </si>
  <si>
    <t>8290.0</t>
  </si>
  <si>
    <t>F4EA3</t>
  </si>
  <si>
    <t>7922b0d9-ccd0-4419-9c70-d2bab7ef4ea3</t>
  </si>
  <si>
    <t>CC6A3</t>
  </si>
  <si>
    <t>d424e131-a6b2-462a-b234-dec8a97cc6a3</t>
  </si>
  <si>
    <t>3779.0</t>
  </si>
  <si>
    <t>6C131</t>
  </si>
  <si>
    <t>4dc84976-c86b-478b-957f-9b1e1cd6c131</t>
  </si>
  <si>
    <t>6794B</t>
  </si>
  <si>
    <t>4ecd8486-9267-4359-bd9a-537090c6794b</t>
  </si>
  <si>
    <t>ANDOWES00327438</t>
  </si>
  <si>
    <t>LT4TJ1440A9E6</t>
  </si>
  <si>
    <t>AMR01675</t>
  </si>
  <si>
    <t>LTHCP4W2CKR3</t>
  </si>
  <si>
    <t>1ANDMBP05665</t>
  </si>
  <si>
    <t>LTHCP9F8MDW4</t>
  </si>
  <si>
    <t>ANDOWES00327434</t>
  </si>
  <si>
    <t>LT4TJ04T8ZR2O</t>
  </si>
  <si>
    <t>ANDOWES00327443</t>
  </si>
  <si>
    <t>LTHCPFIHQ7S7</t>
  </si>
  <si>
    <t>8C4FE</t>
  </si>
  <si>
    <t>31c74e7e-a4b0-47d6-a1d5-755166f8c4fe</t>
  </si>
  <si>
    <t>ANDOWES00327442</t>
  </si>
  <si>
    <t>LTHCPEJ2LZTO</t>
  </si>
  <si>
    <t>136364</t>
  </si>
  <si>
    <t>11983</t>
  </si>
  <si>
    <t>fa2073c8-1673-46d4-9cd8-99548eec6fcb</t>
  </si>
  <si>
    <t>139578</t>
  </si>
  <si>
    <t>11981</t>
  </si>
  <si>
    <t>ANDOWES00327426</t>
  </si>
  <si>
    <t>LTHCP1XSRZKY</t>
  </si>
  <si>
    <t>690.0</t>
  </si>
  <si>
    <t>ANDOWES00327425</t>
  </si>
  <si>
    <t>LTHCP0N1KMGD</t>
  </si>
  <si>
    <t>ANDOWES00327427</t>
  </si>
  <si>
    <t>LT4TIYL8R9F6C</t>
  </si>
  <si>
    <t>43479</t>
  </si>
  <si>
    <t>603b5dd4-aaba-4356-9833-bcc654343479</t>
  </si>
  <si>
    <t>121783</t>
  </si>
  <si>
    <t>11980</t>
  </si>
  <si>
    <t>09305</t>
  </si>
  <si>
    <t>10b02dbe-403d-4139-87eb-1df779209305</t>
  </si>
  <si>
    <t>Nov 4, 2025</t>
  </si>
  <si>
    <t>8E0CD</t>
  </si>
  <si>
    <t>08aa1474-eb48-4f1b-be80-45f73f08e0cd</t>
  </si>
  <si>
    <t>5FD6F</t>
  </si>
  <si>
    <t>1afffb9e-0a65-4a52-ab37-8e2fc0b5fd6f</t>
  </si>
  <si>
    <t>101475422579</t>
  </si>
  <si>
    <t>101475730420</t>
  </si>
  <si>
    <t>6F21A</t>
  </si>
  <si>
    <t>16ba6de3-06a1-4f10-ae40-9a9112b6f21a</t>
  </si>
  <si>
    <t>5C93D</t>
  </si>
  <si>
    <t>92fa8a52-b90d-4e7a-85a7-0fa727f5c93d</t>
  </si>
  <si>
    <t>1465.0</t>
  </si>
  <si>
    <t>8CE9C</t>
  </si>
  <si>
    <t>895778aa-cf71-4317-ac0c-d3a04448ce9c</t>
  </si>
  <si>
    <t>4625F</t>
  </si>
  <si>
    <t>5a67d2db-641f-4bb4-a778-45eb9344625f</t>
  </si>
  <si>
    <t>1275.0</t>
  </si>
  <si>
    <t>74AF0</t>
  </si>
  <si>
    <t>3c7733c9-ab3d-4c90-82a7-201909a74af0</t>
  </si>
  <si>
    <t>AB57F</t>
  </si>
  <si>
    <t>97f3ff9a-0d44-46eb-9f0b-cd100deab57f</t>
  </si>
  <si>
    <t>D0D47</t>
  </si>
  <si>
    <t>7c3e3950-a824-48dc-bf86-297b25bd0d47</t>
  </si>
  <si>
    <t>7760.0</t>
  </si>
  <si>
    <t>02B05</t>
  </si>
  <si>
    <t>fc26ee78-755e-415c-92a3-601463002b05</t>
  </si>
  <si>
    <t>3570.0</t>
  </si>
  <si>
    <t>B0860</t>
  </si>
  <si>
    <t>0c5292fe-391b-484f-9422-8901055b0860</t>
  </si>
  <si>
    <t>3320.0</t>
  </si>
  <si>
    <t>62A91</t>
  </si>
  <si>
    <t>71cd49e0-3254-43e8-b786-963120762a91</t>
  </si>
  <si>
    <t>139426</t>
  </si>
  <si>
    <t>11947</t>
  </si>
  <si>
    <t>Om El Dunia</t>
  </si>
  <si>
    <t>2464.0</t>
  </si>
  <si>
    <t>6F2DA</t>
  </si>
  <si>
    <t>74da2ddd-dc1f-4d64-b904-4673e6a6f2da</t>
  </si>
  <si>
    <t>63DF9</t>
  </si>
  <si>
    <t>96f272d9-9f66-47b0-965b-47ab30e63df9</t>
  </si>
  <si>
    <t>D7340</t>
  </si>
  <si>
    <t>352cce57-78d3-44b7-baba-c5017b4d7340</t>
  </si>
  <si>
    <t>69397</t>
  </si>
  <si>
    <t>d3b33f3e-549b-4f6d-8f55-8751ea569397</t>
  </si>
  <si>
    <t>139579</t>
  </si>
  <si>
    <t>11960</t>
  </si>
  <si>
    <t>Steady pizza chicken house</t>
  </si>
  <si>
    <t>FF7B0</t>
  </si>
  <si>
    <t>8d1acefb-ea4a-4063-8326-ef43edbff7b0</t>
  </si>
  <si>
    <t>7B919</t>
  </si>
  <si>
    <t>1858ec43-56dc-45b9-91e8-ab029727b919</t>
  </si>
  <si>
    <t>2807D</t>
  </si>
  <si>
    <t>9eadb85e-e048-4c57-94ed-796229b2807d</t>
  </si>
  <si>
    <t>796A2</t>
  </si>
  <si>
    <t>de9a2a04-f4d0-41c3-b498-f9b159e796a2</t>
  </si>
  <si>
    <t>EC968</t>
  </si>
  <si>
    <t>baaae54b-1d75-40d1-9430-43a7b94ec968</t>
  </si>
  <si>
    <t>CEE2D</t>
  </si>
  <si>
    <t>f19d79c6-68e3-41c1-8e6f-25832e9cee2d</t>
  </si>
  <si>
    <t>2145.0</t>
  </si>
  <si>
    <t>DA034</t>
  </si>
  <si>
    <t>2b55f5b4-80bb-4b8e-9d54-be4bfcbda034</t>
  </si>
  <si>
    <t>2EC23</t>
  </si>
  <si>
    <t>acba02a8-ff05-49f0-a3a3-46ed5992ec23</t>
  </si>
  <si>
    <t>1375.0</t>
  </si>
  <si>
    <t>101475707613</t>
  </si>
  <si>
    <t>CE9C5</t>
  </si>
  <si>
    <t>33b222de-ae43-456d-b2fd-edd8462ce9c5</t>
  </si>
  <si>
    <t>45402</t>
  </si>
  <si>
    <t>e9ca53ae-ad4a-46fd-a43c-3dae7cd45402</t>
  </si>
  <si>
    <t>F7FD8</t>
  </si>
  <si>
    <t>8931f9da-fc60-4587-a49c-b99bbd4f7fd8</t>
  </si>
  <si>
    <t>F91CB</t>
  </si>
  <si>
    <t>1ef9164e-d3c6-4ce2-922d-1258954f91cb</t>
  </si>
  <si>
    <t>101475723658</t>
  </si>
  <si>
    <t>F5754</t>
  </si>
  <si>
    <t>c55e6c48-5e38-4e36-bbb7-34bf345f5754</t>
  </si>
  <si>
    <t>8F8E9</t>
  </si>
  <si>
    <t>806b1334-779a-4ebe-8504-be80ead8f8e9</t>
  </si>
  <si>
    <t>B0814</t>
  </si>
  <si>
    <t>b3d5936f-5edf-4db1-ad85-3a11d6ab0814</t>
  </si>
  <si>
    <t>B81A1</t>
  </si>
  <si>
    <t>c889b2ce-4aef-48ac-bcfb-ec4a943b81a1</t>
  </si>
  <si>
    <t>Mike’s Cafe</t>
  </si>
  <si>
    <t>1075.0</t>
  </si>
  <si>
    <t>EBAC2</t>
  </si>
  <si>
    <t>36081419-1b9e-4d77-9b8e-3e1b91cebac2</t>
  </si>
  <si>
    <t>D1E39</t>
  </si>
  <si>
    <t>44b38da5-6c9c-467f-a646-bb1d4bdd1e39</t>
  </si>
  <si>
    <t>43186</t>
  </si>
  <si>
    <t>179cfebe-607d-42db-8b3c-5f22de343186</t>
  </si>
  <si>
    <t>105B6</t>
  </si>
  <si>
    <t>e38ed355-dd96-45a2-b9f5-d82e867105b6</t>
  </si>
  <si>
    <t>6400.0</t>
  </si>
  <si>
    <t>F134A</t>
  </si>
  <si>
    <t>e269c337-2f24-4211-b330-03af17af134a</t>
  </si>
  <si>
    <t>B5EDA</t>
  </si>
  <si>
    <t>9960252d-c6ff-4a22-9c03-bf1084bb5eda</t>
  </si>
  <si>
    <t>E7000</t>
  </si>
  <si>
    <t>a942d666-e22b-4ce9-9a8a-179ae0de7000</t>
  </si>
  <si>
    <t>6AB88</t>
  </si>
  <si>
    <t>e7fe1fb5-0742-4c1a-a247-e9937706ab88</t>
  </si>
  <si>
    <t>81630</t>
  </si>
  <si>
    <t>2739b3c6-7c28-40f7-9f8d-9db138d81630</t>
  </si>
  <si>
    <t>101475730366</t>
  </si>
  <si>
    <t>B4E6F</t>
  </si>
  <si>
    <t>b40d9838-b858-4d4c-8abb-d5d70e3b4e6f</t>
  </si>
  <si>
    <t>4BC24</t>
  </si>
  <si>
    <t>4d1c40a5-f400-4c92-81c9-9d6d13c4bc24</t>
  </si>
  <si>
    <t>2BE2F</t>
  </si>
  <si>
    <t>bd117c79-2d29-4676-9d37-5074b782be2f</t>
  </si>
  <si>
    <t>BFC2B</t>
  </si>
  <si>
    <t>de51c99d-f7ac-4ea8-8cdf-b53d440bfc2b</t>
  </si>
  <si>
    <t>3114E</t>
  </si>
  <si>
    <t>2e34963d-6c37-47ef-ac7f-efe06af3114e</t>
  </si>
  <si>
    <t>101475780785</t>
  </si>
  <si>
    <t>3C420</t>
  </si>
  <si>
    <t>b13a9646-7823-4247-af32-279782b3c420</t>
  </si>
  <si>
    <t>490.0</t>
  </si>
  <si>
    <t>ABFF1</t>
  </si>
  <si>
    <t>3520ca30-a45d-4a58-a4a5-d4be621abff1</t>
  </si>
  <si>
    <t>395.0</t>
  </si>
  <si>
    <t>B158C</t>
  </si>
  <si>
    <t>7a87109a-c78b-42c8-916d-86a764eb158c</t>
  </si>
  <si>
    <t>7B9CB</t>
  </si>
  <si>
    <t>86e443f6-6977-4010-9345-55a0d047b9cb</t>
  </si>
  <si>
    <t>305.0</t>
  </si>
  <si>
    <t>D8338</t>
  </si>
  <si>
    <t>0dd79533-2d63-4aa8-9be0-beb8f9bd8338</t>
  </si>
  <si>
    <t>260.0</t>
  </si>
  <si>
    <t>EB4FD</t>
  </si>
  <si>
    <t>062b5fe8-c8a3-4d41-913b-19a5564eb4fd</t>
  </si>
  <si>
    <t>175.0</t>
  </si>
  <si>
    <t>9C26E</t>
  </si>
  <si>
    <t>b1e5aec8-20e8-4c92-b06c-52f2ade9c26e</t>
  </si>
  <si>
    <t>4DB59</t>
  </si>
  <si>
    <t>883e70d7-ae97-44a9-98d3-d91f9634db59</t>
  </si>
  <si>
    <t>2E45B</t>
  </si>
  <si>
    <t>7b66b5dd-de89-4826-a8c9-a59087f2e45b</t>
  </si>
  <si>
    <t>6339.0</t>
  </si>
  <si>
    <t>2003C</t>
  </si>
  <si>
    <t>2f3a2990-703a-409c-ab18-86554c22003c</t>
  </si>
  <si>
    <t>1897C</t>
  </si>
  <si>
    <t>0c0ef4f3-feb2-4313-a918-318bb391897c</t>
  </si>
  <si>
    <t>1779.0</t>
  </si>
  <si>
    <t>595E0</t>
  </si>
  <si>
    <t>0c06b5c0-e6eb-4269-8bd8-3955047595e0</t>
  </si>
  <si>
    <t>13461</t>
  </si>
  <si>
    <t>d58a016d-f901-4857-91df-d7f855c13461</t>
  </si>
  <si>
    <t>12720.0</t>
  </si>
  <si>
    <t>9D267</t>
  </si>
  <si>
    <t>580ef50d-9eee-4656-8496-b567f4a9d267</t>
  </si>
  <si>
    <t>4010.0</t>
  </si>
  <si>
    <t>9B074</t>
  </si>
  <si>
    <t>61bd1d2e-0695-4ed5-a596-f3a05c99b074</t>
  </si>
  <si>
    <t>06008</t>
  </si>
  <si>
    <t>e5f7b4a2-cc80-4b98-a84b-280a44106008</t>
  </si>
  <si>
    <t>77BBD</t>
  </si>
  <si>
    <t>a861a0ba-0a6c-4c63-a329-d2b140177bbd</t>
  </si>
  <si>
    <t>588DC</t>
  </si>
  <si>
    <t>d2929b1f-7532-4b24-91ca-c7511e3588dc</t>
  </si>
  <si>
    <t>A2996</t>
  </si>
  <si>
    <t>690c24d4-7e21-46bf-87bb-18cd900a2996</t>
  </si>
  <si>
    <t>3060.0</t>
  </si>
  <si>
    <t>F69FF</t>
  </si>
  <si>
    <t>b13c86bf-888c-4e4e-8a93-636fd23f69ff</t>
  </si>
  <si>
    <t>58567</t>
  </si>
  <si>
    <t>99b9f3b9-5782-4141-8ad7-e234c9b58567</t>
  </si>
  <si>
    <t>962AE</t>
  </si>
  <si>
    <t>29885b85-7744-46cc-a2ac-700d0a8962ae</t>
  </si>
  <si>
    <t>2010.0</t>
  </si>
  <si>
    <t>7F0B2</t>
  </si>
  <si>
    <t>b2d9f617-084c-4152-817c-9565aa57f0b2</t>
  </si>
  <si>
    <t>BB783</t>
  </si>
  <si>
    <t>420652bc-4d41-4d1d-a053-6a66ec2bb783</t>
  </si>
  <si>
    <t>23009</t>
  </si>
  <si>
    <t>de554b03-3dc8-4899-aab3-b8f2e0b23009</t>
  </si>
  <si>
    <t>66AFA</t>
  </si>
  <si>
    <t>c73d4d28-ee64-4058-a133-248e38a66afa</t>
  </si>
  <si>
    <t>9C361</t>
  </si>
  <si>
    <t>dab788aa-cc43-402c-970a-33f4f689c361</t>
  </si>
  <si>
    <t>02249</t>
  </si>
  <si>
    <t>f51be167-fbea-4144-849d-b9dbe8902249</t>
  </si>
  <si>
    <t>5D8D5</t>
  </si>
  <si>
    <t>346d01f5-34d9-4a21-899a-1004c485d8d5</t>
  </si>
  <si>
    <t>9E666</t>
  </si>
  <si>
    <t>c9cd8eeb-6587-4a4a-a14e-69afb539e666</t>
  </si>
  <si>
    <t>6AEB9</t>
  </si>
  <si>
    <t>3e0a7b1b-fcb1-406f-91c3-4417f536aeb9</t>
  </si>
  <si>
    <t>09A6A</t>
  </si>
  <si>
    <t>b0c01bfc-ebbb-4480-a1a1-756af0009a6a</t>
  </si>
  <si>
    <t>46CE9</t>
  </si>
  <si>
    <t>783adb85-8387-49ec-a76b-8de8bd046ce9</t>
  </si>
  <si>
    <t>DA9E7</t>
  </si>
  <si>
    <t>3dade36a-d9fd-40f2-a44b-6bbace2da9e7</t>
  </si>
  <si>
    <t>42A0B</t>
  </si>
  <si>
    <t>a132c1d4-703f-48f3-8969-b5930fa42a0b</t>
  </si>
  <si>
    <t>D3627</t>
  </si>
  <si>
    <t>bb745e8e-909f-4c79-8d6a-f3d74cdd3627</t>
  </si>
  <si>
    <t>CC596</t>
  </si>
  <si>
    <t>469d6491-576c-4464-9b32-748b2bdcc596</t>
  </si>
  <si>
    <t>57B30</t>
  </si>
  <si>
    <t>669d3f44-a534-4736-bd68-0c27c1357b30</t>
  </si>
  <si>
    <t>12167</t>
  </si>
  <si>
    <t>ead63424-831c-4a14-b08e-889f91312167</t>
  </si>
  <si>
    <t>4A2CE</t>
  </si>
  <si>
    <t>1e3fae5f-07b5-4369-8e9d-f5b71194a2ce</t>
  </si>
  <si>
    <t>811DC</t>
  </si>
  <si>
    <t>c878a818-18c0-4a5b-8736-c7a1efc811dc</t>
  </si>
  <si>
    <t>E16D6</t>
  </si>
  <si>
    <t>e910f2bb-c360-4f66-945e-8102218e16d6</t>
  </si>
  <si>
    <t>33151</t>
  </si>
  <si>
    <t>340233ab-5649-4bf4-8d72-814527833151</t>
  </si>
  <si>
    <t>8D53A</t>
  </si>
  <si>
    <t>24a6dae3-e787-4cef-aa8f-ce473248d53a</t>
  </si>
  <si>
    <t>55398</t>
  </si>
  <si>
    <t>35b3d115-0afd-4bfb-8d84-3039c1955398</t>
  </si>
  <si>
    <t>C6E89</t>
  </si>
  <si>
    <t>2fc3a6bf-c49a-40d1-87a6-f7425c4c6e89</t>
  </si>
  <si>
    <t>8C1E9</t>
  </si>
  <si>
    <t>d0c9ba9a-c957-497c-926c-efbeb7a8c1e9</t>
  </si>
  <si>
    <t>A28C8</t>
  </si>
  <si>
    <t>af5d474e-75b1-4dd8-83be-0104f3fa28c8</t>
  </si>
  <si>
    <t>E2C85</t>
  </si>
  <si>
    <t>c19dcb14-f82f-4d11-9c45-d796378e2c85</t>
  </si>
  <si>
    <t>6F59B</t>
  </si>
  <si>
    <t>c236d556-8c16-4d58-954f-72a7d456f59b</t>
  </si>
  <si>
    <t>101475883375</t>
  </si>
  <si>
    <t>8820.0</t>
  </si>
  <si>
    <t>5B740</t>
  </si>
  <si>
    <t>f993ab97-7524-4d4c-a392-8ef5c825b740</t>
  </si>
  <si>
    <t>860FA</t>
  </si>
  <si>
    <t>4ead1b8c-0173-4730-a632-57d5c94860fa</t>
  </si>
  <si>
    <t>FE035</t>
  </si>
  <si>
    <t>b84e470d-a48d-42e6-beea-07aa479fe035</t>
  </si>
  <si>
    <t>3C010</t>
  </si>
  <si>
    <t>a474e0c2-e8f1-4ba8-9023-8b678693c010</t>
  </si>
  <si>
    <t>F337E</t>
  </si>
  <si>
    <t>f1ad962c-b0de-4222-b061-9f8f315f337e</t>
  </si>
  <si>
    <t>CD891</t>
  </si>
  <si>
    <t>e43e865e-013c-4157-8084-a86d37dcd891</t>
  </si>
  <si>
    <t>5061.0</t>
  </si>
  <si>
    <t>E9A70</t>
  </si>
  <si>
    <t>673e2b33-c331-463d-bb12-e34c73ee9a70</t>
  </si>
  <si>
    <t>1111.0</t>
  </si>
  <si>
    <t>29515</t>
  </si>
  <si>
    <t>64c86c57-69a0-4103-8ba7-3d6877329515</t>
  </si>
  <si>
    <t>BE38B</t>
  </si>
  <si>
    <t>922ef00a-85c7-4436-b0bd-6060fbbbe38b</t>
  </si>
  <si>
    <t>6240.0</t>
  </si>
  <si>
    <t>84F6A</t>
  </si>
  <si>
    <t>5304d8e1-2fc6-4828-96c1-791bccc84f6a</t>
  </si>
  <si>
    <t>5150.0</t>
  </si>
  <si>
    <t>EB89B</t>
  </si>
  <si>
    <t>0e880490-a17c-45aa-8dc4-67dcf5eeb89b</t>
  </si>
  <si>
    <t>3340.0</t>
  </si>
  <si>
    <t>86EC5</t>
  </si>
  <si>
    <t>bbbb24be-183d-40f9-b4be-9e35aec86ec5</t>
  </si>
  <si>
    <t>1F82B</t>
  </si>
  <si>
    <t>1db0f5c0-8b8d-485b-b076-7f9a0d41f82b</t>
  </si>
  <si>
    <t>EDFFF</t>
  </si>
  <si>
    <t>1ec1b5d7-f5ff-406b-884c-53782c7edfff</t>
  </si>
  <si>
    <t>22DFE</t>
  </si>
  <si>
    <t>27b22f2d-66bc-473b-837f-efc1f8d22dfe</t>
  </si>
  <si>
    <t>2123.0</t>
  </si>
  <si>
    <t>CDBA9</t>
  </si>
  <si>
    <t>7932fb1a-e831-4360-8adb-1e52012cdba9</t>
  </si>
  <si>
    <t>2639.0</t>
  </si>
  <si>
    <t>D4BEA</t>
  </si>
  <si>
    <t>899007a0-90a5-47ca-89af-f1a7430d4bea</t>
  </si>
  <si>
    <t>2399.0</t>
  </si>
  <si>
    <t>5116F</t>
  </si>
  <si>
    <t>bd563bda-eee9-4a31-803b-84e14f05116f</t>
  </si>
  <si>
    <t>2159.0</t>
  </si>
  <si>
    <t>3843C</t>
  </si>
  <si>
    <t>6bf198f7-8b42-403f-b947-d8ef53e3843c</t>
  </si>
  <si>
    <t>1909.0</t>
  </si>
  <si>
    <t>CC489</t>
  </si>
  <si>
    <t>a5f7a322-3d01-4896-92e2-d0edeaacc489</t>
  </si>
  <si>
    <t>2BE07</t>
  </si>
  <si>
    <t>cc45712c-c2e6-4c9c-9951-310ced12be07</t>
  </si>
  <si>
    <t>1459.0</t>
  </si>
  <si>
    <t>A8902</t>
  </si>
  <si>
    <t>eb60d446-270f-41b9-bcd0-9e414eca8902</t>
  </si>
  <si>
    <t>5790.0</t>
  </si>
  <si>
    <t>D9C7E</t>
  </si>
  <si>
    <t>b53fe48a-fada-45fa-bf77-85ed3f3d9c7e</t>
  </si>
  <si>
    <t>4930.0</t>
  </si>
  <si>
    <t>C215A</t>
  </si>
  <si>
    <t>7bf6f0df-6b86-483a-a3ac-fd17fc4c215a</t>
  </si>
  <si>
    <t>2850.0</t>
  </si>
  <si>
    <t>2833F</t>
  </si>
  <si>
    <t>d34e23ac-aa73-4abd-8be8-73104002833f</t>
  </si>
  <si>
    <t>96175</t>
  </si>
  <si>
    <t>57ed42e7-4126-4d9e-bab6-a19923996175</t>
  </si>
  <si>
    <t>101475787442</t>
  </si>
  <si>
    <t>DCDD2</t>
  </si>
  <si>
    <t>a8c9a1c9-8bf3-405b-9509-bd36c7bdcdd2</t>
  </si>
  <si>
    <t>A44C9</t>
  </si>
  <si>
    <t>e896fcff-1891-48ab-9a49-fd43b54a44c9</t>
  </si>
  <si>
    <t>557AE</t>
  </si>
  <si>
    <t>4a8d1743-b7a8-41ea-aebb-906768b557ae</t>
  </si>
  <si>
    <t>AD49E</t>
  </si>
  <si>
    <t>5abd9a33-4f27-4686-b1f9-9397b7bad49e</t>
  </si>
  <si>
    <t>11226</t>
  </si>
  <si>
    <t>fdafe8db-7d55-470d-85cb-348d57f11226</t>
  </si>
  <si>
    <t>1DE69</t>
  </si>
  <si>
    <t>a871a6d9-cd5f-4868-a464-7d7271a1de69</t>
  </si>
  <si>
    <t>6EBE4</t>
  </si>
  <si>
    <t>8a707f76-a4eb-4dfe-94a5-dd4ce936ebe4</t>
  </si>
  <si>
    <t>F2959</t>
  </si>
  <si>
    <t>8349d8d4-115f-47ec-aad5-2dad69ef2959</t>
  </si>
  <si>
    <t>E17C9</t>
  </si>
  <si>
    <t>7e09d79b-ece3-46cc-82df-740a986e17c9</t>
  </si>
  <si>
    <t>3185C</t>
  </si>
  <si>
    <t>4b04ea0a-4d3f-426c-a742-159e5043185c</t>
  </si>
  <si>
    <t>6BE1F</t>
  </si>
  <si>
    <t>9ae64cc0-a3fe-42ac-960c-677aecb6be1f</t>
  </si>
  <si>
    <t>478D0</t>
  </si>
  <si>
    <t>ad291236-06a8-4f9d-a183-aa3ae8f478d0</t>
  </si>
  <si>
    <t>22732</t>
  </si>
  <si>
    <t>9cfe7466-d4ef-4e42-a635-4098b4e22732</t>
  </si>
  <si>
    <t>6C540</t>
  </si>
  <si>
    <t>17a11b3e-b4ea-4b78-9568-2d6f1c26c540</t>
  </si>
  <si>
    <t>A26C2</t>
  </si>
  <si>
    <t>1a5a41aa-e53c-4740-9663-eaa23bea26c2</t>
  </si>
  <si>
    <t>55E78</t>
  </si>
  <si>
    <t>9ec83526-2e9b-493b-bf51-e3ce71f55e78</t>
  </si>
  <si>
    <t>D55C4</t>
  </si>
  <si>
    <t>7d9b385a-0afb-4d5b-8568-0f7eecfd55c4</t>
  </si>
  <si>
    <t>3D1C9</t>
  </si>
  <si>
    <t>78a3a66c-8c9d-40aa-9d52-bd9d7ea3d1c9</t>
  </si>
  <si>
    <t>FFE4F</t>
  </si>
  <si>
    <t>e9cbb25f-be07-4e29-ba01-8a0e46fffe4f</t>
  </si>
  <si>
    <t>12045.0</t>
  </si>
  <si>
    <t>86769</t>
  </si>
  <si>
    <t>2949b000-829d-490b-8ce4-3e7717a86769</t>
  </si>
  <si>
    <t>2855.0</t>
  </si>
  <si>
    <t>07E6E</t>
  </si>
  <si>
    <t>eb356888-3ee1-4a08-8cd7-609dd0e07e6e</t>
  </si>
  <si>
    <t>2775.0</t>
  </si>
  <si>
    <t>798DA</t>
  </si>
  <si>
    <t>bb2b08f9-3baa-4a74-911f-9a37082798da</t>
  </si>
  <si>
    <t>F2D72</t>
  </si>
  <si>
    <t>d6087c8a-dab1-4423-8095-1bd97d2f2d72</t>
  </si>
  <si>
    <t>1646.0</t>
  </si>
  <si>
    <t>7C0EB</t>
  </si>
  <si>
    <t>46dfb088-baf5-4f0e-a981-1df582a7c0eb</t>
  </si>
  <si>
    <t>5696D</t>
  </si>
  <si>
    <t>32807cfd-85f0-4b4c-8cf3-23430d25696d</t>
  </si>
  <si>
    <t>CF987</t>
  </si>
  <si>
    <t>6d5875ea-6845-4d0c-8bb4-133a938cf987</t>
  </si>
  <si>
    <t>1045.0</t>
  </si>
  <si>
    <t>101475788395</t>
  </si>
  <si>
    <t>8000.0</t>
  </si>
  <si>
    <t>101475775992</t>
  </si>
  <si>
    <t>8010.0</t>
  </si>
  <si>
    <t>BB3FF</t>
  </si>
  <si>
    <t>ea9713aa-0ee0-4565-bf5a-a9b4651bb3ff</t>
  </si>
  <si>
    <t>286E7</t>
  </si>
  <si>
    <t>2ed0243f-4a8b-4190-9f95-4169e40286e7</t>
  </si>
  <si>
    <t>955.0</t>
  </si>
  <si>
    <t>430A8</t>
  </si>
  <si>
    <t>24ced3ef-74fd-4eef-a947-e9d9c07430a8</t>
  </si>
  <si>
    <t>870.0</t>
  </si>
  <si>
    <t>E85AB</t>
  </si>
  <si>
    <t>f7bfeaf8-58c0-4480-922f-cb40422e85ab</t>
  </si>
  <si>
    <t>198C1</t>
  </si>
  <si>
    <t>5d6fd8e3-43ee-40a9-866d-489d997198c1</t>
  </si>
  <si>
    <t>240CC</t>
  </si>
  <si>
    <t>ae09ba61-4704-4805-97a8-861971a240cc</t>
  </si>
  <si>
    <t>3840.0</t>
  </si>
  <si>
    <t>DA05F</t>
  </si>
  <si>
    <t>0ef251ed-4767-4cc6-b640-92d87a4da05f</t>
  </si>
  <si>
    <t>78501</t>
  </si>
  <si>
    <t>a918afcd-f7c8-4bee-b871-e133bc078501</t>
  </si>
  <si>
    <t>F7018</t>
  </si>
  <si>
    <t>604095f0-6c94-43af-8339-5d6d1d8f7018</t>
  </si>
  <si>
    <t>97794</t>
  </si>
  <si>
    <t>906301fc-598f-4549-a5ec-ec7b3ad97794</t>
  </si>
  <si>
    <t>75642</t>
  </si>
  <si>
    <t>019fa51c-9ffb-4d00-bde0-4ef635775642</t>
  </si>
  <si>
    <t>4B8B6</t>
  </si>
  <si>
    <t>ddbe5319-2486-49b1-92d0-d57c73f4b8b6</t>
  </si>
  <si>
    <t>EE8AE</t>
  </si>
  <si>
    <t>47accf0e-38b0-4a9f-a871-d73e65fee8ae</t>
  </si>
  <si>
    <t>D1D5B</t>
  </si>
  <si>
    <t>1aac42b1-45ae-4d49-8cd1-a56aea6d1d5b</t>
  </si>
  <si>
    <t>C8975</t>
  </si>
  <si>
    <t>62766e57-0090-43db-9ccf-7097450c8975</t>
  </si>
  <si>
    <t>92261</t>
  </si>
  <si>
    <t>33d89f7d-573d-4244-8852-ca50bc292261</t>
  </si>
  <si>
    <t>1160.0</t>
  </si>
  <si>
    <t>51923</t>
  </si>
  <si>
    <t>3ae65773-a895-4c85-a7d2-cfca54851923</t>
  </si>
  <si>
    <t>49247</t>
  </si>
  <si>
    <t>043af0f8-5141-49a5-8da7-db3170549247</t>
  </si>
  <si>
    <t>3A557</t>
  </si>
  <si>
    <t>6940e772-badb-4765-b2c5-3ef23aa3a557</t>
  </si>
  <si>
    <t>1915.0</t>
  </si>
  <si>
    <t>09263</t>
  </si>
  <si>
    <t>b8d32837-9331-480a-bdbd-83111c809263</t>
  </si>
  <si>
    <t>1445.0</t>
  </si>
  <si>
    <t>AC54E</t>
  </si>
  <si>
    <t>f26a9294-ad9c-4405-a870-799ff05ac54e</t>
  </si>
  <si>
    <t>1475.0</t>
  </si>
  <si>
    <t>4A5AB</t>
  </si>
  <si>
    <t>6a36ffa2-804c-40c7-95d7-6aa3d6b4a5ab</t>
  </si>
  <si>
    <t>A1CF4</t>
  </si>
  <si>
    <t>7d6f62e6-ccb3-405a-97bc-f808a84a1cf4</t>
  </si>
  <si>
    <t>2059.0</t>
  </si>
  <si>
    <t>E8A81</t>
  </si>
  <si>
    <t>c4ec052e-a54e-46d0-92ad-7c4cd2be8a81</t>
  </si>
  <si>
    <t>AC5CA</t>
  </si>
  <si>
    <t>4eb11382-15ca-44eb-8ab5-a8e42e9ac5ca</t>
  </si>
  <si>
    <t>81858</t>
  </si>
  <si>
    <t>db03b1d9-1314-47bd-bcc0-5db95d881858</t>
  </si>
  <si>
    <t>101475887393</t>
  </si>
  <si>
    <t>0A798</t>
  </si>
  <si>
    <t>1e7920ec-87cd-4ad6-9373-b2caf260a798</t>
  </si>
  <si>
    <t>9ABC1</t>
  </si>
  <si>
    <t>bebda636-1efc-4cd4-9ad2-57d1c4b9abc1</t>
  </si>
  <si>
    <t>589E4</t>
  </si>
  <si>
    <t>5c2fd23a-b044-49c9-ae06-16f1947589e4</t>
  </si>
  <si>
    <t>80113</t>
  </si>
  <si>
    <t>126f4d48-176e-4f61-9973-6a74e2580113</t>
  </si>
  <si>
    <t>6CC60</t>
  </si>
  <si>
    <t>bc2197df-ab09-4302-acbf-e3af6236cc60</t>
  </si>
  <si>
    <t>556FE</t>
  </si>
  <si>
    <t>5a7d22a3-2aa2-4b3d-994b-ed3bf95556fe</t>
  </si>
  <si>
    <t>C2D40</t>
  </si>
  <si>
    <t>ad7c8cc9-75c1-4fff-9534-209bca1c2d40</t>
  </si>
  <si>
    <t>90E45</t>
  </si>
  <si>
    <t>ebe6e2a0-f860-489f-9bb6-3a805c390e45</t>
  </si>
  <si>
    <t>3380.0</t>
  </si>
  <si>
    <t>253BD</t>
  </si>
  <si>
    <t>45c733e4-039b-4cae-8d84-72266cf253bd</t>
  </si>
  <si>
    <t>4A156</t>
  </si>
  <si>
    <t>5e61cc6f-0458-46e3-82e9-af158b64a156</t>
  </si>
  <si>
    <t>941A5</t>
  </si>
  <si>
    <t>5b3e6672-e6b1-411e-a108-b7baa27941a5</t>
  </si>
  <si>
    <t>19FBC</t>
  </si>
  <si>
    <t>3f8fd754-c1db-43f2-abbb-388b18b19fbc</t>
  </si>
  <si>
    <t>EDB23</t>
  </si>
  <si>
    <t>4874976b-e2a6-4552-b2f3-4877197edb23</t>
  </si>
  <si>
    <t>0366D</t>
  </si>
  <si>
    <t>527951e9-8d63-4e28-a178-48ed3170366d</t>
  </si>
  <si>
    <t>4007C</t>
  </si>
  <si>
    <t>dd803353-ca8e-4b91-a548-b8f60e04007c</t>
  </si>
  <si>
    <t>101475503100</t>
  </si>
  <si>
    <t>101475828943</t>
  </si>
  <si>
    <t>5140.0</t>
  </si>
  <si>
    <t>101475462213</t>
  </si>
  <si>
    <t>5220.0</t>
  </si>
  <si>
    <t>101475831417</t>
  </si>
  <si>
    <t>AKLL09997</t>
  </si>
  <si>
    <t>LT4TIMJNWWOG0</t>
  </si>
  <si>
    <t>100.0</t>
  </si>
  <si>
    <t>101475497632</t>
  </si>
  <si>
    <t>101475684394</t>
  </si>
  <si>
    <t>5940.0</t>
  </si>
  <si>
    <t>AKLL09998</t>
  </si>
  <si>
    <t>LT4TINIO676AS</t>
  </si>
  <si>
    <t>1280.0</t>
  </si>
  <si>
    <t>AKLL09999</t>
  </si>
  <si>
    <t>LTHCNYLM614J</t>
  </si>
  <si>
    <t>138607</t>
  </si>
  <si>
    <t>11969</t>
  </si>
  <si>
    <t>136716</t>
  </si>
  <si>
    <t>11970</t>
  </si>
  <si>
    <t>135858</t>
  </si>
  <si>
    <t>11968</t>
  </si>
  <si>
    <t>3860.0</t>
  </si>
  <si>
    <t>101475628063</t>
  </si>
  <si>
    <t>3410.0</t>
  </si>
  <si>
    <t>AKLL10000</t>
  </si>
  <si>
    <t>LTHCO00WPV6O</t>
  </si>
  <si>
    <t>2530.0</t>
  </si>
  <si>
    <t>139402</t>
  </si>
  <si>
    <t>11973</t>
  </si>
  <si>
    <t>138367</t>
  </si>
  <si>
    <t>11944</t>
  </si>
  <si>
    <t>135188</t>
  </si>
  <si>
    <t>11945</t>
  </si>
  <si>
    <t>138935</t>
  </si>
  <si>
    <t>11958</t>
  </si>
  <si>
    <t>1352.0</t>
  </si>
  <si>
    <t>139423</t>
  </si>
  <si>
    <t>11964</t>
  </si>
  <si>
    <t>139571</t>
  </si>
  <si>
    <t>11957</t>
  </si>
  <si>
    <t>AKLL10003</t>
  </si>
  <si>
    <t>LTHCO7HJ9KX7</t>
  </si>
  <si>
    <t>137560</t>
  </si>
  <si>
    <t>11966</t>
  </si>
  <si>
    <t>Mozy Pizza &amp; Coffee</t>
  </si>
  <si>
    <t>139583</t>
  </si>
  <si>
    <t>11962</t>
  </si>
  <si>
    <t>139536</t>
  </si>
  <si>
    <t>11951</t>
  </si>
  <si>
    <t>Tamu Tamu Dishes</t>
  </si>
  <si>
    <t>1712.0</t>
  </si>
  <si>
    <t>139537</t>
  </si>
  <si>
    <t>11955</t>
  </si>
  <si>
    <t>956.0</t>
  </si>
  <si>
    <t>139535</t>
  </si>
  <si>
    <t>11950</t>
  </si>
  <si>
    <t>137894</t>
  </si>
  <si>
    <t>11965</t>
  </si>
  <si>
    <t>139570</t>
  </si>
  <si>
    <t>11956</t>
  </si>
  <si>
    <t>101475412871</t>
  </si>
  <si>
    <t>101475753619</t>
  </si>
  <si>
    <t>101475688322</t>
  </si>
  <si>
    <t>101475793618</t>
  </si>
  <si>
    <t>4170.0</t>
  </si>
  <si>
    <t>101475430349</t>
  </si>
  <si>
    <t>5670.0</t>
  </si>
  <si>
    <t>DVM31638</t>
  </si>
  <si>
    <t>LTHCO8B8K5BS</t>
  </si>
  <si>
    <t>C86B7</t>
  </si>
  <si>
    <t>0b3ffcdd-3ec3-41ec-ae68-891b6aec86b7</t>
  </si>
  <si>
    <t>560.0</t>
  </si>
  <si>
    <t>139388</t>
  </si>
  <si>
    <t>11959</t>
  </si>
  <si>
    <t>139545</t>
  </si>
  <si>
    <t>11954</t>
  </si>
  <si>
    <t>118576</t>
  </si>
  <si>
    <t>11946</t>
  </si>
  <si>
    <t>138404</t>
  </si>
  <si>
    <t>11967</t>
  </si>
  <si>
    <t>135761</t>
  </si>
  <si>
    <t>11963</t>
  </si>
  <si>
    <t>139576</t>
  </si>
  <si>
    <t>11961</t>
  </si>
  <si>
    <t>139531</t>
  </si>
  <si>
    <t>11948</t>
  </si>
  <si>
    <t>139534</t>
  </si>
  <si>
    <t>11949</t>
  </si>
  <si>
    <t>DVM31636</t>
  </si>
  <si>
    <t>LT4TIPOS5QCI6</t>
  </si>
  <si>
    <t>88773</t>
  </si>
  <si>
    <t>6abee517-705b-4ac8-bf8d-ac8b5b988773</t>
  </si>
  <si>
    <t>460.0</t>
  </si>
  <si>
    <t>127463</t>
  </si>
  <si>
    <t>11952</t>
  </si>
  <si>
    <t>139484</t>
  </si>
  <si>
    <t>11953</t>
  </si>
  <si>
    <t>139550</t>
  </si>
  <si>
    <t>11971</t>
  </si>
  <si>
    <t>2900.0</t>
  </si>
  <si>
    <t>138319</t>
  </si>
  <si>
    <t>11972</t>
  </si>
  <si>
    <t>17400.0</t>
  </si>
  <si>
    <t>5F4CC</t>
  </si>
  <si>
    <t>ec13187e-ae50-4ac3-8874-d801d275f4cc</t>
  </si>
  <si>
    <t>C60EA</t>
  </si>
  <si>
    <t>6338929d-c18d-4f12-8533-3603e7fc60ea</t>
  </si>
  <si>
    <t>319.0</t>
  </si>
  <si>
    <t>E9335</t>
  </si>
  <si>
    <t>c1538c09-82e0-46eb-9776-6bb6642e9335</t>
  </si>
  <si>
    <t>290.0</t>
  </si>
  <si>
    <t>ANDOVM00009743</t>
  </si>
  <si>
    <t>LT4TIOBODLAQ8</t>
  </si>
  <si>
    <t>96826</t>
  </si>
  <si>
    <t>81a2593b-94aa-4b6e-98d0-5c37a3b96826</t>
  </si>
  <si>
    <t>BE636</t>
  </si>
  <si>
    <t>499129b3-adb5-419b-8e22-a875788be636</t>
  </si>
  <si>
    <t>239.0</t>
  </si>
  <si>
    <t>101475537113</t>
  </si>
  <si>
    <t>101475781046</t>
  </si>
  <si>
    <t>101475517347</t>
  </si>
  <si>
    <t>AKLL10001</t>
  </si>
  <si>
    <t>LT4TIOK369R82</t>
  </si>
  <si>
    <t>101475847240</t>
  </si>
  <si>
    <t>101475668335</t>
  </si>
  <si>
    <t>7420.0</t>
  </si>
  <si>
    <t>101475507318</t>
  </si>
  <si>
    <t>4780.0</t>
  </si>
  <si>
    <t>101475749857</t>
  </si>
  <si>
    <t>8380.0</t>
  </si>
  <si>
    <t>C9850</t>
  </si>
  <si>
    <t>496a1386-4f30-434d-9191-7bb50f4c9850</t>
  </si>
  <si>
    <t>210.0</t>
  </si>
  <si>
    <t>101475768452</t>
  </si>
  <si>
    <t>101475401774</t>
  </si>
  <si>
    <t>101475830948</t>
  </si>
  <si>
    <t>DVM31641</t>
  </si>
  <si>
    <t>LTHCO90YJFS6</t>
  </si>
  <si>
    <t>AED54</t>
  </si>
  <si>
    <t>e90999ee-daba-4896-b0e4-eaa75dfaed54</t>
  </si>
  <si>
    <t>199.0</t>
  </si>
  <si>
    <t>101475915025</t>
  </si>
  <si>
    <t>05659</t>
  </si>
  <si>
    <t>cda259ac-db9c-48e2-abf9-e30d32905659</t>
  </si>
  <si>
    <t>101475419354</t>
  </si>
  <si>
    <t>DEE4C</t>
  </si>
  <si>
    <t>95acce8c-1eed-4ae2-b2ec-87629c1dee4c</t>
  </si>
  <si>
    <t>101475877409</t>
  </si>
  <si>
    <t>101475838374</t>
  </si>
  <si>
    <t>D02C7</t>
  </si>
  <si>
    <t>ecba386d-4e3f-4a97-92a8-201a795d02c7</t>
  </si>
  <si>
    <t>8432C</t>
  </si>
  <si>
    <t>46104807-d46f-4a79-b20a-33a15d18432c</t>
  </si>
  <si>
    <t>101475777555</t>
  </si>
  <si>
    <t>4200.0</t>
  </si>
  <si>
    <t>C6D56</t>
  </si>
  <si>
    <t>b3e53e19-da75-4053-8894-4af4e50c6d56</t>
  </si>
  <si>
    <t>101475546149</t>
  </si>
  <si>
    <t>35780</t>
  </si>
  <si>
    <t>3d8d4d0f-1b22-4c87-92de-5708a8d35780</t>
  </si>
  <si>
    <t>101475634375</t>
  </si>
  <si>
    <t>101475370789</t>
  </si>
  <si>
    <t>101475552630</t>
  </si>
  <si>
    <t>15960.0</t>
  </si>
  <si>
    <t>DVM31629</t>
  </si>
  <si>
    <t>LTHCNX13LFW9</t>
  </si>
  <si>
    <t>61469</t>
  </si>
  <si>
    <t>927355ba-d7a0-42e5-acd6-83420e761469</t>
  </si>
  <si>
    <t>6F185</t>
  </si>
  <si>
    <t>70ce6cc8-bad9-4a58-840d-a0721686f185</t>
  </si>
  <si>
    <t>859C8</t>
  </si>
  <si>
    <t>b93dc215-6157-43f8-aa05-946ed8e859c8</t>
  </si>
  <si>
    <t>101475418699</t>
  </si>
  <si>
    <t>3820.0</t>
  </si>
  <si>
    <t>101475738865</t>
  </si>
  <si>
    <t>AF4D1</t>
  </si>
  <si>
    <t>39e0a1e4-b94b-418c-8053-e2d7611af4d1</t>
  </si>
  <si>
    <t>101475867978</t>
  </si>
  <si>
    <t>101475755689</t>
  </si>
  <si>
    <t>3020.0</t>
  </si>
  <si>
    <t>AAAA6</t>
  </si>
  <si>
    <t>eb8db20d-4932-4e07-9692-fa76f83aaaa6</t>
  </si>
  <si>
    <t>139.0</t>
  </si>
  <si>
    <t>101475548485</t>
  </si>
  <si>
    <t>4080.0</t>
  </si>
  <si>
    <t>3DA46</t>
  </si>
  <si>
    <t>6c592cc8-d6e3-4b25-afef-f3742e43da46</t>
  </si>
  <si>
    <t>4595.0</t>
  </si>
  <si>
    <t>101475868119</t>
  </si>
  <si>
    <t>3DC66</t>
  </si>
  <si>
    <t>b7523015-cb67-4daf-aadf-12e1a253dc66</t>
  </si>
  <si>
    <t>101475735244</t>
  </si>
  <si>
    <t>101475817173</t>
  </si>
  <si>
    <t>DVM31630</t>
  </si>
  <si>
    <t>LT4TINHDGDT76</t>
  </si>
  <si>
    <t>1870.0</t>
  </si>
  <si>
    <t>B85CD</t>
  </si>
  <si>
    <t>30be1b61-ea08-41d1-94ed-6cf619eb85cd</t>
  </si>
  <si>
    <t>101475431258</t>
  </si>
  <si>
    <t>101475452092</t>
  </si>
  <si>
    <t>E35CB</t>
  </si>
  <si>
    <t>dc8363f7-cce2-4706-9f57-27f4383e35cb</t>
  </si>
  <si>
    <t>A3A25</t>
  </si>
  <si>
    <t>5021bdcc-6e9b-451f-ba73-7a95311a3a25</t>
  </si>
  <si>
    <t>F727E</t>
  </si>
  <si>
    <t>8b84beb0-a743-4a20-8d7d-4cbf647f727e</t>
  </si>
  <si>
    <t>101475787900</t>
  </si>
  <si>
    <t>6280.0</t>
  </si>
  <si>
    <t>101475625949</t>
  </si>
  <si>
    <t>6540.0</t>
  </si>
  <si>
    <t>6BFDD</t>
  </si>
  <si>
    <t>5ac4e71c-f620-42a6-9dd2-c7bcedb6bfdd</t>
  </si>
  <si>
    <t>300E1</t>
  </si>
  <si>
    <t>58039eb9-75e1-4c81-9a98-3867a29300e1</t>
  </si>
  <si>
    <t>4800.0</t>
  </si>
  <si>
    <t>101475411908</t>
  </si>
  <si>
    <t>9510.0</t>
  </si>
  <si>
    <t>101475479917</t>
  </si>
  <si>
    <t>5679B</t>
  </si>
  <si>
    <t>486e8ba9-be85-402a-a394-01dbaa15679b</t>
  </si>
  <si>
    <t>101475425597</t>
  </si>
  <si>
    <t>101475837817</t>
  </si>
  <si>
    <t>101475715874</t>
  </si>
  <si>
    <t>8340.0</t>
  </si>
  <si>
    <t>DVM31634</t>
  </si>
  <si>
    <t>LTHCO4675XU3</t>
  </si>
  <si>
    <t>AMR01667</t>
  </si>
  <si>
    <t>LT4TIOU0P1XY2</t>
  </si>
  <si>
    <t>101475872386</t>
  </si>
  <si>
    <t>470EE</t>
  </si>
  <si>
    <t>8b5e9323-9a30-48be-8319-144b45d470ee</t>
  </si>
  <si>
    <t>101475456895</t>
  </si>
  <si>
    <t>31318</t>
  </si>
  <si>
    <t>0080ada2-f4fc-41b7-8082-bc5a74231318</t>
  </si>
  <si>
    <t>2610.0</t>
  </si>
  <si>
    <t>ALTI05286</t>
  </si>
  <si>
    <t>LTHCO6C9ELRQ</t>
  </si>
  <si>
    <t>91B3B</t>
  </si>
  <si>
    <t>e935dd01-ae79-413f-a735-5ffad5191b3b</t>
  </si>
  <si>
    <t>23FAA</t>
  </si>
  <si>
    <t>1679b93b-e856-4bbb-958d-f0d9d7e23faa</t>
  </si>
  <si>
    <t>6A348</t>
  </si>
  <si>
    <t>504af34b-7572-40d1-964b-8b69aa16a348</t>
  </si>
  <si>
    <t>2310.0</t>
  </si>
  <si>
    <t>9423B</t>
  </si>
  <si>
    <t>b886c881-37d7-44a6-818f-933f1439423b</t>
  </si>
  <si>
    <t>5635.0</t>
  </si>
  <si>
    <t>DVM31637</t>
  </si>
  <si>
    <t>LTHCO7G8TNS1</t>
  </si>
  <si>
    <t>AMR01669</t>
  </si>
  <si>
    <t>LTHCO6I958UZ</t>
  </si>
  <si>
    <t>1DC82</t>
  </si>
  <si>
    <t>d69b3ebf-f119-4d44-ade4-01f0a891dc82</t>
  </si>
  <si>
    <t>AFD96</t>
  </si>
  <si>
    <t>3559522a-0ff1-49d3-aa4d-fc60d51afd96</t>
  </si>
  <si>
    <t>6530.0</t>
  </si>
  <si>
    <t>5F449</t>
  </si>
  <si>
    <t>b78e352b-2195-432d-aa54-29963fd5f449</t>
  </si>
  <si>
    <t>2519.0</t>
  </si>
  <si>
    <t>AEDCE</t>
  </si>
  <si>
    <t>8e921f53-d4aa-4838-b2c4-6ff4c5faedce</t>
  </si>
  <si>
    <t>1099.0</t>
  </si>
  <si>
    <t>46B28</t>
  </si>
  <si>
    <t>33b6f9aa-82d4-40d0-9156-b5e3f3346b28</t>
  </si>
  <si>
    <t>101475506790</t>
  </si>
  <si>
    <t>101475455161</t>
  </si>
  <si>
    <t>DVM31631</t>
  </si>
  <si>
    <t>LTHCNZDARFCV</t>
  </si>
  <si>
    <t>80B28</t>
  </si>
  <si>
    <t>777d081a-289c-4d0c-8981-c2e6a2980b28</t>
  </si>
  <si>
    <t>1975.0</t>
  </si>
  <si>
    <t>30E4A</t>
  </si>
  <si>
    <t>87cf4189-d040-4260-88d5-dd7a59f30e4a</t>
  </si>
  <si>
    <t>4A5DE</t>
  </si>
  <si>
    <t>2d4e0e27-c3c7-4191-a2d0-7bed07a4a5de</t>
  </si>
  <si>
    <t>0BB8D</t>
  </si>
  <si>
    <t>dc9cbf55-684d-4b54-84e8-cdfeaaa0bb8d</t>
  </si>
  <si>
    <t>1089.0</t>
  </si>
  <si>
    <t>B91B1</t>
  </si>
  <si>
    <t>baab7f72-f141-4507-b042-d7ab107b91b1</t>
  </si>
  <si>
    <t>1675.0</t>
  </si>
  <si>
    <t>3C956</t>
  </si>
  <si>
    <t>ddfedab0-f88f-4a16-b736-d9da2283c956</t>
  </si>
  <si>
    <t>4320.0</t>
  </si>
  <si>
    <t>BF243</t>
  </si>
  <si>
    <t>ab75d911-9b04-4f06-9efc-6a805f4bf243</t>
  </si>
  <si>
    <t>D5484</t>
  </si>
  <si>
    <t>326b7480-df39-4391-b7f6-4492b51d5484</t>
  </si>
  <si>
    <t>DVM31632</t>
  </si>
  <si>
    <t>LTHCNZTIYDO2</t>
  </si>
  <si>
    <t>2FE3C</t>
  </si>
  <si>
    <t>cffd2f7f-26d7-473b-bdd5-7405f802fe3c</t>
  </si>
  <si>
    <t>EF839</t>
  </si>
  <si>
    <t>c7ee9d73-052c-4a54-b7d5-983f615ef839</t>
  </si>
  <si>
    <t>DB13E</t>
  </si>
  <si>
    <t>ce31a45a-237f-48cd-a9e8-f788a56db13e</t>
  </si>
  <si>
    <t>E138A</t>
  </si>
  <si>
    <t>6af7b3f7-b833-47da-9d87-5a1d4e0e138a</t>
  </si>
  <si>
    <t>9F1C4</t>
  </si>
  <si>
    <t>7fec9172-4412-4717-b6ba-ee5da669f1c4</t>
  </si>
  <si>
    <t>DVM31639</t>
  </si>
  <si>
    <t>LT1C77BHMW10W0</t>
  </si>
  <si>
    <t>C6846</t>
  </si>
  <si>
    <t>58e236d4-b20a-4d5e-8273-b51b51dc6846</t>
  </si>
  <si>
    <t>B5BEC</t>
  </si>
  <si>
    <t>b02476a7-b4fb-4ecb-86c4-15a0d7cb5bec</t>
  </si>
  <si>
    <t>C7183</t>
  </si>
  <si>
    <t>0658d963-977a-4f61-8f7c-c74207fc7183</t>
  </si>
  <si>
    <t>3310.0</t>
  </si>
  <si>
    <t>EE832</t>
  </si>
  <si>
    <t>366f11e9-8168-4156-9dc7-2882434ee832</t>
  </si>
  <si>
    <t>D8F41</t>
  </si>
  <si>
    <t>2c688bd5-2307-4559-841f-62d656cd8f41</t>
  </si>
  <si>
    <t>2730.0</t>
  </si>
  <si>
    <t>DVM31635</t>
  </si>
  <si>
    <t>LT4TIP6430Q7I</t>
  </si>
  <si>
    <t>24F99</t>
  </si>
  <si>
    <t>729cd28e-3026-4294-aae8-4d9b6a524f99</t>
  </si>
  <si>
    <t>D874E</t>
  </si>
  <si>
    <t>d4eb7aef-da1e-463d-ac16-d62d833d874e</t>
  </si>
  <si>
    <t>15F2C</t>
  </si>
  <si>
    <t>3cbdde77-ed73-426d-a866-562c84915f2c</t>
  </si>
  <si>
    <t>3413C</t>
  </si>
  <si>
    <t>1a4e8292-ade5-4add-b833-bb130e43413c</t>
  </si>
  <si>
    <t>7EE2B</t>
  </si>
  <si>
    <t>0c973ad4-a341-4136-9088-f810a987ee2b</t>
  </si>
  <si>
    <t>101475476879</t>
  </si>
  <si>
    <t>ANDOWES00327408</t>
  </si>
  <si>
    <t>LTHCNX0RJ18S</t>
  </si>
  <si>
    <t>200.0</t>
  </si>
  <si>
    <t>259B5</t>
  </si>
  <si>
    <t>2c4428de-ea9b-47df-8d19-145b482259b5</t>
  </si>
  <si>
    <t>980.0</t>
  </si>
  <si>
    <t>E3727</t>
  </si>
  <si>
    <t>2ff9afe5-63d1-499f-a900-1ab6ca3e3727</t>
  </si>
  <si>
    <t>6D746</t>
  </si>
  <si>
    <t>c7518b24-0d7b-404e-b10b-426b8c06d746</t>
  </si>
  <si>
    <t>1AB2E</t>
  </si>
  <si>
    <t>744c3af0-8f0f-4280-a843-98c74621ab2e</t>
  </si>
  <si>
    <t>AKLL10004</t>
  </si>
  <si>
    <t>LTHCO9HGNZ76</t>
  </si>
  <si>
    <t>AKLL10002</t>
  </si>
  <si>
    <t>LTHCO45MIAY9</t>
  </si>
  <si>
    <t>2350.0</t>
  </si>
  <si>
    <t>DVM31642</t>
  </si>
  <si>
    <t>LT4TIQQRDTMB6</t>
  </si>
  <si>
    <t>DVM31633</t>
  </si>
  <si>
    <t>LT4TIOC9REK56</t>
  </si>
  <si>
    <t>21B79</t>
  </si>
  <si>
    <t>28b8e6f4-b63d-424f-a879-3893d9821b79</t>
  </si>
  <si>
    <t>7267.0</t>
  </si>
  <si>
    <t>E8792</t>
  </si>
  <si>
    <t>ec221fa2-5ce4-4718-913a-54c89e3e8792</t>
  </si>
  <si>
    <t>DVM31640</t>
  </si>
  <si>
    <t>LTHCO8MZE12C</t>
  </si>
  <si>
    <t>ANDOWES00327414</t>
  </si>
  <si>
    <t>LT4TIPHPL3WS0</t>
  </si>
  <si>
    <t>06D64</t>
  </si>
  <si>
    <t>a3a5e6d7-0bea-46ff-951e-100234c06d64</t>
  </si>
  <si>
    <t>1ANDMBP05662</t>
  </si>
  <si>
    <t>LT4TIQ38VONWM</t>
  </si>
  <si>
    <t>ANDOWES00327412</t>
  </si>
  <si>
    <t>LT4TIO8V4AMQ8</t>
  </si>
  <si>
    <t>ANDOWES00327417</t>
  </si>
  <si>
    <t>LT4TIQ95488C4</t>
  </si>
  <si>
    <t>FE02C</t>
  </si>
  <si>
    <t>a6c224d9-a88f-4b75-92ea-b106906fe02c</t>
  </si>
  <si>
    <t>FF6CC</t>
  </si>
  <si>
    <t>e824696c-43e6-4676-8786-8d70108ff6cc</t>
  </si>
  <si>
    <t>1ANDMBP05664</t>
  </si>
  <si>
    <t>LTHCOCIFNCGN</t>
  </si>
  <si>
    <t>ANDOWES00327409</t>
  </si>
  <si>
    <t>LT4TINEKDZWRI</t>
  </si>
  <si>
    <t>C2C26</t>
  </si>
  <si>
    <t>92536bb8-3271-40d0-8db6-c638468c2c26</t>
  </si>
  <si>
    <t>87A07</t>
  </si>
  <si>
    <t>ddfcf800-7e5a-4f59-87f5-3a5bdbb87a07</t>
  </si>
  <si>
    <t>ANDOWES00327420</t>
  </si>
  <si>
    <t>LTHCO97PA5IO</t>
  </si>
  <si>
    <t>820A4</t>
  </si>
  <si>
    <t>900c6eb9-fc88-4f25-ac7e-23f36f0820a4</t>
  </si>
  <si>
    <t>ANDOWES00327415</t>
  </si>
  <si>
    <t>LT4TIQ44OKS46</t>
  </si>
  <si>
    <t>A4981</t>
  </si>
  <si>
    <t>579c7e29-9a55-41e7-97c4-1f08fafa4981</t>
  </si>
  <si>
    <t>ANDOWES00327421</t>
  </si>
  <si>
    <t>LT4TIQKJE3LFI</t>
  </si>
  <si>
    <t>ANDOWES00327422</t>
  </si>
  <si>
    <t>LTHCOA82IGVP</t>
  </si>
  <si>
    <t>5E11A</t>
  </si>
  <si>
    <t>f4d8b315-35cb-4bf6-92f3-ddb06845e11a</t>
  </si>
  <si>
    <t>ANDOWES00327416</t>
  </si>
  <si>
    <t>LTHCO7TG2B0I</t>
  </si>
  <si>
    <t>ALTI05290</t>
  </si>
  <si>
    <t>LTHCOAIQ8F5H</t>
  </si>
  <si>
    <t>4560.0</t>
  </si>
  <si>
    <t>ANDOWES00327418</t>
  </si>
  <si>
    <t>LTHCO8QYTNRX</t>
  </si>
  <si>
    <t>7AC36</t>
  </si>
  <si>
    <t>cd827f5c-f564-48dd-b880-c735c617ac36</t>
  </si>
  <si>
    <t>0A1CD</t>
  </si>
  <si>
    <t>e954fe60-c58d-4c47-ae9a-8e91ede0a1cd</t>
  </si>
  <si>
    <t>8B843</t>
  </si>
  <si>
    <t>8d736e5b-98bc-42d2-8e20-18bccdb8b843</t>
  </si>
  <si>
    <t>ALTI05283</t>
  </si>
  <si>
    <t>LT4TIOGGSAEGA</t>
  </si>
  <si>
    <t>AMR01665</t>
  </si>
  <si>
    <t>LTHCO2JSSG6M</t>
  </si>
  <si>
    <t>508CD</t>
  </si>
  <si>
    <t>a95f5dd1-ceab-48c1-8ec2-77081cc508cd</t>
  </si>
  <si>
    <t>AMR01661</t>
  </si>
  <si>
    <t>LTHCNXI9NWIN</t>
  </si>
  <si>
    <t>ALTI05281</t>
  </si>
  <si>
    <t>LTHCNZDQFF1R</t>
  </si>
  <si>
    <t>78085</t>
  </si>
  <si>
    <t>19a0b8c6-42e0-493b-8dc6-9aba46278085</t>
  </si>
  <si>
    <t>CAD9F</t>
  </si>
  <si>
    <t>245f4306-189a-4659-bf5d-9fecbb1cad9f</t>
  </si>
  <si>
    <t>ALTI05282</t>
  </si>
  <si>
    <t>LTHCO0UL20GQ</t>
  </si>
  <si>
    <t>ADLY05287</t>
  </si>
  <si>
    <t>LTHCO8JZIVF3</t>
  </si>
  <si>
    <t>428D8</t>
  </si>
  <si>
    <t>51b041b0-bfb1-423e-874d-9404d87428d8</t>
  </si>
  <si>
    <t>ADLY05284</t>
  </si>
  <si>
    <t>LTHCO4J1WBF7</t>
  </si>
  <si>
    <t>AMR01662</t>
  </si>
  <si>
    <t>LTHCNXX6THJS</t>
  </si>
  <si>
    <t>E388E</t>
  </si>
  <si>
    <t>f96d4c77-6063-4d38-8fc6-0ed298ce388e</t>
  </si>
  <si>
    <t>ANDOWES00327423</t>
  </si>
  <si>
    <t>LTHCOCGHKFJ7</t>
  </si>
  <si>
    <t>2820E</t>
  </si>
  <si>
    <t>27822314-ff35-4349-9abe-f1613632820e</t>
  </si>
  <si>
    <t>3BA8C</t>
  </si>
  <si>
    <t>8e808ef6-e13b-432b-9730-441d52e3ba8c</t>
  </si>
  <si>
    <t>59F82</t>
  </si>
  <si>
    <t>5b534f4a-3082-41c4-ad80-ba2519259f82</t>
  </si>
  <si>
    <t>495FA</t>
  </si>
  <si>
    <t>80e63714-a4e8-4d7f-830d-b530ef9495fa</t>
  </si>
  <si>
    <t>101475698195</t>
  </si>
  <si>
    <t>101475809128</t>
  </si>
  <si>
    <t>ANDOWES00327410</t>
  </si>
  <si>
    <t>LTHCNYM6VSV4</t>
  </si>
  <si>
    <t>1E385</t>
  </si>
  <si>
    <t>d855e796-b938-4aea-8015-e90c5b91e385</t>
  </si>
  <si>
    <t>EF797</t>
  </si>
  <si>
    <t>c45a0719-7dc6-446b-9bbb-d3bdd0cef797</t>
  </si>
  <si>
    <t>ANDOWES00327413</t>
  </si>
  <si>
    <t>LT4TIPACUE786</t>
  </si>
  <si>
    <t>093AE</t>
  </si>
  <si>
    <t>46676cc3-af47-41d4-a853-bd85f19093ae</t>
  </si>
  <si>
    <t>04238</t>
  </si>
  <si>
    <t>f1f33b02-b616-4e64-a099-480c30f04238</t>
  </si>
  <si>
    <t>0ADC7</t>
  </si>
  <si>
    <t>6854d384-459d-4106-8001-af670ec0adc7</t>
  </si>
  <si>
    <t>7B869</t>
  </si>
  <si>
    <t>86366ff8-2277-48db-b46f-ce9d2ee7b869</t>
  </si>
  <si>
    <t>965.0</t>
  </si>
  <si>
    <t>B4688</t>
  </si>
  <si>
    <t>8c2983b6-f454-448b-9696-b88c93db4688</t>
  </si>
  <si>
    <t>CF49C</t>
  </si>
  <si>
    <t>02730fb1-dec9-437b-8b65-0c98cf4cf49c</t>
  </si>
  <si>
    <t>A2F94</t>
  </si>
  <si>
    <t>6414bced-f43e-4bff-9ecb-82fd001a2f94</t>
  </si>
  <si>
    <t>CF01E</t>
  </si>
  <si>
    <t>57847d2f-3bab-4c29-86ee-586f5cdcf01e</t>
  </si>
  <si>
    <t>751D0</t>
  </si>
  <si>
    <t>d5bc8515-9290-42b6-9c1f-02683a0751d0</t>
  </si>
  <si>
    <t>1609.0</t>
  </si>
  <si>
    <t>E5535</t>
  </si>
  <si>
    <t>347857d5-84d5-4ec8-ad0b-eba6f1ae5535</t>
  </si>
  <si>
    <t>ANDOWES00327411</t>
  </si>
  <si>
    <t>LTHCO0R6Y6AH</t>
  </si>
  <si>
    <t>CC29F</t>
  </si>
  <si>
    <t>496b94d1-b423-4891-8890-1931bfccc29f</t>
  </si>
  <si>
    <t>1451.0</t>
  </si>
  <si>
    <t>C3351</t>
  </si>
  <si>
    <t>77b75b5f-9196-4ce4-9588-99ef34ec3351</t>
  </si>
  <si>
    <t>9300.0</t>
  </si>
  <si>
    <t>0663C</t>
  </si>
  <si>
    <t>e3e8b825-acca-481b-9dfa-e4e4bc30663c</t>
  </si>
  <si>
    <t>83397</t>
  </si>
  <si>
    <t>58168392-fc48-4e08-a46f-26987b283397</t>
  </si>
  <si>
    <t>7590.0</t>
  </si>
  <si>
    <t>15064</t>
  </si>
  <si>
    <t>2f9a4200-c198-43e2-95a5-6eb92ec15064</t>
  </si>
  <si>
    <t>6140.0</t>
  </si>
  <si>
    <t>ANDOWES00327419</t>
  </si>
  <si>
    <t>LTHCO90ZUHMC</t>
  </si>
  <si>
    <t>CE49B</t>
  </si>
  <si>
    <t>0abd4cbb-66ff-4b06-aa90-f0619c7ce49b</t>
  </si>
  <si>
    <t>AB4ED</t>
  </si>
  <si>
    <t>afb0b216-a8cc-4414-87ca-41c84d3ab4ed</t>
  </si>
  <si>
    <t>4840.0</t>
  </si>
  <si>
    <t>8DAE3</t>
  </si>
  <si>
    <t>39692e8d-7ef4-4016-aa60-f90e69b8dae3</t>
  </si>
  <si>
    <t>C2F27</t>
  </si>
  <si>
    <t>b7c7355d-3298-4d3f-a2eb-1bf03eec2f27</t>
  </si>
  <si>
    <t>2964.0</t>
  </si>
  <si>
    <t>1ANDMBP05663</t>
  </si>
  <si>
    <t>LT1C77D4HWQ60W</t>
  </si>
  <si>
    <t>101475690357</t>
  </si>
  <si>
    <t>ALTI05288</t>
  </si>
  <si>
    <t>LTHCO8NZ29ED</t>
  </si>
  <si>
    <t>BF46F</t>
  </si>
  <si>
    <t>d2dd8f9c-9dee-4373-b3a1-8ba2c2cbf46f</t>
  </si>
  <si>
    <t>F22BD</t>
  </si>
  <si>
    <t>4a3b1c92-a643-4062-94c4-ca8ecd1f22bd</t>
  </si>
  <si>
    <t>51F4E</t>
  </si>
  <si>
    <t>811a3c9d-11c5-459e-bede-b8d161c51f4e</t>
  </si>
  <si>
    <t>1E455</t>
  </si>
  <si>
    <t>81b0c911-9160-464d-b4db-fbe37ea1e455</t>
  </si>
  <si>
    <t>49CF1</t>
  </si>
  <si>
    <t>ffff22a5-e2b7-4a99-a86c-12c5dc749cf1</t>
  </si>
  <si>
    <t>52B54</t>
  </si>
  <si>
    <t>92eec6a4-68f5-40f9-bd33-44c3cf352b54</t>
  </si>
  <si>
    <t>2470.0</t>
  </si>
  <si>
    <t>2803B</t>
  </si>
  <si>
    <t>08cfc7dc-0e3a-401f-a855-f2067fc2803b</t>
  </si>
  <si>
    <t>905B6</t>
  </si>
  <si>
    <t>71a99389-da93-4fbe-88bb-7ad53ce905b6</t>
  </si>
  <si>
    <t>151C6</t>
  </si>
  <si>
    <t>4d253be1-165b-468b-96ae-f047f85151c6</t>
  </si>
  <si>
    <t>59E6E</t>
  </si>
  <si>
    <t>031593a6-2a90-43eb-916e-692bba259e6e</t>
  </si>
  <si>
    <t>ALTI05280</t>
  </si>
  <si>
    <t>LTHCNYT3E3HB</t>
  </si>
  <si>
    <t>CEF0A</t>
  </si>
  <si>
    <t>bdde2ebc-242e-4691-adb4-1faf03acef0a</t>
  </si>
  <si>
    <t>D1C38</t>
  </si>
  <si>
    <t>9c5a5290-6d6a-46ab-8a0c-16bc320d1c38</t>
  </si>
  <si>
    <t>3839.0</t>
  </si>
  <si>
    <t>04554</t>
  </si>
  <si>
    <t>8cdef2c0-491f-4330-97cd-37ed79404554</t>
  </si>
  <si>
    <t>8BBAB</t>
  </si>
  <si>
    <t>6a3c2a9d-140d-4c5c-98c1-7edf9558bbab</t>
  </si>
  <si>
    <t>1759.0</t>
  </si>
  <si>
    <t>840A4</t>
  </si>
  <si>
    <t>8ac47574-797e-45f8-bf2e-89c6b12840a4</t>
  </si>
  <si>
    <t>1439.0</t>
  </si>
  <si>
    <t>AMR01672</t>
  </si>
  <si>
    <t>LT4TIR8MO4TLG</t>
  </si>
  <si>
    <t>810.0</t>
  </si>
  <si>
    <t>73480</t>
  </si>
  <si>
    <t>f792ba92-dfe2-4d3a-828b-30e139273480</t>
  </si>
  <si>
    <t>206CC</t>
  </si>
  <si>
    <t>10f7c8bd-3db2-4bb1-b9f6-dc063ae206cc</t>
  </si>
  <si>
    <t>D72E4</t>
  </si>
  <si>
    <t>5bd67db8-294c-43aa-a356-b3ce1fdd72e4</t>
  </si>
  <si>
    <t>EE430</t>
  </si>
  <si>
    <t>12017342-1d3c-4d09-b310-914bd74ee430</t>
  </si>
  <si>
    <t>6210.0</t>
  </si>
  <si>
    <t>A3708</t>
  </si>
  <si>
    <t>c53a08c8-1497-45a5-9925-de9c235a3708</t>
  </si>
  <si>
    <t>101475645819</t>
  </si>
  <si>
    <t>D978C</t>
  </si>
  <si>
    <t>be5c8873-3855-4028-8126-75fce94d978c</t>
  </si>
  <si>
    <t>ALTI05291</t>
  </si>
  <si>
    <t>LTHCOCCHQC2O</t>
  </si>
  <si>
    <t>AMR01663</t>
  </si>
  <si>
    <t>LTHCO0074JLK</t>
  </si>
  <si>
    <t>12D32</t>
  </si>
  <si>
    <t>384b99ca-7d76-4fd4-9f6e-3060d6f12d32</t>
  </si>
  <si>
    <t>4350.0</t>
  </si>
  <si>
    <t>EFFDF</t>
  </si>
  <si>
    <t>66d20073-a73c-4625-ac95-afc2343effdf</t>
  </si>
  <si>
    <t>41748</t>
  </si>
  <si>
    <t>84a2b52b-89ac-4d93-b7f9-11a8c5341748</t>
  </si>
  <si>
    <t>ED654</t>
  </si>
  <si>
    <t>6299c2de-9c42-4174-bf93-dcc559ded654</t>
  </si>
  <si>
    <t>AB27F</t>
  </si>
  <si>
    <t>90e64e73-06c7-421e-9545-2393e92ab27f</t>
  </si>
  <si>
    <t>4A979</t>
  </si>
  <si>
    <t>fcd254d7-3f63-4402-a9d3-33fb6684a979</t>
  </si>
  <si>
    <t>62FC0</t>
  </si>
  <si>
    <t>c6a51329-cd65-43f1-93db-21034bf62fc0</t>
  </si>
  <si>
    <t>2BBEC</t>
  </si>
  <si>
    <t>e7a1c97f-4f03-4e63-ada0-12d6a062bbec</t>
  </si>
  <si>
    <t>09312</t>
  </si>
  <si>
    <t>61d2e900-5a91-4a64-92e4-23b224609312</t>
  </si>
  <si>
    <t>E1B02</t>
  </si>
  <si>
    <t>c28c5a76-2b78-4f12-946c-538631ce1b02</t>
  </si>
  <si>
    <t>ALTI05289</t>
  </si>
  <si>
    <t>LT4TIQU2OVG44</t>
  </si>
  <si>
    <t>0EA46</t>
  </si>
  <si>
    <t>e0307f8b-171d-4391-bb3b-6b302c00ea46</t>
  </si>
  <si>
    <t>10DDF</t>
  </si>
  <si>
    <t>e020b4d6-8ac1-4cf2-ab7a-93a866410ddf</t>
  </si>
  <si>
    <t>King's New York Pizza</t>
  </si>
  <si>
    <t>A0D43</t>
  </si>
  <si>
    <t>f736b0be-1b6c-483b-9342-be19ae0a0d43</t>
  </si>
  <si>
    <t>AMR01668</t>
  </si>
  <si>
    <t>LTHCO3VX78W1</t>
  </si>
  <si>
    <t>AMR01670</t>
  </si>
  <si>
    <t>LTHCO8DP7ZG5</t>
  </si>
  <si>
    <t>AMR01666</t>
  </si>
  <si>
    <t>LTHCO2P50U2P</t>
  </si>
  <si>
    <t>12BC8</t>
  </si>
  <si>
    <t>74f9d06c-3723-4475-a599-f4c764312bc8</t>
  </si>
  <si>
    <t>AMR01671</t>
  </si>
  <si>
    <t>LTHCOA49ZX9R</t>
  </si>
  <si>
    <t>23F0B</t>
  </si>
  <si>
    <t>a27167a0-c698-4e7e-9c01-4097c8823f0b</t>
  </si>
  <si>
    <t>ADLY05285</t>
  </si>
  <si>
    <t>LTHCO4Q9F9PF</t>
  </si>
  <si>
    <t>1DCC2</t>
  </si>
  <si>
    <t>b114a41b-a7e9-454f-a6c4-cd705fd1dcc2</t>
  </si>
  <si>
    <t>30DB3</t>
  </si>
  <si>
    <t>598c4e60-04e9-42eb-9277-36a62a330db3</t>
  </si>
  <si>
    <t>ED75F</t>
  </si>
  <si>
    <t>aa461a0e-d9d2-4813-a996-404b263ed75f</t>
  </si>
  <si>
    <t>64CFC</t>
  </si>
  <si>
    <t>47a805f0-b000-479d-bf05-6708f9f64cfc</t>
  </si>
  <si>
    <t>9CFA2</t>
  </si>
  <si>
    <t>7aac7baa-ba2c-49c9-b8e0-fdfde559cfa2</t>
  </si>
  <si>
    <t>56A9D</t>
  </si>
  <si>
    <t>2f29d1f0-1c90-4926-8a51-df5b39356a9d</t>
  </si>
  <si>
    <t>101475375557</t>
  </si>
  <si>
    <t>740.0</t>
  </si>
  <si>
    <t>ALTI05292</t>
  </si>
  <si>
    <t>LTHCOD0Z6QYC</t>
  </si>
  <si>
    <t>19E4E</t>
  </si>
  <si>
    <t>fceb2a0e-55b3-4a1d-83a2-9ee7eb219e4e</t>
  </si>
  <si>
    <t>54EC7</t>
  </si>
  <si>
    <t>d44edf55-fddc-4a4f-b392-387145b54ec7</t>
  </si>
  <si>
    <t>9272D</t>
  </si>
  <si>
    <t>ae9bbe40-fedf-405d-9aa5-9fdf4a09272d</t>
  </si>
  <si>
    <t>E2799</t>
  </si>
  <si>
    <t>f0d099d0-a035-4f0e-bddb-a6cdd35e2799</t>
  </si>
  <si>
    <t>18775.0</t>
  </si>
  <si>
    <t>AMR01664</t>
  </si>
  <si>
    <t>LTHCO27GXIOH</t>
  </si>
  <si>
    <t>753AE</t>
  </si>
  <si>
    <t>99b83bdd-b5ec-4f30-852b-ce5c8f4753ae</t>
  </si>
  <si>
    <t>5475.0</t>
  </si>
  <si>
    <t>101475834087</t>
  </si>
  <si>
    <t>0407A</t>
  </si>
  <si>
    <t>7fd49000-fb66-4121-8fe8-290ec420407a</t>
  </si>
  <si>
    <t>5215.0</t>
  </si>
  <si>
    <t>A9859</t>
  </si>
  <si>
    <t>45732c0d-0b17-4053-9c25-3e96b89a9859</t>
  </si>
  <si>
    <t>5425.0</t>
  </si>
  <si>
    <t>AAD33</t>
  </si>
  <si>
    <t>f7ee98bb-a911-4441-a130-00814c5aad33</t>
  </si>
  <si>
    <t>4725.0</t>
  </si>
  <si>
    <t>345CB</t>
  </si>
  <si>
    <t>11434a8f-25ec-4440-a8be-223a582345cb</t>
  </si>
  <si>
    <t>3525.0</t>
  </si>
  <si>
    <t>61238</t>
  </si>
  <si>
    <t>9f17820e-e99a-44d1-9ca7-076059161238</t>
  </si>
  <si>
    <t>3435.0</t>
  </si>
  <si>
    <t>2BF70</t>
  </si>
  <si>
    <t>b93c1340-7d66-44c0-a4ae-ced6c6f2bf70</t>
  </si>
  <si>
    <t>2445.0</t>
  </si>
  <si>
    <t>7778A</t>
  </si>
  <si>
    <t>5242a276-b662-430f-aa5b-9d826397778a</t>
  </si>
  <si>
    <t>2375.0</t>
  </si>
  <si>
    <t>E52E4</t>
  </si>
  <si>
    <t>07ddf183-7c04-4b27-b342-514e63ee52e4</t>
  </si>
  <si>
    <t>9E73C</t>
  </si>
  <si>
    <t>700d819e-d4db-4bdd-88f3-f6ff93e9e73c</t>
  </si>
  <si>
    <t>8D032</t>
  </si>
  <si>
    <t>60a893d5-b7d3-4757-b7f7-647f5c08d032</t>
  </si>
  <si>
    <t>4E153</t>
  </si>
  <si>
    <t>d481e341-9515-4433-a42a-39386384e153</t>
  </si>
  <si>
    <t>280.0</t>
  </si>
  <si>
    <t>Restaurant name</t>
  </si>
  <si>
    <t>Order ID</t>
  </si>
  <si>
    <t>Restaurant ID</t>
  </si>
  <si>
    <t>Delivery Type</t>
  </si>
  <si>
    <t>Payment type</t>
  </si>
  <si>
    <t>Payment method</t>
  </si>
  <si>
    <t>Is Pro Order</t>
  </si>
  <si>
    <t>Restaurant Address</t>
  </si>
  <si>
    <t>Order status</t>
  </si>
  <si>
    <t>Order received at</t>
  </si>
  <si>
    <t>Accepted at</t>
  </si>
  <si>
    <t>Estimated ready to pick up time</t>
  </si>
  <si>
    <t>Ready to pick up at</t>
  </si>
  <si>
    <t>Rider near pickup at</t>
  </si>
  <si>
    <t>In delivery at</t>
  </si>
  <si>
    <t>Estimated delivery time</t>
  </si>
  <si>
    <t>Delivered at</t>
  </si>
  <si>
    <t>Has Complaint?</t>
  </si>
  <si>
    <t>Complaint Reason</t>
  </si>
  <si>
    <t>Cancelled at</t>
  </si>
  <si>
    <t>Cancellation reason</t>
  </si>
  <si>
    <t>Cancellation owner</t>
  </si>
  <si>
    <t>Subtotal</t>
  </si>
  <si>
    <t>Service fee</t>
  </si>
  <si>
    <t>Packaging charges</t>
  </si>
  <si>
    <t>Minimum order value fee</t>
  </si>
  <si>
    <t>Rider Tip</t>
  </si>
  <si>
    <t>Delivery Fee</t>
  </si>
  <si>
    <t>Vendor Refunds</t>
  </si>
  <si>
    <t>Tax Charge</t>
  </si>
  <si>
    <t>Online Payment Fee</t>
  </si>
  <si>
    <t>Discount Funded by Vendor</t>
  </si>
  <si>
    <t>Voucher Funded by Vendor</t>
  </si>
  <si>
    <t>Commission</t>
  </si>
  <si>
    <t>Vendor Charges</t>
  </si>
  <si>
    <t>Ads Fee</t>
  </si>
  <si>
    <t>Wait time fee</t>
  </si>
  <si>
    <t>Marketing Fees</t>
  </si>
  <si>
    <t>Is Payable</t>
  </si>
  <si>
    <t>Is Paid</t>
  </si>
  <si>
    <t>Estimated earnings</t>
  </si>
  <si>
    <t>Cash amount already collected by vendor</t>
  </si>
  <si>
    <t>Amount owed back to platform</t>
  </si>
  <si>
    <t>Payout Amount</t>
  </si>
  <si>
    <t>Platform-Funded Discount</t>
  </si>
  <si>
    <t>Platform-Funded Voucher</t>
  </si>
  <si>
    <t>Total Discount</t>
  </si>
  <si>
    <t>Total Voucher</t>
  </si>
  <si>
    <t>Tax Amount</t>
  </si>
  <si>
    <t>Order Items</t>
  </si>
  <si>
    <t>Little Italy (PQ5Q+2W Nairobi) [NBO]</t>
  </si>
  <si>
    <t>1.01475401774E11</t>
  </si>
  <si>
    <t>212504.0</t>
  </si>
  <si>
    <t>Vendor delivery</t>
  </si>
  <si>
    <t>Online</t>
  </si>
  <si>
    <t/>
  </si>
  <si>
    <t>N</t>
  </si>
  <si>
    <t>PQ5Q+2W Nairobi, Kenya</t>
  </si>
  <si>
    <t>Delivered</t>
  </si>
  <si>
    <t>45965.47777777778</t>
  </si>
  <si>
    <t>45965.478472222225</t>
  </si>
  <si>
    <t>45965.50625</t>
  </si>
  <si>
    <t>45965.51597222222</t>
  </si>
  <si>
    <t>45965.561111111114</t>
  </si>
  <si>
    <t>0.0</t>
  </si>
  <si>
    <t>1 Mother’s Lasagna [1 No Cutlery]</t>
  </si>
  <si>
    <t>1.01475497632E11</t>
  </si>
  <si>
    <t>45965.592361111114</t>
  </si>
  <si>
    <t>45965.620833333334</t>
  </si>
  <si>
    <t>45965.63055555556</t>
  </si>
  <si>
    <t>45965.67569444444</t>
  </si>
  <si>
    <t>1 Tagliatelle w/ Mushroom Cream Sauce - Single Portion [1 Grilled Chicken, 1 No Cutlery]</t>
  </si>
  <si>
    <t>1.01475749857E11</t>
  </si>
  <si>
    <t>Y</t>
  </si>
  <si>
    <t>45965.77638888889</t>
  </si>
  <si>
    <t>45965.791666666664</t>
  </si>
  <si>
    <t>45965.813888888886</t>
  </si>
  <si>
    <t>45965.85972222222</t>
  </si>
  <si>
    <t>4190.0</t>
  </si>
  <si>
    <t>1 Penne Arrabbiata - Single Portion [1 No Cutlery], 1 Tagliatelle w/ Mushroom Cream Sauce - Single Portion [1 Grilled Chicken], 1 Creamy Chicken &amp; Mushroom Macaroni - Single Portion [1 No Cutlery], 3 Pepsi Cola 300ml</t>
  </si>
  <si>
    <t>1.01475768452E11</t>
  </si>
  <si>
    <t>45965.790972222225</t>
  </si>
  <si>
    <t>45965.80625</t>
  </si>
  <si>
    <t>45965.82916666667</t>
  </si>
  <si>
    <t>45965.87708333333</t>
  </si>
  <si>
    <t>1 Penne Arrabbiata - Single Portion [1 Grilled Chicken]</t>
  </si>
  <si>
    <t>1.01475788395E11</t>
  </si>
  <si>
    <t>45965.80694444444</t>
  </si>
  <si>
    <t>45965.80763888889</t>
  </si>
  <si>
    <t>45965.84652777778</t>
  </si>
  <si>
    <t>45965.845138888886</t>
  </si>
  <si>
    <t>45965.89097222222</t>
  </si>
  <si>
    <t>2 Spaghetti Bolognese - Double Portion [1 No Cutlery]</t>
  </si>
  <si>
    <t>1.01475830948E11</t>
  </si>
  <si>
    <t>45965.839583333334</t>
  </si>
  <si>
    <t>45965.84027777778</t>
  </si>
  <si>
    <t>45965.87777777778</t>
  </si>
  <si>
    <t>45965.92569444444</t>
  </si>
  <si>
    <t>1 Tagliatelle w/ Mushroom Cream Sauce - Single Portion [1 No Cutlery], 1 Mac &amp; Cheese - Kids' Portion [1 No Cutlery], 1 Kale Caesar Salad w/ Grilled Chicken</t>
  </si>
  <si>
    <t>1.01475872386E11</t>
  </si>
  <si>
    <t>45965.86875</t>
  </si>
  <si>
    <t>45965.86944444444</t>
  </si>
  <si>
    <t>45965.88333333333</t>
  </si>
  <si>
    <t>45965.90694444445</t>
  </si>
  <si>
    <t>45965.95347222222</t>
  </si>
  <si>
    <t>1 Creamy Chicken &amp; Mushroom Macaroni - Double Portion [1 No Cutlery]</t>
  </si>
  <si>
    <t>1.01476291902E11</t>
  </si>
  <si>
    <t>45966.58194444444</t>
  </si>
  <si>
    <t>45966.60277777778</t>
  </si>
  <si>
    <t>45966.62013888889</t>
  </si>
  <si>
    <t>45966.66527777778</t>
  </si>
  <si>
    <t>5770.0</t>
  </si>
  <si>
    <t>5970.0</t>
  </si>
  <si>
    <t>1 Mother’s Lasagna [1 BPA-Free Cutlery], 2 Penne Alfredo - Double Portion [1 Grilled Chicken, 1 BPA-Free Cutlery]</t>
  </si>
  <si>
    <t>1.01476440702E11</t>
  </si>
  <si>
    <t>45966.67916666667</t>
  </si>
  <si>
    <t>45966.67986111111</t>
  </si>
  <si>
    <t>45966.728472222225</t>
  </si>
  <si>
    <t>45966.717361111114</t>
  </si>
  <si>
    <t>45966.76597222222</t>
  </si>
  <si>
    <t>1 Penne Alfredo - Double Portion [1 Grilled Chicken]</t>
  </si>
  <si>
    <t>1.01476440949E11</t>
  </si>
  <si>
    <t>Cash</t>
  </si>
  <si>
    <t>1458.4</t>
  </si>
  <si>
    <t>248.4</t>
  </si>
  <si>
    <t>1 Mother’s Lasagna</t>
  </si>
  <si>
    <t>1.01476626016E11</t>
  </si>
  <si>
    <t>45966.82152777778</t>
  </si>
  <si>
    <t>45966.856944444444</t>
  </si>
  <si>
    <t>45966.85972222222</t>
  </si>
  <si>
    <t>45966.90555555555</t>
  </si>
  <si>
    <t>1 Mac &amp; Cheese Regular, 1 Kale Caesar Salad w/ Grilled Chicken</t>
  </si>
  <si>
    <t>1.01476638371E11</t>
  </si>
  <si>
    <t>45966.830555555556</t>
  </si>
  <si>
    <t>45966.86875</t>
  </si>
  <si>
    <t>45966.91527777778</t>
  </si>
  <si>
    <t>1 Classic Tiramisu, 1 Penne Arrabbiata - Single Portion [1 Grilled Chicken], 1 Creamy Chicken and Mushroom Soup</t>
  </si>
  <si>
    <t>1.01477122757E11</t>
  </si>
  <si>
    <t>45967.57013888889</t>
  </si>
  <si>
    <t>45967.59305555555</t>
  </si>
  <si>
    <t>45967.60763888889</t>
  </si>
  <si>
    <t>45967.654861111114</t>
  </si>
  <si>
    <t>1 Kale Caesar Salad w/ Grilled Chicken</t>
  </si>
  <si>
    <t>1.01477163967E11</t>
  </si>
  <si>
    <t>45967.60277777778</t>
  </si>
  <si>
    <t>45967.603472222225</t>
  </si>
  <si>
    <t>45967.63125</t>
  </si>
  <si>
    <t>45967.64097222222</t>
  </si>
  <si>
    <t>45967.68958333333</t>
  </si>
  <si>
    <t>1 Classic Tiramisu, 1 Creamy Chicken &amp; Mushroom Macaroni - Single Portion [1 BPA-Free Cutlery]</t>
  </si>
  <si>
    <t>1.01477221146E11</t>
  </si>
  <si>
    <t>45967.64027777778</t>
  </si>
  <si>
    <t>45967.67361111111</t>
  </si>
  <si>
    <t>45967.67847222222</t>
  </si>
  <si>
    <t>45967.72430555556</t>
  </si>
  <si>
    <t>1 Spaghetti Bolognese - Single Portion [1 Minty Melonade]</t>
  </si>
  <si>
    <t>1.01477403564E11</t>
  </si>
  <si>
    <t>45967.76458333333</t>
  </si>
  <si>
    <t>45967.799305555556</t>
  </si>
  <si>
    <t>45967.802083333336</t>
  </si>
  <si>
    <t>45967.84930555556</t>
  </si>
  <si>
    <t>2 Classic Tiramisu</t>
  </si>
  <si>
    <t>1.01477405691E11</t>
  </si>
  <si>
    <t>45967.76597222222</t>
  </si>
  <si>
    <t>45967.8</t>
  </si>
  <si>
    <t>45967.80416666667</t>
  </si>
  <si>
    <t>1926.4</t>
  </si>
  <si>
    <t>266.4</t>
  </si>
  <si>
    <t>1 Fresh Lemonade, 1 Fusilli Pesto w/ Grilled Chicken - Single Portion [1 Parmesan Cheese]</t>
  </si>
  <si>
    <t>1.01477432217E11</t>
  </si>
  <si>
    <t>45967.78611111111</t>
  </si>
  <si>
    <t>45967.84444444445</t>
  </si>
  <si>
    <t>45967.82430555556</t>
  </si>
  <si>
    <t>45967.87013888889</t>
  </si>
  <si>
    <t>1 Chef's Special Tomato Soup, 1 Lasagna Vegetariana</t>
  </si>
  <si>
    <t>Khan's - Pakistani Kitchen (Mpaka Rd) [NBO]</t>
  </si>
  <si>
    <t>1.01475688322E11</t>
  </si>
  <si>
    <t>265592.0</t>
  </si>
  <si>
    <t>Mpaka Rd, Nairobi, Kenya</t>
  </si>
  <si>
    <t>Cancelled</t>
  </si>
  <si>
    <t>45965.72430555556</t>
  </si>
  <si>
    <t>45965.7625</t>
  </si>
  <si>
    <t>45965.76875</t>
  </si>
  <si>
    <t>Incorrect address</t>
  </si>
  <si>
    <t>Customer</t>
  </si>
  <si>
    <t>yes</t>
  </si>
  <si>
    <t>1 Chicken Tikka Roll, 1 Tandoori Garlic Naan, 1 Paneer Tikka Roll, 1 Lahori Halwa</t>
  </si>
  <si>
    <t>1.01475753619E11</t>
  </si>
  <si>
    <t>45965.77916666667</t>
  </si>
  <si>
    <t>45965.82013888889</t>
  </si>
  <si>
    <t>45965.81736111111</t>
  </si>
  <si>
    <t>45965.86319444444</t>
  </si>
  <si>
    <t>1.01475915025E11</t>
  </si>
  <si>
    <t>45965.89444444444</t>
  </si>
  <si>
    <t>45965.89513888889</t>
  </si>
  <si>
    <t>45965.90416666667</t>
  </si>
  <si>
    <t>45965.93263888889</t>
  </si>
  <si>
    <t>45965.978472222225</t>
  </si>
  <si>
    <t>1 Chicken Tikka Biryani [1 BPA-Free Cutlery, 2 Single Portion - Serves 1 Person]</t>
  </si>
  <si>
    <t>1.01476217037E11</t>
  </si>
  <si>
    <t>45966.495833333334</t>
  </si>
  <si>
    <t>45966.51944444444</t>
  </si>
  <si>
    <t>45966.53402777778</t>
  </si>
  <si>
    <t>1 Sindhi Boneless Chicken Biryani [1 Mild, 1 Single Portion - Serves 1 Person]</t>
  </si>
  <si>
    <t>1.01476244412E11</t>
  </si>
  <si>
    <t>45966.53333333333</t>
  </si>
  <si>
    <t>45966.55069444444</t>
  </si>
  <si>
    <t>45966.57152777778</t>
  </si>
  <si>
    <t>1 Sindhi Chicken Biryani [1 Single Portion - Serves 1 Person, 1 Mild]</t>
  </si>
  <si>
    <t>1.0147635894E11</t>
  </si>
  <si>
    <t>Picked up</t>
  </si>
  <si>
    <t>45966.629166666666</t>
  </si>
  <si>
    <t>45966.72152777778</t>
  </si>
  <si>
    <t>45966.66736111111</t>
  </si>
  <si>
    <t>45966.71388888889</t>
  </si>
  <si>
    <t>1 Paneer Tikka Biryani [1 No Cutlery, 1 Single Portion - Serves 1 Person], 1 Lahori Chicken Karahi - Single Portion [1 Tandoori Garlic Naan]</t>
  </si>
  <si>
    <t>1.01476595353E11</t>
  </si>
  <si>
    <t>45966.79791666667</t>
  </si>
  <si>
    <t>45966.79861111111</t>
  </si>
  <si>
    <t>45966.81319444445</t>
  </si>
  <si>
    <t>45966.83611111111</t>
  </si>
  <si>
    <t>45966.88402777778</t>
  </si>
  <si>
    <t>3219.0</t>
  </si>
  <si>
    <t>1 Sindhi Boneless Chicken Biryani [1 Mild, 1 Single Portion - Serves 1 Person], 2 Chicken Tikka Biryani [1 No Cutlery, 2 Single Portion - Serves 1 Person]</t>
  </si>
  <si>
    <t>1.01476630542E11</t>
  </si>
  <si>
    <t>45966.82430555556</t>
  </si>
  <si>
    <t>45966.825</t>
  </si>
  <si>
    <t>45966.84652777778</t>
  </si>
  <si>
    <t>45966.8625</t>
  </si>
  <si>
    <t>45966.90833333333</t>
  </si>
  <si>
    <t>1 Chicken Tikka Roll, 1 Gulab Jamun</t>
  </si>
  <si>
    <t>1.01476636956E11</t>
  </si>
  <si>
    <t>45966.82916666667</t>
  </si>
  <si>
    <t>45966.86736111111</t>
  </si>
  <si>
    <t>2 Chicken Tikka Biryani [1 No Cutlery, 1 Single Portion - Serves 1 Person]</t>
  </si>
  <si>
    <t>1.01477091498E11</t>
  </si>
  <si>
    <t>45967.53888888889</t>
  </si>
  <si>
    <t>45967.544444444444</t>
  </si>
  <si>
    <t>45967.57708333333</t>
  </si>
  <si>
    <t>45967.623611111114</t>
  </si>
  <si>
    <t>1 Chicken Tikka Biryani [1 No Cutlery, 1 Single Portion - Serves 1 Person]</t>
  </si>
  <si>
    <t>1.01477093687E11</t>
  </si>
  <si>
    <t>45967.541666666664</t>
  </si>
  <si>
    <t>45967.57986111111</t>
  </si>
  <si>
    <t>45967.62708333333</t>
  </si>
  <si>
    <t>1 Mutton Karahi - Single Portion [1 Tandoori Butter Naan]</t>
  </si>
  <si>
    <t>1.01477454686E11</t>
  </si>
  <si>
    <t>45967.802777777775</t>
  </si>
  <si>
    <t>45967.80347222222</t>
  </si>
  <si>
    <t>45967.83541666667</t>
  </si>
  <si>
    <t>45967.84097222222</t>
  </si>
  <si>
    <t>45967.8875</t>
  </si>
  <si>
    <t>1.01477463665E11</t>
  </si>
  <si>
    <t>45967.80902777778</t>
  </si>
  <si>
    <t>45967.80972222222</t>
  </si>
  <si>
    <t>45967.85277777778</t>
  </si>
  <si>
    <t>45967.84722222222</t>
  </si>
  <si>
    <t>45967.89444444444</t>
  </si>
  <si>
    <t>860.0</t>
  </si>
  <si>
    <t>2 Gulab Jamun</t>
  </si>
  <si>
    <t>1.01477475603E11</t>
  </si>
  <si>
    <t>45967.81805555556</t>
  </si>
  <si>
    <t>45967.85208333333</t>
  </si>
  <si>
    <t>45967.85625</t>
  </si>
  <si>
    <t>45967.90138888889</t>
  </si>
  <si>
    <t>1 Raita, 1 Tandoori Butter Naan, 1 Malai Kheer, 1 Sabz-e-Biryani - Double Portion [1 No Cutlery], 1 Tandoori Garlic Naan, 1 Chicken Tikka Biryani [1 No Cutlery, 1 Single Portion - Serves 1 Person]</t>
  </si>
  <si>
    <t>1.01477484847E11</t>
  </si>
  <si>
    <t>45967.825</t>
  </si>
  <si>
    <t>45967.853472222225</t>
  </si>
  <si>
    <t>45967.8625</t>
  </si>
  <si>
    <t>45967.90833333333</t>
  </si>
  <si>
    <t>DILLI! - Curries and Grill (Mpaka Rd) [NBO]</t>
  </si>
  <si>
    <t>1.01475419354E11</t>
  </si>
  <si>
    <t>350324.0</t>
  </si>
  <si>
    <t>45965.50763888889</t>
  </si>
  <si>
    <t>45965.54583333333</t>
  </si>
  <si>
    <t>1 Dilliwala Butter Chicken - Single Portion [1 Steamed Rice, 1 Medium, 1 No Cutlery]</t>
  </si>
  <si>
    <t>1.01475476879E11</t>
  </si>
  <si>
    <t>45965.57430555556</t>
  </si>
  <si>
    <t>45965.626388888886</t>
  </si>
  <si>
    <t>45965.6125</t>
  </si>
  <si>
    <t>45965.65833333333</t>
  </si>
  <si>
    <t>1229.6</t>
  </si>
  <si>
    <t>239.6</t>
  </si>
  <si>
    <t>1 Chicken Tikka Masala [1 Hot, 1 No Cutlery, 1 Single Portion - Serves 1, 1 Tandoori Roti]</t>
  </si>
  <si>
    <t>1.0147550679E11</t>
  </si>
  <si>
    <t>45965.59930555556</t>
  </si>
  <si>
    <t>45965.6</t>
  </si>
  <si>
    <t>45965.67638888889</t>
  </si>
  <si>
    <t>45965.63680555556</t>
  </si>
  <si>
    <t>45965.68263888889</t>
  </si>
  <si>
    <t>1 Chicken Tikka Masala - Double Portion [1 Tandoori Butter Naan, 1 Jeera Rice, 1 Medium, 1 No Cutlery]</t>
  </si>
  <si>
    <t>1.01476500609E11</t>
  </si>
  <si>
    <t>45966.760416666664</t>
  </si>
  <si>
    <t>45966.759722222225</t>
  </si>
  <si>
    <t>45966.80763888889</t>
  </si>
  <si>
    <t>1 Paneer Makhanwala [1 Tandoori Butter Naan, 1 Medium, 1 No Cutlery, 1 Single Portion - Serves 1], 1 Tandoori Butter Naan, 1 Salted Lassi</t>
  </si>
  <si>
    <t>1.01476530949E11</t>
  </si>
  <si>
    <t>45966.745833333334</t>
  </si>
  <si>
    <t>45966.74652777778</t>
  </si>
  <si>
    <t>45966.78402777778</t>
  </si>
  <si>
    <t>45966.83194444444</t>
  </si>
  <si>
    <t>1 Dilliwala Butter Chicken - Single Portion [1 Tandoori Butter Naan, 1 Medium, 1 No Cutlery], 1 Dilliwala Palak Paneer [1 Tandoori Butter Naan, 1 Medium, 1 No Cutlery, 1 Single Portion - Serves 1]</t>
  </si>
  <si>
    <t>1.0147665857E11</t>
  </si>
  <si>
    <t>45966.84444444445</t>
  </si>
  <si>
    <t>45966.845138888886</t>
  </si>
  <si>
    <t>45966.88263888889</t>
  </si>
  <si>
    <t>45966.92916666667</t>
  </si>
  <si>
    <t>1 Tandoori Butter Naan, 1 Dilliwala Palak Paneer [1 Tandoori Garlic Naan, 1 Medium, 1 No Cutlery, 1 Single Portion - Serves 1], 1 Tandoori Plain Naan</t>
  </si>
  <si>
    <t>Khan's - Pakistani Kitchen (Village Market) [NBO]</t>
  </si>
  <si>
    <t>1.01475838374E11</t>
  </si>
  <si>
    <t>378030.0</t>
  </si>
  <si>
    <t>Village Market, Nairobi, Kenya</t>
  </si>
  <si>
    <t>45965.86666666667</t>
  </si>
  <si>
    <t>45965.92916666667</t>
  </si>
  <si>
    <t>1.01475877409E11</t>
  </si>
  <si>
    <t>45965.87222222222</t>
  </si>
  <si>
    <t>45965.90347222222</t>
  </si>
  <si>
    <t>45965.910416666666</t>
  </si>
  <si>
    <t>45965.95694444444</t>
  </si>
  <si>
    <t>989.4</t>
  </si>
  <si>
    <t>1 Sindhi Boneless Chicken Biryani [1 Spicy (hot), 1 Single Portion - Serves 1 Person]</t>
  </si>
  <si>
    <t>DILLI! - Curries and Grill (Village Market) [NBO]</t>
  </si>
  <si>
    <t>1.01475781046E11</t>
  </si>
  <si>
    <t>378071.0</t>
  </si>
  <si>
    <t>Platform delivery</t>
  </si>
  <si>
    <t>45965.80138888889</t>
  </si>
  <si>
    <t>45965.81319444445</t>
  </si>
  <si>
    <t>45965.83263888889</t>
  </si>
  <si>
    <t>45965.82777777778</t>
  </si>
  <si>
    <t>1 Tandoori Garlic Naan, 1 Dilliwala Butter Chicken [1 Tandoori Garlic Naan, 1 Single Portion - Serves 1, 1 Hot, 1 BPA-Free Cutlery]</t>
  </si>
  <si>
    <t>1.01477434883E11</t>
  </si>
  <si>
    <t>45967.794444444444</t>
  </si>
  <si>
    <t>45967.80486111111</t>
  </si>
  <si>
    <t>45967.80138888889</t>
  </si>
  <si>
    <t>45967.80625</t>
  </si>
  <si>
    <t>45967.82986111111</t>
  </si>
  <si>
    <t>45967.82013888889</t>
  </si>
  <si>
    <t>1 Dilliwala Butter Chicken - Single Portion [1 Tandoori Garlic Naan, 1 Mild, 1 No Cutlery]</t>
  </si>
  <si>
    <t>1.0147747393E11</t>
  </si>
  <si>
    <t>45967.82638888889</t>
  </si>
  <si>
    <t>45967.847916666666</t>
  </si>
  <si>
    <t>45967.84652777778</t>
  </si>
  <si>
    <t>1 Tandoori Garlic Naan, 1 Chicken Tikka Masala - Single Portion [1 Tandoori Garlic Naan, 1 Medium, 1 BPA-Free Cutlery]</t>
  </si>
  <si>
    <t>SuperWings (PQ5Q+2J8) [NBO]</t>
  </si>
  <si>
    <t>1.01475412871E11</t>
  </si>
  <si>
    <t>475401.0</t>
  </si>
  <si>
    <t>PQ5Q+2J8, Timau Road, Nairobi, Kenya</t>
  </si>
  <si>
    <t>45965.49722222222</t>
  </si>
  <si>
    <t>45965.49791666667</t>
  </si>
  <si>
    <t>45965.52777777778</t>
  </si>
  <si>
    <t>45965.535416666666</t>
  </si>
  <si>
    <t>45965.58194444444</t>
  </si>
  <si>
    <t>1 Traditional Buffalo Wings (Bone-in) [1 6pcs]</t>
  </si>
  <si>
    <t>1.01475537113E11</t>
  </si>
  <si>
    <t>45965.63958333333</t>
  </si>
  <si>
    <t>45965.70347222222</t>
  </si>
  <si>
    <t>1 Teriyaki Wings (Boneless) [1 24pc]</t>
  </si>
  <si>
    <t>1.01476318076E11</t>
  </si>
  <si>
    <t>45966.60208333333</t>
  </si>
  <si>
    <t>45966.64375</t>
  </si>
  <si>
    <t>45966.64027777778</t>
  </si>
  <si>
    <t>45966.686111111114</t>
  </si>
  <si>
    <t>1 Honey Mustard Wings (Boneless) [1 12pcs, 1 Add Classic Fries]</t>
  </si>
  <si>
    <t>1.01477412193E11</t>
  </si>
  <si>
    <t>45967.770833333336</t>
  </si>
  <si>
    <t>1 Korean-style Sweet &amp; Spicy Wings (Boneless) [1 Add Classic Fries, 1 Ranch Dressing, 1 6pc]</t>
  </si>
  <si>
    <t>SuperWings (PRM3+FHW) [NBO]</t>
  </si>
  <si>
    <t>1.01477498999E11</t>
  </si>
  <si>
    <t>499193.0</t>
  </si>
  <si>
    <t>PRM3+FHW, Nairobi, Kenya</t>
  </si>
  <si>
    <t>45967.834027777775</t>
  </si>
  <si>
    <t>45967.83472222222</t>
  </si>
  <si>
    <t>45967.87222222222</t>
  </si>
  <si>
    <t>45967.91875</t>
  </si>
  <si>
    <t>1612.0</t>
  </si>
  <si>
    <t>1 Teriyaki Wings (Bone-In) [1 12pc]</t>
  </si>
  <si>
    <t>Marty’s Famous Burgers (Timau Plaza) [NBO]</t>
  </si>
  <si>
    <t>1.01475777555E11</t>
  </si>
  <si>
    <t>516342.0</t>
  </si>
  <si>
    <t>Timau Plaza, Nairobi, Kenya</t>
  </si>
  <si>
    <t>45965.79861111111</t>
  </si>
  <si>
    <t>45965.836805555555</t>
  </si>
  <si>
    <t>45965.88402777778</t>
  </si>
  <si>
    <t>2176.0</t>
  </si>
  <si>
    <t>1 Marty's Shroom Special Classic, 1 Lemon Pepper Wings (Boneless)</t>
  </si>
  <si>
    <t>1.01476719935E11</t>
  </si>
  <si>
    <t>45966.88333333333</t>
  </si>
  <si>
    <t>45966.89444444444</t>
  </si>
  <si>
    <t>45966.92152777778</t>
  </si>
  <si>
    <t>45966.967361111114</t>
  </si>
  <si>
    <t>2685.6</t>
  </si>
  <si>
    <t>1 Marty's Double Cheeseburger Classic, 1 Marty's Famous Cheeseburger Regular [1 Add Classic Fries], 1 Pepsi Cola 300ml</t>
  </si>
  <si>
    <t>1.01477249215E11</t>
  </si>
  <si>
    <t>45967.65694444445</t>
  </si>
  <si>
    <t>45967.69513888889</t>
  </si>
  <si>
    <t>45967.686111111114</t>
  </si>
  <si>
    <t>1 Minty Melonade, 1 Marty’s Famous Cheeseburger (Regular) + Classic Fries + Pepsi</t>
  </si>
  <si>
    <t>1.0147745502E11</t>
  </si>
  <si>
    <t>45967.84166666667</t>
  </si>
  <si>
    <t>1300.0</t>
  </si>
  <si>
    <t>1 Marty’s Famous Cheeseburger (Regular) + Classic Fries + Pepsi</t>
  </si>
  <si>
    <t>1.01477473155E11</t>
  </si>
  <si>
    <t>45967.81597222222</t>
  </si>
  <si>
    <t>45967.816666666666</t>
  </si>
  <si>
    <t>45967.865277777775</t>
  </si>
  <si>
    <t>45967.854166666664</t>
  </si>
  <si>
    <t>1.01477514113E11</t>
  </si>
  <si>
    <t>45968.41458333333</t>
  </si>
  <si>
    <t>45967.88263888889</t>
  </si>
  <si>
    <t>45967.92916666667</t>
  </si>
  <si>
    <t>1 Marty's Shroom Special Regular</t>
  </si>
  <si>
    <t>Marty’s Famous Burgers (PRM3+FHW Nairobi) [NBO]</t>
  </si>
  <si>
    <t>1.01475546149E11</t>
  </si>
  <si>
    <t>561303.0</t>
  </si>
  <si>
    <t>PRM3+FHW Nairobi, Kenya</t>
  </si>
  <si>
    <t>45965.66458333333</t>
  </si>
  <si>
    <t>45965.71041666667</t>
  </si>
  <si>
    <t>1 Marty's Double Cheeseburger Regular</t>
  </si>
  <si>
    <t>1.01475698195E11</t>
  </si>
  <si>
    <t>45965.73263888889</t>
  </si>
  <si>
    <t>45965.754166666666</t>
  </si>
  <si>
    <t>45965.770833333336</t>
  </si>
  <si>
    <t>45965.81805555556</t>
  </si>
  <si>
    <t>1 Classic BBQ Wings (Boneless), 1 Pepsi Cola 300ml, 1 Cajun-Style Fries [1 No Cutlery]</t>
  </si>
  <si>
    <t>1.01475809128E11</t>
  </si>
  <si>
    <t>45965.822916666664</t>
  </si>
  <si>
    <t>45965.82361111111</t>
  </si>
  <si>
    <t>45966.41458333333</t>
  </si>
  <si>
    <t>45965.86111111111</t>
  </si>
  <si>
    <t>45965.90833333333</t>
  </si>
  <si>
    <t>1 Classic Fries [1 No Cutlery], 2 Marty's Famous Cheeseburger Regular, 1 Exotica-style Masala Fries [1 No Cutlery]</t>
  </si>
  <si>
    <t>1.01476233289E11</t>
  </si>
  <si>
    <t>45966.51875</t>
  </si>
  <si>
    <t>45966.535416666666</t>
  </si>
  <si>
    <t>45966.55694444444</t>
  </si>
  <si>
    <t>1 Thai Chilli Mango Wings (Boneless), 1 Marty's Double Cheeseburger Regular</t>
  </si>
  <si>
    <t>1.01476236994E11</t>
  </si>
  <si>
    <t>45966.524305555555</t>
  </si>
  <si>
    <t>45966.5625</t>
  </si>
  <si>
    <t>45966.60972222222</t>
  </si>
  <si>
    <t>1021.6</t>
  </si>
  <si>
    <t>1 Marty's Famous Cheeseburger Regular</t>
  </si>
  <si>
    <t>1.01477500831E11</t>
  </si>
  <si>
    <t>45967.83611111111</t>
  </si>
  <si>
    <t>45967.873611111114</t>
  </si>
  <si>
    <t>45967.919444444444</t>
  </si>
  <si>
    <t>1.01477530004E11</t>
  </si>
  <si>
    <t>45967.85486111111</t>
  </si>
  <si>
    <t>45967.868055555555</t>
  </si>
  <si>
    <t>45967.893055555556</t>
  </si>
  <si>
    <t>45967.93958333333</t>
  </si>
  <si>
    <t>1 Marty's Double Cheeseburger Classic</t>
  </si>
  <si>
    <t>Little Italy (PRM3+FHW) [NBO]</t>
  </si>
  <si>
    <t>1.01476246496E11</t>
  </si>
  <si>
    <t>572172.0</t>
  </si>
  <si>
    <t>45966.53611111111</t>
  </si>
  <si>
    <t>45966.54722222222</t>
  </si>
  <si>
    <t>45966.57430555556</t>
  </si>
  <si>
    <t>231.6</t>
  </si>
  <si>
    <t>1 Creamy chicken and mushroom soup w/ garlic bread</t>
  </si>
  <si>
    <t>1.01476733858E11</t>
  </si>
  <si>
    <t>45966.89097222222</t>
  </si>
  <si>
    <t>45966.89791666667</t>
  </si>
  <si>
    <t>45966.975</t>
  </si>
  <si>
    <t>1.01477113863E11</t>
  </si>
  <si>
    <t>45967.56180555555</t>
  </si>
  <si>
    <t>45967.57152777778</t>
  </si>
  <si>
    <t>45967.6</t>
  </si>
  <si>
    <t>45967.64791666667</t>
  </si>
  <si>
    <t>1 Fusilli Pesto w/ Grilled Chicken - Single Portion [1 No Cutlery]</t>
  </si>
  <si>
    <t>1.01477149314E11</t>
  </si>
  <si>
    <t>45967.592361111114</t>
  </si>
  <si>
    <t>45967.60138888889</t>
  </si>
  <si>
    <t>45967.63055555556</t>
  </si>
  <si>
    <t>45967.67569444444</t>
  </si>
  <si>
    <t>1 Strawberry &amp; Cream Crespelle [1 No Cutlery], 1 Mother’s Lasagna [1 No Cutlery]</t>
  </si>
  <si>
    <t>1.01477363549E11</t>
  </si>
  <si>
    <t>45967.73333333333</t>
  </si>
  <si>
    <t>45967.74652777778</t>
  </si>
  <si>
    <t>1 Spaghetti Bolognese - Single Portion</t>
  </si>
  <si>
    <t>1.0147756352E11</t>
  </si>
  <si>
    <t>45967.875</t>
  </si>
  <si>
    <t>45967.881944444445</t>
  </si>
  <si>
    <t>45967.913194444445</t>
  </si>
  <si>
    <t>45967.96041666667</t>
  </si>
  <si>
    <t>Little Italy (Village Market) [NBO]</t>
  </si>
  <si>
    <t>1.01475634375E11</t>
  </si>
  <si>
    <t>600955.0</t>
  </si>
  <si>
    <t>45965.68402777778</t>
  </si>
  <si>
    <t>45965.68819444445</t>
  </si>
  <si>
    <t>45965.72222222222</t>
  </si>
  <si>
    <t>45965.76944444444</t>
  </si>
  <si>
    <t>540.0</t>
  </si>
  <si>
    <t>1 Classic Tiramisu [1 No Cutlery]</t>
  </si>
  <si>
    <t>1.01475645819E11</t>
  </si>
  <si>
    <t>45965.691666666666</t>
  </si>
  <si>
    <t>45965.69236111111</t>
  </si>
  <si>
    <t>45965.69652777778</t>
  </si>
  <si>
    <t>45965.72986111111</t>
  </si>
  <si>
    <t>1.014764938E11</t>
  </si>
  <si>
    <t>45966.71666666667</t>
  </si>
  <si>
    <t>45966.73611111111</t>
  </si>
  <si>
    <t>45966.75486111111</t>
  </si>
  <si>
    <t>45966.80069444444</t>
  </si>
  <si>
    <t>1 Fusilli Pesto w/ Grilled Chicken - Double Portion</t>
  </si>
  <si>
    <t>1.01477103691E11</t>
  </si>
  <si>
    <t>45967.552083333336</t>
  </si>
  <si>
    <t>45967.56597222222</t>
  </si>
  <si>
    <t>45967.59027777778</t>
  </si>
  <si>
    <t>45967.6375</t>
  </si>
  <si>
    <t>1 Spaghetti Bolognese - Single Portion [1 No Cutlery], 1 Caramel &amp; Banana Crespelle</t>
  </si>
  <si>
    <t>1.01477144178E11</t>
  </si>
  <si>
    <t>45967.58819444444</t>
  </si>
  <si>
    <t>45967.595138888886</t>
  </si>
  <si>
    <t>45967.626388888886</t>
  </si>
  <si>
    <t>45967.67222222222</t>
  </si>
  <si>
    <t>1364.8</t>
  </si>
  <si>
    <t>244.8</t>
  </si>
  <si>
    <t>1 Fusilli Pesto w/ Grilled Chicken - Single Portion</t>
  </si>
  <si>
    <t>Marty’s Famous Burgers (Village Market) [NBO]</t>
  </si>
  <si>
    <t>1.01475517347E11</t>
  </si>
  <si>
    <t>601008.0</t>
  </si>
  <si>
    <t>45965.606944444444</t>
  </si>
  <si>
    <t>45965.61736111111</t>
  </si>
  <si>
    <t>45965.61319444444</t>
  </si>
  <si>
    <t>45965.62291666667</t>
  </si>
  <si>
    <t>45965.638194444444</t>
  </si>
  <si>
    <t>45965.63402777778</t>
  </si>
  <si>
    <t>1.01475707613E11</t>
  </si>
  <si>
    <t>45965.740277777775</t>
  </si>
  <si>
    <t>45965.75277777778</t>
  </si>
  <si>
    <t>45965.74791666667</t>
  </si>
  <si>
    <t>45965.75486111111</t>
  </si>
  <si>
    <t>45965.771527777775</t>
  </si>
  <si>
    <t>45965.808333333334</t>
  </si>
  <si>
    <t>2 Marty's Double Cheeseburger Classic</t>
  </si>
  <si>
    <t>1.01475834087E11</t>
  </si>
  <si>
    <t>45965.842361111114</t>
  </si>
  <si>
    <t>45965.85277777778</t>
  </si>
  <si>
    <t>45965.850694444445</t>
  </si>
  <si>
    <t>45965.873611111114</t>
  </si>
  <si>
    <t>45965.87013888889</t>
  </si>
  <si>
    <t>1 Marty's Double Cheeseburger Regular [1 Add Extra Prime Beef Patty]</t>
  </si>
  <si>
    <t>Bombay Canteen - Chai and Snacks (PRM3+FHW) [NBO]</t>
  </si>
  <si>
    <t>1.01475370789E11</t>
  </si>
  <si>
    <t>611022.0</t>
  </si>
  <si>
    <t>45965.35972222222</t>
  </si>
  <si>
    <t>45965.376388888886</t>
  </si>
  <si>
    <t>45965.3875</t>
  </si>
  <si>
    <t>45965.44305555556</t>
  </si>
  <si>
    <t>2 Paneer Tikka Paratha Roll, 1 Zafrani Chai - Signature Flask 500 ml</t>
  </si>
  <si>
    <t>1.01475375557E11</t>
  </si>
  <si>
    <t>45965.39861111111</t>
  </si>
  <si>
    <t>45965.41875</t>
  </si>
  <si>
    <t>45965.42638888889</t>
  </si>
  <si>
    <t>45965.48472222222</t>
  </si>
  <si>
    <t>1 Beef Samosas, 1 NEW! Hot Chai Cup [1 Kadak Chai]</t>
  </si>
  <si>
    <t>Siam Thai Kitchen (PQ4Q+QV) [NBO]</t>
  </si>
  <si>
    <t>1.01475418699E11</t>
  </si>
  <si>
    <t>618679.0</t>
  </si>
  <si>
    <t>PQ4Q+QV, Nairobi, Kenya</t>
  </si>
  <si>
    <t>45965.506944444445</t>
  </si>
  <si>
    <t>45965.5375</t>
  </si>
  <si>
    <t>1 Pad Thai w/ Chicken [1 BPA-Free Cutlery, 1 Double Portion]</t>
  </si>
  <si>
    <t>1.01475422579E11</t>
  </si>
  <si>
    <t>45965.51180555556</t>
  </si>
  <si>
    <t>45965.5125</t>
  </si>
  <si>
    <t>45965.54305555556</t>
  </si>
  <si>
    <t>45965.59583333333</t>
  </si>
  <si>
    <t>1 Pad Thai w/ Chicken [1 BPA-Free Cutlery, 1 Single Portion]</t>
  </si>
  <si>
    <t>1.01476268193E11</t>
  </si>
  <si>
    <t>45966.55972222222</t>
  </si>
  <si>
    <t>45966.57013888889</t>
  </si>
  <si>
    <t>45966.59097222222</t>
  </si>
  <si>
    <t>45966.64444444444</t>
  </si>
  <si>
    <t>1 Spicy Drunken Noodles [1 BPA-Free Cutlery, 1 Chicken]</t>
  </si>
  <si>
    <t>1.01476462767E11</t>
  </si>
  <si>
    <t>45966.69375</t>
  </si>
  <si>
    <t>45966.694444444445</t>
  </si>
  <si>
    <t>45966.725</t>
  </si>
  <si>
    <t>45966.779861111114</t>
  </si>
  <si>
    <t>1 Red Curry w/ Chicken &amp; Jasmine Rice [1 No Cutlery, 1 Single Portion]</t>
  </si>
  <si>
    <t>1.0147666657E11</t>
  </si>
  <si>
    <t>45966.85</t>
  </si>
  <si>
    <t>45966.88125</t>
  </si>
  <si>
    <t>45966.936111111114</t>
  </si>
  <si>
    <t>1 Pad Thai w/ Chicken [1 No Cutlery, 1 Single Portion], 1 House Special Chicken Fried Rice [1 No Cutlery]</t>
  </si>
  <si>
    <t>1.01477090931E11</t>
  </si>
  <si>
    <t>45967.538194444445</t>
  </si>
  <si>
    <t>45967.569444444445</t>
  </si>
  <si>
    <t>1 Pad Thai w/ Chicken [1 No Cutlery, 1 Single Portion]</t>
  </si>
  <si>
    <t>1.01477186634E11</t>
  </si>
  <si>
    <t>45967.61875</t>
  </si>
  <si>
    <t>45967.65</t>
  </si>
  <si>
    <t>45967.70347222222</t>
  </si>
  <si>
    <t>1.01477220519E11</t>
  </si>
  <si>
    <t>45967.63958333333</t>
  </si>
  <si>
    <t>45967.67083333333</t>
  </si>
  <si>
    <t>2 Red Curry w/ Chicken &amp; Jasmine Rice [1 No Cutlery, 1 Single Portion, 1 Chicken (100g)]</t>
  </si>
  <si>
    <t>1.01477460377E11</t>
  </si>
  <si>
    <t>45967.80694444444</t>
  </si>
  <si>
    <t>45967.83819444444</t>
  </si>
  <si>
    <t>45967.89097222222</t>
  </si>
  <si>
    <t>1 Pad Thai w/ Chicken [1 Thai Iced Tea, 1 Compostable Chopsticks, 1 Single Portion]</t>
  </si>
  <si>
    <t>Siam Thai Kitchen (PRM3+FHW) [NBO]</t>
  </si>
  <si>
    <t>1.01475548485E11</t>
  </si>
  <si>
    <t>626482.0</t>
  </si>
  <si>
    <t>45965.62777777778</t>
  </si>
  <si>
    <t>45965.665972222225</t>
  </si>
  <si>
    <t>45965.71388888889</t>
  </si>
  <si>
    <t>1 Pad Thai w/ Chicken [1 BPA-Free Cutlery, 1 Lemongrass Ginger Iced Tea, 1 Tofu (100g), 1 Single Portion]</t>
  </si>
  <si>
    <t>1.01475738865E11</t>
  </si>
  <si>
    <t>45965.76666666667</t>
  </si>
  <si>
    <t>45965.80416666667</t>
  </si>
  <si>
    <t>45965.80486111111</t>
  </si>
  <si>
    <t>1.01475755689E11</t>
  </si>
  <si>
    <t>45965.78125</t>
  </si>
  <si>
    <t>45965.80347222222</t>
  </si>
  <si>
    <t>45965.81875</t>
  </si>
  <si>
    <t>1 Pad Thai w/ Chicken [1 No Cutlery, 1 Chicken (100g), 1 Single Portion]</t>
  </si>
  <si>
    <t>1.01475867978E11</t>
  </si>
  <si>
    <t>45965.86597222222</t>
  </si>
  <si>
    <t>45965.881944444445</t>
  </si>
  <si>
    <t>45965.95</t>
  </si>
  <si>
    <t>3990.0</t>
  </si>
  <si>
    <t>1 Pad Thai w/ Prawns [1 Compostable Chopsticks, 1 Chicken (100g), 1 Single Portion], 1 Thai Papaya Salad, 1 NEW! Pad Kra Pao w/Chicken [1 Compostable Chopsticks, 1 Egg (1pcs)]</t>
  </si>
  <si>
    <t>1.01476204942E11</t>
  </si>
  <si>
    <t>45966.47430555556</t>
  </si>
  <si>
    <t>45966.48888888889</t>
  </si>
  <si>
    <t>45966.5125</t>
  </si>
  <si>
    <t>45966.55763888889</t>
  </si>
  <si>
    <t>1 Crispy Spring Rolls [1 Chicken], 1 Chiang Mai Cashew Chicken [1 No Cutlery], 1 Thai Papaya Salad</t>
  </si>
  <si>
    <t>1.01476223126E11</t>
  </si>
  <si>
    <t>45966.50486111111</t>
  </si>
  <si>
    <t>45966.50555555556</t>
  </si>
  <si>
    <t>45966.51180555556</t>
  </si>
  <si>
    <t>45966.54305555556</t>
  </si>
  <si>
    <t>45966.58888888889</t>
  </si>
  <si>
    <t>1 Pad Thai w/ Chicken [1 No Cutlery, 1 Double Portion]</t>
  </si>
  <si>
    <t>1.01476231198E11</t>
  </si>
  <si>
    <t>45966.51666666667</t>
  </si>
  <si>
    <t>45966.538194444445</t>
  </si>
  <si>
    <t>45966.55416666667</t>
  </si>
  <si>
    <t>4520.0</t>
  </si>
  <si>
    <t>1 Tom Yum Soup [1 No Cutlery, 1 Tofu (100g)], 1 Tom Yum Soup [1 No Cutlery], 1 Pad Thai w/ Chicken [1 No Cutlery, 1 Single Portion], 1 Mango Sticky Rice, 1 Veg Dumplings [1 Pan-Fried, 1 No Flavor]</t>
  </si>
  <si>
    <t>1.01476231974E11</t>
  </si>
  <si>
    <t>45966.51736111111</t>
  </si>
  <si>
    <t>45966.555555555555</t>
  </si>
  <si>
    <t>1 Pad Thai w/ Chicken [1 BPA-Free Cutlery, 1 Chicken (100g), 1 Single Portion]</t>
  </si>
  <si>
    <t>1.01476252046E11</t>
  </si>
  <si>
    <t>45966.54236111111</t>
  </si>
  <si>
    <t>45966.56736111111</t>
  </si>
  <si>
    <t>45966.580555555556</t>
  </si>
  <si>
    <t>45966.62708333333</t>
  </si>
  <si>
    <t>1.01476484596E11</t>
  </si>
  <si>
    <t>45966.70972222222</t>
  </si>
  <si>
    <t>45966.739583333336</t>
  </si>
  <si>
    <t>45966.74791666667</t>
  </si>
  <si>
    <t>45966.79375</t>
  </si>
  <si>
    <t>1 Pad Thai w/ Chicken [1 No Cutlery, 1 Single Portion], 1 Mango Sticky Rice</t>
  </si>
  <si>
    <t>1.01476491032E11</t>
  </si>
  <si>
    <t>45966.714583333334</t>
  </si>
  <si>
    <t>45966.75277777778</t>
  </si>
  <si>
    <t>1.01476507039E11</t>
  </si>
  <si>
    <t>45966.72638888889</t>
  </si>
  <si>
    <t>45966.75902777778</t>
  </si>
  <si>
    <t>45966.76458333333</t>
  </si>
  <si>
    <t>45966.811111111114</t>
  </si>
  <si>
    <t>1 Crispy Spring Rolls [1 Veg], 1 Spicy Drunken Noodles [1 No Cutlery, 1 Tofu], 1 House Special Egg Fried Rice [1 No Cutlery], 1 Veg Dumplings [1 Deep-Fried, 1 Chilli Sauce], 1 Thai Papaya Salad</t>
  </si>
  <si>
    <t>1.01476564577E11</t>
  </si>
  <si>
    <t>45966.77361111111</t>
  </si>
  <si>
    <t>45966.80694444444</t>
  </si>
  <si>
    <t>45966.81180555555</t>
  </si>
  <si>
    <t>45966.82986111111</t>
  </si>
  <si>
    <t>Unable to find customer</t>
  </si>
  <si>
    <t>1 Chicken Satay Skewers</t>
  </si>
  <si>
    <t>1.01476576274E11</t>
  </si>
  <si>
    <t>45966.782638888886</t>
  </si>
  <si>
    <t>45966.78333333333</t>
  </si>
  <si>
    <t>45966.82083333333</t>
  </si>
  <si>
    <t>45966.86666666667</t>
  </si>
  <si>
    <t>1.01477033017E11</t>
  </si>
  <si>
    <t>45967.44375</t>
  </si>
  <si>
    <t>45967.47430555556</t>
  </si>
  <si>
    <t>45967.481944444444</t>
  </si>
  <si>
    <t>45967.529861111114</t>
  </si>
  <si>
    <t>1.01477051783E11</t>
  </si>
  <si>
    <t>45967.48402777778</t>
  </si>
  <si>
    <t>45967.50069444445</t>
  </si>
  <si>
    <t>45967.52222222222</t>
  </si>
  <si>
    <t>45967.56805555556</t>
  </si>
  <si>
    <t>3670.0</t>
  </si>
  <si>
    <t>3870.0</t>
  </si>
  <si>
    <t>2 Pad Thai w/ Chicken [1 Compostable Chopsticks, 1 Single Portion], 1 Chicken Dumplings [1 Pan-Fried, 1 Thai Chilli Oil]</t>
  </si>
  <si>
    <t>1.01477070884E11</t>
  </si>
  <si>
    <t>45967.513194444444</t>
  </si>
  <si>
    <t>45967.55486111111</t>
  </si>
  <si>
    <t>45967.55138888889</t>
  </si>
  <si>
    <t>45967.59930555556</t>
  </si>
  <si>
    <t>1.01477071505E11</t>
  </si>
  <si>
    <t>45967.51388888889</t>
  </si>
  <si>
    <t>1 Green Curry w/ Chicken &amp; Jasmine Rice [1 No Cutlery, 1 Single Portion]</t>
  </si>
  <si>
    <t>1.01477076629E11</t>
  </si>
  <si>
    <t>45967.520833333336</t>
  </si>
  <si>
    <t>45967.55902777778</t>
  </si>
  <si>
    <t>45967.60625</t>
  </si>
  <si>
    <t>1.01477118635E11</t>
  </si>
  <si>
    <t>45967.572916666664</t>
  </si>
  <si>
    <t>45967.604166666664</t>
  </si>
  <si>
    <t>45967.65138888889</t>
  </si>
  <si>
    <t>1 Tom Yum Soup [1 No Cutlery]</t>
  </si>
  <si>
    <t>1.01477302535E11</t>
  </si>
  <si>
    <t>45967.69027777778</t>
  </si>
  <si>
    <t>45967.705555555556</t>
  </si>
  <si>
    <t>45967.728472222225</t>
  </si>
  <si>
    <t>45967.77638888889</t>
  </si>
  <si>
    <t>1 Tom Yum Soup [1 No Cutlery, 1 Chicken (100g)]</t>
  </si>
  <si>
    <t>1.0147747292E11</t>
  </si>
  <si>
    <t>45967.84583333333</t>
  </si>
  <si>
    <t>1 Pad Thai w/ Prawns [1 Compostable Chopsticks, 1 Single Portion]</t>
  </si>
  <si>
    <t>1.01477515959E11</t>
  </si>
  <si>
    <t>45967.89722222222</t>
  </si>
  <si>
    <t>45967.88402777778</t>
  </si>
  <si>
    <t>1 Crispy Spring Rolls [1 Chicken], 1 Tom Yum Soup [1 No Cutlery], 1 Mango Sticky Rice, 1 Thai Papaya Salad</t>
  </si>
  <si>
    <t>1.01477587223E11</t>
  </si>
  <si>
    <t>45967.888194444444</t>
  </si>
  <si>
    <t>45967.90625</t>
  </si>
  <si>
    <t>45967.92638888889</t>
  </si>
  <si>
    <t>45967.97430555556</t>
  </si>
  <si>
    <t>1437.6</t>
  </si>
  <si>
    <t>1 Crispy Spring Rolls [1 Chicken], 1 Tom Yum Soup [1 No Cutlery]</t>
  </si>
  <si>
    <t>1.01477623331E11</t>
  </si>
  <si>
    <t>45967.90694444445</t>
  </si>
  <si>
    <t>45967.938888888886</t>
  </si>
  <si>
    <t>45967.944444444445</t>
  </si>
  <si>
    <t>45967.99166666667</t>
  </si>
  <si>
    <t>5130.0</t>
  </si>
  <si>
    <t>5330.0</t>
  </si>
  <si>
    <t>1 Mango Sticky Rice, 1 Red Curry w/ Tofu &amp; Jasmine Rice (Veg) [1 No Cutlery, 1 Single Portion], 1 Green Curry w/ Prawns &amp; Jasmine Rice [1 No Cutlery, 1 Single Portion], 1 Veg Dumplings [1 Pan-Fried, 1 Thai Chilli Oil], 1 Thai Papaya Salad</t>
  </si>
  <si>
    <t>Siam Thai Kitchen (QRC3+7W) [NBO]</t>
  </si>
  <si>
    <t>1.01475735244E11</t>
  </si>
  <si>
    <t>626657.0</t>
  </si>
  <si>
    <t>QRC3+7W, Nairobi, Kenya</t>
  </si>
  <si>
    <t>45965.76388888889</t>
  </si>
  <si>
    <t>45965.802083333336</t>
  </si>
  <si>
    <t>45965.84930555556</t>
  </si>
  <si>
    <t>1 Red Curry w/ Tofu &amp; Jasmine Rice (Veg) [1 Fresh Orange, 1 No Cutlery, 1 Single Portion]</t>
  </si>
  <si>
    <t>1.01475868119E11</t>
  </si>
  <si>
    <t>2716.8</t>
  </si>
  <si>
    <t>-96.8</t>
  </si>
  <si>
    <t>96.8</t>
  </si>
  <si>
    <t>1 Spicy Drunken Noodles [1 No Cutlery, 1 Chicken], 1 Chicken Dumplings [1 Pan-Fried, 1 Chilli Sauce]</t>
  </si>
  <si>
    <t>1.01477077643E11</t>
  </si>
  <si>
    <t>45967.57847222222</t>
  </si>
  <si>
    <t>45967.56041666667</t>
  </si>
  <si>
    <t>1.01477429953E11</t>
  </si>
  <si>
    <t>45967.78472222222</t>
  </si>
  <si>
    <t>45967.822916666664</t>
  </si>
  <si>
    <t>DILLI! - Curries and Grill (PQ4Q+QV) [NBO]</t>
  </si>
  <si>
    <t>1.01475723658E11</t>
  </si>
  <si>
    <t>629582.0</t>
  </si>
  <si>
    <t>45965.75347222222</t>
  </si>
  <si>
    <t>45965.83888888889</t>
  </si>
  <si>
    <t>1 Chicken Tikka Masala - Single Portion [1 Tandoori Butter Naan, 1 Mild, 1 No Cutlery]</t>
  </si>
  <si>
    <t>1.01475730366E11</t>
  </si>
  <si>
    <t>45965.759722222225</t>
  </si>
  <si>
    <t>45965.79791666667</t>
  </si>
  <si>
    <t>45965.84583333333</t>
  </si>
  <si>
    <t>1 Dilliwala Butter Chicken - Single Portion [1 Tandoori Butter Naan, 1 Medium, 1 No Cutlery]</t>
  </si>
  <si>
    <t>1.0147573042E11</t>
  </si>
  <si>
    <t>1 Dilliwala Butter Chicken - Single Portion [1 Tandoori Butter Naan, 1 Hot, 1 No Cutlery]</t>
  </si>
  <si>
    <t>1.014765141E11</t>
  </si>
  <si>
    <t>45966.731944444444</t>
  </si>
  <si>
    <t>45966.77013888889</t>
  </si>
  <si>
    <t>45966.81805555556</t>
  </si>
  <si>
    <t>1 Dilliwala Butter Chicken - Single Portion [1 Tandoori Garlic Naan, 1 Hot, 1 No Cutlery], 1 Beef Gyoza (7pcs) [1 Deep-Fried, 1 Thai Chilli oil]</t>
  </si>
  <si>
    <t>1.01477291607E11</t>
  </si>
  <si>
    <t>45967.683333333334</t>
  </si>
  <si>
    <t>45967.720138888886</t>
  </si>
  <si>
    <t>45967.72083333333</t>
  </si>
  <si>
    <t>45967.76944444444</t>
  </si>
  <si>
    <t>Khan's - Pakistani Kitchen (PQ4Q+QV) [NBO]</t>
  </si>
  <si>
    <t>1.01475431258E11</t>
  </si>
  <si>
    <t>641067.0</t>
  </si>
  <si>
    <t>45965.52361111111</t>
  </si>
  <si>
    <t>45965.56180555555</t>
  </si>
  <si>
    <t>45965.60972222222</t>
  </si>
  <si>
    <t>1 Sindhi Mutton Biryani [1 Mild, 1 Single Portion - Serves 1 Person]</t>
  </si>
  <si>
    <t>1.01475690357E11</t>
  </si>
  <si>
    <t>45965.72638888889</t>
  </si>
  <si>
    <t>45965.79027777778</t>
  </si>
  <si>
    <t>45965.811111111114</t>
  </si>
  <si>
    <t>1 Lahori Halwa, 1 Sindhi Boneless Chicken Biryani [1 Mild, 1 Single Portion - Serves 1 Person]</t>
  </si>
  <si>
    <t>1.01475780785E11</t>
  </si>
  <si>
    <t>45965.80069444444</t>
  </si>
  <si>
    <t>45965.8875</t>
  </si>
  <si>
    <t>1208.8</t>
  </si>
  <si>
    <t>1 Sindhi Mutton Biryani [1 Spicy (hot), 1 Single Portion - Serves 1 Person]</t>
  </si>
  <si>
    <t>1.01475817173E11</t>
  </si>
  <si>
    <t>45965.86736111111</t>
  </si>
  <si>
    <t>45965.91527777778</t>
  </si>
  <si>
    <t>1 Sindhi Mutton Biryani [1 Spicy (hot), 1 Single Portion - Serves 1 Person], 1 Afghan Mutton Kebab</t>
  </si>
  <si>
    <t>1.01477079935E11</t>
  </si>
  <si>
    <t>45967.525</t>
  </si>
  <si>
    <t>45967.56319444445</t>
  </si>
  <si>
    <t>45967.60972222222</t>
  </si>
  <si>
    <t>1.01477381676E11</t>
  </si>
  <si>
    <t>45967.74722222222</t>
  </si>
  <si>
    <t>45967.785416666666</t>
  </si>
  <si>
    <t>45967.83194444444</t>
  </si>
  <si>
    <t>1 Mango Lassi, 1 Sindhi Chicken Biryani [1 Mild, 1 Double Portion - Serves 2 People], 1 Mutton Karahi - Double Portion [1 Lachha Paratha, 1 Tandoori Garlic Naan]</t>
  </si>
  <si>
    <t>1.01477525662E11</t>
  </si>
  <si>
    <t>45967.89027777778</t>
  </si>
  <si>
    <t>45967.936111111114</t>
  </si>
  <si>
    <t>1 Mango Lassi, 1 Chicken Tikka Biryani [1 No Cutlery, 1 Single Portion - Serves 1 Person]</t>
  </si>
  <si>
    <t>1.01477534288E11</t>
  </si>
  <si>
    <t>45967.85763888889</t>
  </si>
  <si>
    <t>45967.895833333336</t>
  </si>
  <si>
    <t>45967.94305555556</t>
  </si>
  <si>
    <t>1.01477540416E11</t>
  </si>
  <si>
    <t>45967.86111111111</t>
  </si>
  <si>
    <t>45967.861805555556</t>
  </si>
  <si>
    <t>45967.899305555555</t>
  </si>
  <si>
    <t>45967.94652777778</t>
  </si>
  <si>
    <t>ANDO Kitchens (PRM3+FHW) [NBO]</t>
  </si>
  <si>
    <t>1.01475452092E11</t>
  </si>
  <si>
    <t>651182.0</t>
  </si>
  <si>
    <t>45965.54861111111</t>
  </si>
  <si>
    <t>45965.549305555556</t>
  </si>
  <si>
    <t>45965.586805555555</t>
  </si>
  <si>
    <t>1 Chicken Tikka Biryani - Single Portion</t>
  </si>
  <si>
    <t>1.014757879E11</t>
  </si>
  <si>
    <t>45965.84444444445</t>
  </si>
  <si>
    <t>2940.0</t>
  </si>
  <si>
    <t>3249.0</t>
  </si>
  <si>
    <t>2 Marty's 'Shroom Special Burger [2 Add Classic Fries]</t>
  </si>
  <si>
    <t>1.01476306774E11</t>
  </si>
  <si>
    <t>45966.59375</t>
  </si>
  <si>
    <t>45966.631944444445</t>
  </si>
  <si>
    <t>1 Sindhi Boneless Chicken Biryani - Single Portion [1 Spicy (hot)], 1 Beef Samosas</t>
  </si>
  <si>
    <t>1.01476355587E11</t>
  </si>
  <si>
    <t>45966.71041666667</t>
  </si>
  <si>
    <t>1 Chicken Tikka Masala - Single Portion [1 No Cutlery, 1 Medium, 1 Butter Naan]</t>
  </si>
  <si>
    <t>1.01476551313E11</t>
  </si>
  <si>
    <t>45966.763194444444</t>
  </si>
  <si>
    <t>45966.76388888889</t>
  </si>
  <si>
    <t>45966.84930555556</t>
  </si>
  <si>
    <t>2 Aunty's Samosas (Veg), 3 Tandoori Plain Naan [1 Garlic]</t>
  </si>
  <si>
    <t>1.01476568297E11</t>
  </si>
  <si>
    <t>45966.77638888889</t>
  </si>
  <si>
    <t>45966.78888888889</t>
  </si>
  <si>
    <t>45966.81458333333</t>
  </si>
  <si>
    <t>45966.86319444444</t>
  </si>
  <si>
    <t>1 Chicken Tikka Masala - Single Portion [1 No Cutlery, 1 Mild, 1 Plain Naan]</t>
  </si>
  <si>
    <t>1.01476612443E11</t>
  </si>
  <si>
    <t>45966.83819444444</t>
  </si>
  <si>
    <t>6700.0</t>
  </si>
  <si>
    <t>1 Chicken Tikka Masala - Double Portion [1 No Cutlery, 1 Tandoori Garlic Naan, 1 Medium], 1 Dilliwala Butter Chicken - Single Portion [1 Jeera Rice, 1 No Cutlery, 1 Medium], 1 Paneer Makhanwala - Single Portion [1 Jeera Rice, 1 No Cutlery, 1 Mild], 1 Dilliwala Palak Paneer - Single Portion [1 No Cutlery, 1 Medium, 1 Garlic Naan], 2 Tandoori Plain Naan [1 Butter], 2 Samosas [1 Aunty's Samosas], 1 Jeera Rice or Steamed Rice [1 Jeera Rice]</t>
  </si>
  <si>
    <t>1.01476690586E11</t>
  </si>
  <si>
    <t>45966.86597222222</t>
  </si>
  <si>
    <t>45966.87569444445</t>
  </si>
  <si>
    <t>45966.90416666667</t>
  </si>
  <si>
    <t>45966.95</t>
  </si>
  <si>
    <t>1635.2</t>
  </si>
  <si>
    <t>1 Sindhi Boneless Chicken Biryani - Single Portion [1 Mild], 1 Fresh Lemonade</t>
  </si>
  <si>
    <t>1.01477119738E11</t>
  </si>
  <si>
    <t>45967.566666666666</t>
  </si>
  <si>
    <t>45967.56736111111</t>
  </si>
  <si>
    <t>45967.60486111111</t>
  </si>
  <si>
    <t>1 Chicken Tikka Masala - Single Portion [1 No Cutlery, 1 Mild, 1 Garlic Naan]</t>
  </si>
  <si>
    <t>1.01477398665E11</t>
  </si>
  <si>
    <t>45967.760416666664</t>
  </si>
  <si>
    <t>45967.79861111111</t>
  </si>
  <si>
    <t>1 Paneer Tikka Roll, 1 Classic Fries, 1 Crispy Chicken Wrap</t>
  </si>
  <si>
    <t>ANDO Kitchens (PQ4Q+QV) [NBO]</t>
  </si>
  <si>
    <t>1.01477066402E11</t>
  </si>
  <si>
    <t>651200.0</t>
  </si>
  <si>
    <t>45967.506944444445</t>
  </si>
  <si>
    <t>45967.53472222222</t>
  </si>
  <si>
    <t>45967.54513888889</t>
  </si>
  <si>
    <t>1 Traditional Buffalo Wings (Bone-in) [1 Poussin Fries, 1 6 Pcs]</t>
  </si>
  <si>
    <t>1.01477240388E11</t>
  </si>
  <si>
    <t>45967.652083333334</t>
  </si>
  <si>
    <t>45967.73819444444</t>
  </si>
  <si>
    <t>309.0</t>
  </si>
  <si>
    <t>1 Sticky Asian Wings (Bone-in) [1 No Cutlery, 1 Add Classic Fries, 1 Buffalo Sauce, 1 6 Pcs], 1 Lemon Pepper Wings (Bone-in) [1 No Cutlery, 1 Add Classic Fries, 1 Buffalo Sauce, 1 6 Pcs]</t>
  </si>
  <si>
    <t>1.01477325644E11</t>
  </si>
  <si>
    <t>45967.74375</t>
  </si>
  <si>
    <t>45967.79027777778</t>
  </si>
  <si>
    <t>1448.0</t>
  </si>
  <si>
    <t>248.0</t>
  </si>
  <si>
    <t>1 Lemon Pepper Wings (Bone-in) [1 Poussin Fries, 1 6 Pcs]</t>
  </si>
  <si>
    <t>1.01477440761E11</t>
  </si>
  <si>
    <t>45967.79305555556</t>
  </si>
  <si>
    <t>45967.83125</t>
  </si>
  <si>
    <t>45967.87708333333</t>
  </si>
  <si>
    <t>1 Traditional Buffalo Wings (Boneless) [1 Add Classic Fries, 1 6pcs]</t>
  </si>
  <si>
    <t>ANDO Kitchens (QRC3+7W) [NBO]</t>
  </si>
  <si>
    <t>1.01475668335E11</t>
  </si>
  <si>
    <t>651209.0</t>
  </si>
  <si>
    <t>45965.709027777775</t>
  </si>
  <si>
    <t>45965.72083333333</t>
  </si>
  <si>
    <t>45965.722916666666</t>
  </si>
  <si>
    <t>45965.71597222222</t>
  </si>
  <si>
    <t>45965.74652777778</t>
  </si>
  <si>
    <t>45965.75833333333</t>
  </si>
  <si>
    <t>3710.0</t>
  </si>
  <si>
    <t>1 Honey Mustard Wings (Bone-in) [1 12 Pcs], 1 Green Curry w/ Chicken &amp; Jasmine Rice - Double Portion [1 BPA-Free Cutlery]</t>
  </si>
  <si>
    <t xml:space="preserve">Bibi's Swahili Kitchen (B Arcade kilimani 
 00100 Nairobi
 Kenya) [NBO]</t>
  </si>
  <si>
    <t>1.01475411908E11</t>
  </si>
  <si>
    <t>694201.0</t>
  </si>
  <si>
    <t xml:space="preserve">B Arcade kilimani 
 00100 Nairobi
 Kenya</t>
  </si>
  <si>
    <t>45965.495833333334</t>
  </si>
  <si>
    <t>45965.49652777778</t>
  </si>
  <si>
    <t>45965.53402777778</t>
  </si>
  <si>
    <t>1 Mbuzi Karanga [1 Coconut Rice], 1 Mutton Pilau, 1 Bibi's Famous Chicken Biryani</t>
  </si>
  <si>
    <t>1.01475625949E11</t>
  </si>
  <si>
    <t>45965.67847222222</t>
  </si>
  <si>
    <t>45965.69027777778</t>
  </si>
  <si>
    <t>45965.71666666667</t>
  </si>
  <si>
    <t>2 Mbuzi Karanga [1 Coconut Rice]</t>
  </si>
  <si>
    <t>1.01475775992E11</t>
  </si>
  <si>
    <t>45965.79722222222</t>
  </si>
  <si>
    <t>45965.83541666667</t>
  </si>
  <si>
    <t>45965.87847222222</t>
  </si>
  <si>
    <t>Missing item</t>
  </si>
  <si>
    <t>1 Mbuzi Karanga [1 Chapati], 1 Mutton Pilau, 1 Bhajias</t>
  </si>
  <si>
    <t>1.01475787442E11</t>
  </si>
  <si>
    <t>1 Mutton Pilau, 1 Tamarind and Ginger Juice</t>
  </si>
  <si>
    <t>1.01475883375E11</t>
  </si>
  <si>
    <t>45965.876388888886</t>
  </si>
  <si>
    <t>45966.518055555556</t>
  </si>
  <si>
    <t>45965.91458333333</t>
  </si>
  <si>
    <t>45965.96041666667</t>
  </si>
  <si>
    <t>1 Mbuzi Karanga [1 Coconut Rice], 1 Kaimati, 1 Bibi's Famous Chicken Biryani, 1 Minty Melonade, 1 Pepsi Cola 300ml</t>
  </si>
  <si>
    <t>1.01476244801E11</t>
  </si>
  <si>
    <t>45966.569444444445</t>
  </si>
  <si>
    <t>45966.572222222225</t>
  </si>
  <si>
    <t>1 Bibi's Famous Chicken Biryani</t>
  </si>
  <si>
    <t>1.01476256037E11</t>
  </si>
  <si>
    <t>45966.58472222222</t>
  </si>
  <si>
    <t>45966.63055555556</t>
  </si>
  <si>
    <t>1.01476558562E11</t>
  </si>
  <si>
    <t>45966.76875</t>
  </si>
  <si>
    <t>45966.85277777778</t>
  </si>
  <si>
    <t>1 Mbuzi Karanga [1 Coconut Rice]</t>
  </si>
  <si>
    <t>1.01476644738E11</t>
  </si>
  <si>
    <t>45966.83472222222</t>
  </si>
  <si>
    <t>45966.83541666667</t>
  </si>
  <si>
    <t>45966.84861111111</t>
  </si>
  <si>
    <t>45966.87291666667</t>
  </si>
  <si>
    <t>45966.91875</t>
  </si>
  <si>
    <t>1531.2</t>
  </si>
  <si>
    <t>251.2</t>
  </si>
  <si>
    <t>1 Bhajias, 1 Bibi's Famous Chicken Biryani</t>
  </si>
  <si>
    <t>1.01477053694E11</t>
  </si>
  <si>
    <t>45967.4875</t>
  </si>
  <si>
    <t>45967.504166666666</t>
  </si>
  <si>
    <t>45967.52569444444</t>
  </si>
  <si>
    <t>1125.6</t>
  </si>
  <si>
    <t>235.6</t>
  </si>
  <si>
    <t>1.01477079083E11</t>
  </si>
  <si>
    <t>45967.524305555555</t>
  </si>
  <si>
    <t>45967.55416666667</t>
  </si>
  <si>
    <t>1 Mbuzi Karanga [1 Chapati], 1 Mutton Pilau</t>
  </si>
  <si>
    <t>1.01477138528E11</t>
  </si>
  <si>
    <t>45967.584027777775</t>
  </si>
  <si>
    <t>45967.62222222222</t>
  </si>
  <si>
    <t>45967.66875</t>
  </si>
  <si>
    <t>1 Beef Samosas, 1 Samaki wa Nazi (Fish in Coconut)</t>
  </si>
  <si>
    <t>1.01477302149E11</t>
  </si>
  <si>
    <t>45967.711805555555</t>
  </si>
  <si>
    <t>45967.72777777778</t>
  </si>
  <si>
    <t>2248.8</t>
  </si>
  <si>
    <t>278.8</t>
  </si>
  <si>
    <t>1 Mutton Pilau, 1 Mbaazi na Mahamri [1 Mahamri]</t>
  </si>
  <si>
    <t>1.01477540824E11</t>
  </si>
  <si>
    <t>1 Bhajias, 1 Egg Rolex</t>
  </si>
  <si>
    <t>1.01477548502E11</t>
  </si>
  <si>
    <t>45967.86597222222</t>
  </si>
  <si>
    <t>45967.90416666667</t>
  </si>
  <si>
    <t>45967.950694444444</t>
  </si>
  <si>
    <t>1 Kuku Wa Kupaka [1 Coconut Rice]</t>
  </si>
  <si>
    <t>Curry Club (PRM3+FHW) [NBO]</t>
  </si>
  <si>
    <t>1.01477239615E11</t>
  </si>
  <si>
    <t>724495.0</t>
  </si>
  <si>
    <t>45967.660416666666</t>
  </si>
  <si>
    <t>45967.65972222222</t>
  </si>
  <si>
    <t>45967.65833333333</t>
  </si>
  <si>
    <t>45967.6625</t>
  </si>
  <si>
    <t>45967.68263888889</t>
  </si>
  <si>
    <t>45967.675</t>
  </si>
  <si>
    <t>1 Chicken Tikka Masala [1 Medium, 1 Tandoori Methi Naan], 1 Tandoori Methi naan</t>
  </si>
  <si>
    <t>Little Italy (Mpaka Rd) [NBO]</t>
  </si>
  <si>
    <t>1.01475425597E11</t>
  </si>
  <si>
    <t>731381.0</t>
  </si>
  <si>
    <t>45965.52847222222</t>
  </si>
  <si>
    <t>45965.55069444444</t>
  </si>
  <si>
    <t>45965.54722222222</t>
  </si>
  <si>
    <t>Wrong item</t>
  </si>
  <si>
    <t>720.0</t>
  </si>
  <si>
    <t>1.01475462213E11</t>
  </si>
  <si>
    <t>45965.55972222222</t>
  </si>
  <si>
    <t>45965.58888888889</t>
  </si>
  <si>
    <t>45965.59097222222</t>
  </si>
  <si>
    <t>45965.64444444444</t>
  </si>
  <si>
    <t>1 Fusilli Pesto w/ Grilled Chicken - Single Portion, 1 Mac &amp; Cheese Regular</t>
  </si>
  <si>
    <t>1.01475479917E11</t>
  </si>
  <si>
    <t>45965.57708333333</t>
  </si>
  <si>
    <t>45965.60833333333</t>
  </si>
  <si>
    <t>45965.66180555556</t>
  </si>
  <si>
    <t>1.014755031E11</t>
  </si>
  <si>
    <t>45965.59652777778</t>
  </si>
  <si>
    <t>45965.60763888889</t>
  </si>
  <si>
    <t>1 Fusilli Pesto w/ Grilled Chicken - Double Portion, 1 Mixed Berry Crespelle</t>
  </si>
  <si>
    <t>1.01475684394E11</t>
  </si>
  <si>
    <t>45965.72152777778</t>
  </si>
  <si>
    <t>45965.73333333333</t>
  </si>
  <si>
    <t>45965.75625</t>
  </si>
  <si>
    <t>1 Spaghetti Bolognese - Single Portion, 1 Mother’s Lasagna, 1 Mac &amp; Cheese - Kids' Portion</t>
  </si>
  <si>
    <t>1.01475828943E11</t>
  </si>
  <si>
    <t>45965.83819444444</t>
  </si>
  <si>
    <t>45965.84861111111</t>
  </si>
  <si>
    <t>45965.92222222222</t>
  </si>
  <si>
    <t>2664.8</t>
  </si>
  <si>
    <t>1 Fusilli Pesto w/ Grilled Chicken - Single Portion [1 BPA-Free Cutlery], 1 Papa’s Lasagna [1 BPA-Free Cutlery]</t>
  </si>
  <si>
    <t>1.01475831417E11</t>
  </si>
  <si>
    <t>45965.875</t>
  </si>
  <si>
    <t>1312.8</t>
  </si>
  <si>
    <t>242.8</t>
  </si>
  <si>
    <t>1 NEW! Spaghetti Chicken Bolognese - Single Portion</t>
  </si>
  <si>
    <t>1.01475887393E11</t>
  </si>
  <si>
    <t>45965.884722222225</t>
  </si>
  <si>
    <t>45965.913194444445</t>
  </si>
  <si>
    <t>45965.96388888889</t>
  </si>
  <si>
    <t>1 Mother’s Lasagna [1 Classic Lemonade]</t>
  </si>
  <si>
    <t>1.0147709792E11</t>
  </si>
  <si>
    <t>45967.54583333333</t>
  </si>
  <si>
    <t>45967.56458333333</t>
  </si>
  <si>
    <t>1 Lasagna Vegetariana</t>
  </si>
  <si>
    <t>1.01477235205E11</t>
  </si>
  <si>
    <t>45967.64861111111</t>
  </si>
  <si>
    <t>45967.67986111111</t>
  </si>
  <si>
    <t>45967.73472222222</t>
  </si>
  <si>
    <t>1.01477521976E11</t>
  </si>
  <si>
    <t>45967.85972222222</t>
  </si>
  <si>
    <t>45967.933333333334</t>
  </si>
  <si>
    <t>1 Classic Tiramisu, 1 Mother’s Lasagna</t>
  </si>
  <si>
    <t>1.01477539337E11</t>
  </si>
  <si>
    <t>45967.86041666667</t>
  </si>
  <si>
    <t>45967.87430555555</t>
  </si>
  <si>
    <t>45967.89166666667</t>
  </si>
  <si>
    <t>1 Spaghetti Bolognese - Single Portion [1 BPA-Free Cutlery], 1 Tagliatelle w/ Mushroom Cream Sauce - Single Portion [1 Grilled Chicken, 1 BPA-Free Cutlery]</t>
  </si>
  <si>
    <t>KAI - The Sushi Bar (Parklands Rd) [NBO]</t>
  </si>
  <si>
    <t>1.01475628063E11</t>
  </si>
  <si>
    <t>754598.0</t>
  </si>
  <si>
    <t>Parklands Rd, Nairobi, Kenya</t>
  </si>
  <si>
    <t>45965.67986111111</t>
  </si>
  <si>
    <t>45965.700694444444</t>
  </si>
  <si>
    <t>45965.714583333334</t>
  </si>
  <si>
    <t>45965.76597222222</t>
  </si>
  <si>
    <t>1 Kikkoman Sachet 30Ml, 1 Wasabi, 1 Gyoza Chicken, 1 Futomaki Salmon &amp; Avo Roll</t>
  </si>
  <si>
    <t>1.01475837817E11</t>
  </si>
  <si>
    <t>45966.35486111111</t>
  </si>
  <si>
    <t>1 Chicken Karaage, 1 California Salmon Roll</t>
  </si>
  <si>
    <t>1.01477175155E11</t>
  </si>
  <si>
    <t>45967.61111111111</t>
  </si>
  <si>
    <t>45967.62777777778</t>
  </si>
  <si>
    <t>45967.64236111111</t>
  </si>
  <si>
    <t>45967.69652777778</t>
  </si>
  <si>
    <t>1 Rainbow Salmon Roll, 1 Crabsticks Chili Mayo Roll</t>
  </si>
  <si>
    <t>1.0147748446E11</t>
  </si>
  <si>
    <t>45967.85555555556</t>
  </si>
  <si>
    <t>1 Gyoza Veg, 1 Gunkan Salmon &amp; Avo</t>
  </si>
  <si>
    <t>Pasta Della Nonna (Mpaka Rd) [NBO]</t>
  </si>
  <si>
    <t>1.01475507318E11</t>
  </si>
  <si>
    <t>765303.0</t>
  </si>
  <si>
    <t>45965.63263888889</t>
  </si>
  <si>
    <t>45965.62013888889</t>
  </si>
  <si>
    <t>1 Spaghetti Bolognese - Double Portion, 1 Minty Melonade</t>
  </si>
  <si>
    <t>1.0147584724E11</t>
  </si>
  <si>
    <t>45965.85208333333</t>
  </si>
  <si>
    <t>45965.85833333333</t>
  </si>
  <si>
    <t>45965.85763888889</t>
  </si>
  <si>
    <t>45965.87291666667</t>
  </si>
  <si>
    <t>1 Creamy chicken and mushroom soup w/ garlic bread [1 No Cutlery], 1 Minty Melonade</t>
  </si>
  <si>
    <t>1.01476255406E11</t>
  </si>
  <si>
    <t>45966.54652777778</t>
  </si>
  <si>
    <t>45966.56875</t>
  </si>
  <si>
    <t>1 Classic Tiramisu, 1 Spaghetti Bolognese - Single Portion [1 Iced Caramel Latte]</t>
  </si>
  <si>
    <t>1.01476553464E11</t>
  </si>
  <si>
    <t>45966.77222222222</t>
  </si>
  <si>
    <t>45966.775</t>
  </si>
  <si>
    <t>45966.7875</t>
  </si>
  <si>
    <t>1 Creamy Chicken &amp; Mushroom Macaroni - Single Portion, 1 Minty Melonade</t>
  </si>
  <si>
    <t>1.01477382504E11</t>
  </si>
  <si>
    <t>45967.74791666667</t>
  </si>
  <si>
    <t>45967.754166666666</t>
  </si>
  <si>
    <t>45967.76111111111</t>
  </si>
  <si>
    <t>45967.75277777778</t>
  </si>
  <si>
    <t>45967.76527777778</t>
  </si>
  <si>
    <t>45967.768055555556</t>
  </si>
  <si>
    <t>1 Penne Arrabbiata - Double Portion</t>
  </si>
  <si>
    <t>1.01477616319E11</t>
  </si>
  <si>
    <t>45967.90347222222</t>
  </si>
  <si>
    <t>45967.9125</t>
  </si>
  <si>
    <t>45967.90902777778</t>
  </si>
  <si>
    <t>45967.910416666666</t>
  </si>
  <si>
    <t>45967.91736111111</t>
  </si>
  <si>
    <t>45967.92361111111</t>
  </si>
  <si>
    <t>45967.92013888889</t>
  </si>
  <si>
    <t>1 Classic Tiramisu, 1 Fusilli Pesto w/ Grilled Chicken - Single Portion [1 No Cutlery], 1 Spaghetti Bolognese - Single Portion [1 No Cutlery]</t>
  </si>
  <si>
    <t>Pasta Della Nonna (Argwings Kodhek Grove) [NBO]</t>
  </si>
  <si>
    <t>1.01476639744E11</t>
  </si>
  <si>
    <t>769025.0</t>
  </si>
  <si>
    <t>Argwings Kodhek Grove, Off Argwings Kodhek Rd, Nairobi, Kenya</t>
  </si>
  <si>
    <t>45966.83125</t>
  </si>
  <si>
    <t>45966.83888888889</t>
  </si>
  <si>
    <t>150.0</t>
  </si>
  <si>
    <t>1 Classic Tiramisu, 1 Penne Arrabbiata - Single Portion</t>
  </si>
  <si>
    <t>KAI - The Sushi Bar (Thika Rd) [NBO]</t>
  </si>
  <si>
    <t>1.01476610921E11</t>
  </si>
  <si>
    <t>769328.0</t>
  </si>
  <si>
    <t>Thika Rd, Nairobi, Kenya</t>
  </si>
  <si>
    <t>45966.80972222222</t>
  </si>
  <si>
    <t>45966.902083333334</t>
  </si>
  <si>
    <t>1 Gyoza Chicken, 1 Yakitori Negima, 1 Chicken Namban Don</t>
  </si>
  <si>
    <t>1.01477553646E11</t>
  </si>
  <si>
    <t>45967.86944444444</t>
  </si>
  <si>
    <t>45967.907638888886</t>
  </si>
  <si>
    <t>45967.95347222222</t>
  </si>
  <si>
    <t>1 Rainbow Salmon Roll</t>
  </si>
  <si>
    <t>KAI - The Sushi Bar - NBO - Village Market</t>
  </si>
  <si>
    <t>1.014771321E11</t>
  </si>
  <si>
    <t>769349.0</t>
  </si>
  <si>
    <t>45967.60902777778</t>
  </si>
  <si>
    <t>45967.66180555556</t>
  </si>
  <si>
    <t>5185.0</t>
  </si>
  <si>
    <t>5385.0</t>
  </si>
  <si>
    <t>1 Wasabi, 1 Salmon Crazy Combo</t>
  </si>
  <si>
    <t>1.01477415883E11</t>
  </si>
  <si>
    <t>45967.77361111111</t>
  </si>
  <si>
    <t>45967.808333333334</t>
  </si>
  <si>
    <t>5960.0</t>
  </si>
  <si>
    <t>6160.0</t>
  </si>
  <si>
    <t>1 California Salmon Roll, 1 Rainbow Salmon Roll, 1 Spicy Salmon Roll, 1 California Veg Roll</t>
  </si>
  <si>
    <t>1.01477521652E11</t>
  </si>
  <si>
    <t>7140.0</t>
  </si>
  <si>
    <t>1 Salmon Crazy Combo, 1 Sashimi Salmon (6pcs)</t>
  </si>
  <si>
    <t>KAI - The Sushi Bar - NBO - Argwings Kodhek Grove</t>
  </si>
  <si>
    <t>1.01475430349E11</t>
  </si>
  <si>
    <t>769356.0</t>
  </si>
  <si>
    <t xml:space="preserve">Argwings Kodhek 
 00100 Nairobi County Nairobi
 Kenya</t>
  </si>
  <si>
    <t>45965.52222222222</t>
  </si>
  <si>
    <t>45965.52291666667</t>
  </si>
  <si>
    <t>45965.55347222222</t>
  </si>
  <si>
    <t>45965.56041666667</t>
  </si>
  <si>
    <t>45965.60625</t>
  </si>
  <si>
    <t>1 Futomaki Salmon &amp; Avo Roll</t>
  </si>
  <si>
    <t>1.0147555263E11</t>
  </si>
  <si>
    <t>45965.63125</t>
  </si>
  <si>
    <t>45965.65555555555</t>
  </si>
  <si>
    <t>45965.67222222222</t>
  </si>
  <si>
    <t>5120.0</t>
  </si>
  <si>
    <t>1 Salmon Crazy Combo</t>
  </si>
  <si>
    <t>1.01475715874E11</t>
  </si>
  <si>
    <t>45965.74722222222</t>
  </si>
  <si>
    <t>45965.76180555556</t>
  </si>
  <si>
    <t>45965.78402777778</t>
  </si>
  <si>
    <t>45965.77847222222</t>
  </si>
  <si>
    <t>45965.83194444444</t>
  </si>
  <si>
    <t>1 California Veg Roll, 1 Dynamite Veg Roll</t>
  </si>
  <si>
    <t>1.01475793618E11</t>
  </si>
  <si>
    <t>1 California Veg Roll</t>
  </si>
  <si>
    <t>1.01476263788E11</t>
  </si>
  <si>
    <t>45966.55486111111</t>
  </si>
  <si>
    <t>45966.57986111111</t>
  </si>
  <si>
    <t>45966.59652777778</t>
  </si>
  <si>
    <t>45966.64097222222</t>
  </si>
  <si>
    <t>1 California Salmon Roll, 1 Dynamite Prawn Roll</t>
  </si>
  <si>
    <t>1.01476473891E11</t>
  </si>
  <si>
    <t>45966.70208333333</t>
  </si>
  <si>
    <t>45966.78680555556</t>
  </si>
  <si>
    <t>1 Gyoza Chicken, 1 California Salmon Roll, 1 Chicken Katsu Curry</t>
  </si>
  <si>
    <t>1.01476538494E11</t>
  </si>
  <si>
    <t>45966.75208333333</t>
  </si>
  <si>
    <t>45966.80416666667</t>
  </si>
  <si>
    <t>3018.4</t>
  </si>
  <si>
    <t>1 Chicken Wings/Spicy Teriyaki, 1 Salmon Aburi Wasabi Mayo Roll</t>
  </si>
  <si>
    <t>1.01476557659E11</t>
  </si>
  <si>
    <t>45966.768055555556</t>
  </si>
  <si>
    <t>45966.82013888889</t>
  </si>
  <si>
    <t>1.01477168303E11</t>
  </si>
  <si>
    <t>45967.631944444445</t>
  </si>
  <si>
    <t>1 Chicken Nanban, 1 Nigiri &amp; Gunkan Mini Combo</t>
  </si>
  <si>
    <t>1.01477401592E11</t>
  </si>
  <si>
    <t>45967.7625</t>
  </si>
  <si>
    <t>45967.763194444444</t>
  </si>
  <si>
    <t>45967.80069444444</t>
  </si>
  <si>
    <t>45967.81458333333</t>
  </si>
  <si>
    <t>3010.0</t>
  </si>
  <si>
    <t>1 Chicken Karaage, 1 Dynamite Prawn Roll</t>
  </si>
  <si>
    <t>All Day Drinks by ANDO (PRM3+FHW) [NBO]</t>
  </si>
  <si>
    <t>1.01475456895E11</t>
  </si>
  <si>
    <t>787783.0</t>
  </si>
  <si>
    <t>45965.55416666667</t>
  </si>
  <si>
    <t>45965.60277777778</t>
  </si>
  <si>
    <t>45965.58541666667</t>
  </si>
  <si>
    <t>45965.6375</t>
  </si>
  <si>
    <t>700.0</t>
  </si>
  <si>
    <t>50.0</t>
  </si>
  <si>
    <t>978.0</t>
  </si>
  <si>
    <t>2 Chrome Gin 250Ml</t>
  </si>
  <si>
    <t>SuperCuts By ANDO (PQ4Q+QV) [NBO]</t>
  </si>
  <si>
    <t>1.01475455161E11</t>
  </si>
  <si>
    <t>788002.0</t>
  </si>
  <si>
    <t>45965.552083333336</t>
  </si>
  <si>
    <t>45965.56527777778</t>
  </si>
  <si>
    <t>45965.58472222222</t>
  </si>
  <si>
    <t>45965.583333333336</t>
  </si>
  <si>
    <t>219.0</t>
  </si>
  <si>
    <t>1 Tilapia Fillet 500g</t>
  </si>
  <si>
    <t>1.01476288394E11</t>
  </si>
  <si>
    <t>45966.57916666667</t>
  </si>
  <si>
    <t>45967.49930555555</t>
  </si>
  <si>
    <t>45966.62777777778</t>
  </si>
  <si>
    <t>1 Whole Tilapia Fish, 1 Unit</t>
  </si>
  <si>
    <t>1.01477150922E11</t>
  </si>
  <si>
    <t>45967.59375</t>
  </si>
  <si>
    <t>45967.67916666667</t>
  </si>
  <si>
    <t>3919.0</t>
  </si>
  <si>
    <t>2 Chicken Boneless - Kenchic 500g, 3 Beef Cubes, 500g</t>
  </si>
  <si>
    <t>1.01476585266E11</t>
  </si>
  <si>
    <t>791029.0</t>
  </si>
  <si>
    <t>45966.78958333333</t>
  </si>
  <si>
    <t>45966.79027777778</t>
  </si>
  <si>
    <t>45966.82708333333</t>
  </si>
  <si>
    <t>45966.873611111114</t>
  </si>
  <si>
    <t>1 Rainbow Salmon Roll (8pcs), 1 Prawn Dynamite Roll (10pcs), 1 Tiger Eye Roll (8pcs)</t>
  </si>
  <si>
    <t>Ichiban Sushi (Argwings Kodhek Grove) [NBO]</t>
  </si>
  <si>
    <t>1.01477290679E11</t>
  </si>
  <si>
    <t>791114.0</t>
  </si>
  <si>
    <t>Unreachable</t>
  </si>
  <si>
    <t>Vendor</t>
  </si>
  <si>
    <t>1 lchiban Cooked Box (9pcs) [1 Prawn Dynamite Roll 5pcs, 1 Crabstick Chilli Mayo Roll 4pcs], 1 NEW! Spicy California Cream Cheese Maki (8pcs)</t>
  </si>
  <si>
    <t>1.01476603667E11</t>
  </si>
  <si>
    <t>831164.0</t>
  </si>
  <si>
    <t xml:space="preserve">Nairobi Nairobi
 00000 Nairobi
 Kenya</t>
  </si>
  <si>
    <t>45966.879166666666</t>
  </si>
  <si>
    <t>1 Poussin Pili Pili [1 Medium, 1 Garlic Mash, 1 Chicken (Half)], 1 Sauteed Spinach</t>
  </si>
  <si>
    <t>1.01476238243E11</t>
  </si>
  <si>
    <t>838157.0</t>
  </si>
  <si>
    <t xml:space="preserve">Mombasa Road 
 00000 Nairobi
 Kenya</t>
  </si>
  <si>
    <t>45966.52569444444</t>
  </si>
  <si>
    <t>45966.52777777778</t>
  </si>
  <si>
    <t>1 Poussin Pili Pili [1 Hot, 1 Plain Naan, 1 Chicken (Half)]</t>
  </si>
  <si>
    <t xml:space="preserve">Pizza Corner (Village market 00000
 00000 Nairobi
 Kenya) [NBO]</t>
  </si>
  <si>
    <t>1.01476646188E11</t>
  </si>
  <si>
    <t>838364.0</t>
  </si>
  <si>
    <t xml:space="preserve">Village market 00000
 00000 Nairobi
 Kenya</t>
  </si>
  <si>
    <t>45966.87430555555</t>
  </si>
  <si>
    <t>45966.92222222222</t>
  </si>
  <si>
    <t>1 Poussin Pili Pili [1 Medium, 1 Plain Naan, 1 Chicken (Half)]</t>
  </si>
  <si>
    <t xml:space="preserve">All Day Vapes (Off Limuru Road 
 00200 Nairobi
 Kenya) [NBO]</t>
  </si>
  <si>
    <t>1.01476265194E11</t>
  </si>
  <si>
    <t>867216.0</t>
  </si>
  <si>
    <t xml:space="preserve">Off Limuru Road 
 00200 Nairobi
 Kenya</t>
  </si>
  <si>
    <t>45966.55625</t>
  </si>
  <si>
    <t>45966.70277777778</t>
  </si>
  <si>
    <t>45966.60486111111</t>
  </si>
  <si>
    <t>2404.8</t>
  </si>
  <si>
    <t>284.8</t>
  </si>
  <si>
    <t>1 TUGBOAT POD SYSTEM 12K PUFFS</t>
  </si>
  <si>
    <t>kitchen_code</t>
  </si>
  <si>
    <t>rider_username</t>
  </si>
  <si>
    <t>rider_name</t>
  </si>
  <si>
    <t>kitchen_name</t>
  </si>
  <si>
    <t>status</t>
  </si>
  <si>
    <t>order_id</t>
  </si>
  <si>
    <t>validated_id</t>
  </si>
  <si>
    <t>duplicate</t>
  </si>
  <si>
    <t>order_accepted_time</t>
  </si>
  <si>
    <t>order_source</t>
  </si>
  <si>
    <t>payment_status</t>
  </si>
  <si>
    <t>customer_name</t>
  </si>
  <si>
    <t>customer_number</t>
  </si>
  <si>
    <t>customer_address</t>
  </si>
  <si>
    <t>estimated_delivery_time</t>
  </si>
  <si>
    <t>estimated_delivery_distance</t>
  </si>
  <si>
    <t>order_amount</t>
  </si>
  <si>
    <t>vehicle_type</t>
  </si>
  <si>
    <t>brand_name</t>
  </si>
  <si>
    <t>is_bulk</t>
  </si>
  <si>
    <t>is_earnings_processed</t>
  </si>
  <si>
    <t>assigned_at</t>
  </si>
  <si>
    <t>rejected_at</t>
  </si>
  <si>
    <t>delivery_fees</t>
  </si>
  <si>
    <t>nsk</t>
  </si>
  <si>
    <t>+2540794092505</t>
  </si>
  <si>
    <t>Abdulaziz  Juma Ebikes</t>
  </si>
  <si>
    <t>COMPLETED</t>
  </si>
  <si>
    <t>Nov 6, 2025, 9:45:14 PM</t>
  </si>
  <si>
    <t>Uber Eats</t>
  </si>
  <si>
    <t>UNPAID</t>
  </si>
  <si>
    <t>AMAURY F</t>
  </si>
  <si>
    <t>0758992983</t>
  </si>
  <si>
    <t>Westlands place apartments, Westlands Close, Nairobi, Kenya</t>
  </si>
  <si>
    <t>2.0</t>
  </si>
  <si>
    <t>0.4</t>
  </si>
  <si>
    <t>BICYCLE</t>
  </si>
  <si>
    <t>false</t>
  </si>
  <si>
    <t>true</t>
  </si>
  <si>
    <t>Nov 6, 2025, 10:01:02 PM</t>
  </si>
  <si>
    <t>Nov 6, 2025, 9:30:09 PM</t>
  </si>
  <si>
    <t>PAID</t>
  </si>
  <si>
    <t>CATIA P</t>
  </si>
  <si>
    <t>MP Shah Hospital, Shivachi Road, Nairobi, Kenya</t>
  </si>
  <si>
    <t>1.4</t>
  </si>
  <si>
    <t>Nov 6, 2025, 9:47:37 PM</t>
  </si>
  <si>
    <t>nsk-copy</t>
  </si>
  <si>
    <t>Nov 6, 2025, 8:58:03 PM</t>
  </si>
  <si>
    <t>MHMD</t>
  </si>
  <si>
    <t>0792472323</t>
  </si>
  <si>
    <t>Capital M Residences - LEED Certified, Muthithi Road, Nairobi, Kenya</t>
  </si>
  <si>
    <t>0.5</t>
  </si>
  <si>
    <t>Nov 6, 2025, 8:59:04 PM</t>
  </si>
  <si>
    <t>Nov 6, 2025, 7:36:38 PM</t>
  </si>
  <si>
    <t>STEPHANIE P</t>
  </si>
  <si>
    <t>0745420817</t>
  </si>
  <si>
    <t>CMM Gardens, Rhapta Road, Nairobi, Kenya</t>
  </si>
  <si>
    <t>2.8</t>
  </si>
  <si>
    <t>Nov 6, 2025, 8:07:29 PM</t>
  </si>
  <si>
    <t>Nov 6, 2025, 7:35:09 PM</t>
  </si>
  <si>
    <t>IBRAHIM K</t>
  </si>
  <si>
    <t>0759158120</t>
  </si>
  <si>
    <t>Orchid Residency by Kaisa, Nairobi, Kenya</t>
  </si>
  <si>
    <t>5.0</t>
  </si>
  <si>
    <t>2.1</t>
  </si>
  <si>
    <t>Nov 6, 2025, 8:05:52 PM</t>
  </si>
  <si>
    <t>Nov 6, 2025, 6:07:30 PM</t>
  </si>
  <si>
    <t>NATALIE N</t>
  </si>
  <si>
    <t>+491602097107</t>
  </si>
  <si>
    <t>Pleasant View Villas, Shanzu Road, Nairobi, Kenya</t>
  </si>
  <si>
    <t>4.0</t>
  </si>
  <si>
    <t>Nov 6, 2025, 6:14:27 PM</t>
  </si>
  <si>
    <t>Nov 6, 2025, 5:39:24 PM</t>
  </si>
  <si>
    <t>WINNIE A</t>
  </si>
  <si>
    <t>0722587621</t>
  </si>
  <si>
    <t>The Piano, Brookside Drive, Nairobi, Kenya</t>
  </si>
  <si>
    <t>6.0</t>
  </si>
  <si>
    <t>1.8</t>
  </si>
  <si>
    <t>Nov 6, 2025, 5:41:01 PM</t>
  </si>
  <si>
    <t>Nov 6, 2025, 5:04:11 PM</t>
  </si>
  <si>
    <t>LIA B</t>
  </si>
  <si>
    <t>0708763422</t>
  </si>
  <si>
    <t>87 Rhapta Road, Nairobi, Kenya</t>
  </si>
  <si>
    <t>1.9</t>
  </si>
  <si>
    <t>Nov 6, 2025, 5:09:19 PM</t>
  </si>
  <si>
    <t>Nov 6, 2025, 4:57:57 PM</t>
  </si>
  <si>
    <t>INES</t>
  </si>
  <si>
    <t>McKinsey &amp; Company Inc, Mzima Springs Lane, Nairobi, Kenya</t>
  </si>
  <si>
    <t>5.9</t>
  </si>
  <si>
    <t>Nov 6, 2025, 4:59:35 PM</t>
  </si>
  <si>
    <t>Nov 6, 2025, 4:55:00 PM</t>
  </si>
  <si>
    <t>MAXIME S</t>
  </si>
  <si>
    <t>Delta Riverside Office Park, Riverside Drive, Nairobi, Kenya</t>
  </si>
  <si>
    <t>Nov 6, 2025, 5:00:47 PM</t>
  </si>
  <si>
    <t>Nov 6, 2025, 3:40:45 PM</t>
  </si>
  <si>
    <t>AYAN M</t>
  </si>
  <si>
    <t>0705252321</t>
  </si>
  <si>
    <t>Clock Tower Suites, Mpaka Road, Nairobi, Kenya</t>
  </si>
  <si>
    <t>2.3</t>
  </si>
  <si>
    <t>Nov 6, 2025, 4:11:52 PM</t>
  </si>
  <si>
    <t>Nov 6, 2025, 1:30:12 PM</t>
  </si>
  <si>
    <t>SAMPA S</t>
  </si>
  <si>
    <t>+254116639992</t>
  </si>
  <si>
    <t>Le'Mac, Church Road, Nairobi, Kenya</t>
  </si>
  <si>
    <t>3.0</t>
  </si>
  <si>
    <t>Nov 6, 2025, 1:35:15 PM</t>
  </si>
  <si>
    <t>Nov 6, 2025, 11:25:26 AM</t>
  </si>
  <si>
    <t>PETRA P</t>
  </si>
  <si>
    <t>0798665501</t>
  </si>
  <si>
    <t>THE BRIDGE, River Side Grove, Nairobi, Kenya</t>
  </si>
  <si>
    <t>3.8</t>
  </si>
  <si>
    <t>Nov 6, 2025, 11:45:08 AM</t>
  </si>
  <si>
    <t>Nov 5, 2025, 8:40:18 PM</t>
  </si>
  <si>
    <t>0768671921</t>
  </si>
  <si>
    <t>Acorn Court, State House Road, Nairobi, Kenya</t>
  </si>
  <si>
    <t>3.4</t>
  </si>
  <si>
    <t>Nov 5, 2025, 8:58:50 PM</t>
  </si>
  <si>
    <t>Nov 5, 2025, 7:53:42 PM</t>
  </si>
  <si>
    <t>ENRIQUE L</t>
  </si>
  <si>
    <t>+4915784281461</t>
  </si>
  <si>
    <t>Elite Residence, Westlands Road, Nairobi, Kenya</t>
  </si>
  <si>
    <t>1.2</t>
  </si>
  <si>
    <t>Nov 5, 2025, 7:04:42 PM</t>
  </si>
  <si>
    <t>Nov 5, 2025, 7:27:24 PM</t>
  </si>
  <si>
    <t>KEN K</t>
  </si>
  <si>
    <t>0740701624</t>
  </si>
  <si>
    <t>One Africa Place, Chiromo Road, Nairobi, Kenya</t>
  </si>
  <si>
    <t>1.0</t>
  </si>
  <si>
    <t>Nov 5, 2025, 7:53:04 PM</t>
  </si>
  <si>
    <t>Nov 5, 2025, 6:34:39 PM</t>
  </si>
  <si>
    <t>DHRUTI</t>
  </si>
  <si>
    <t>0791392126</t>
  </si>
  <si>
    <t>Silver Decks, Shanzu Road, Nairobi, Kenya</t>
  </si>
  <si>
    <t>2.4</t>
  </si>
  <si>
    <t>Nov 5, 2025, 7:05:58 PM</t>
  </si>
  <si>
    <t>Nov 5, 2025, 5:26:11 PM</t>
  </si>
  <si>
    <t>FAREED</t>
  </si>
  <si>
    <t>0705460754</t>
  </si>
  <si>
    <t>Chestnut groves, Lower Kabete Road, Nairobi, Kenya</t>
  </si>
  <si>
    <t>1.6</t>
  </si>
  <si>
    <t>Nov 5, 2025, 5:53:21 PM</t>
  </si>
  <si>
    <t>Nov 5, 2025, 4:12:00 PM</t>
  </si>
  <si>
    <t>Ando App</t>
  </si>
  <si>
    <t>Swati Malde</t>
  </si>
  <si>
    <t>+254722702356</t>
  </si>
  <si>
    <t>34 Hillview Crescent, Hillview Estate, off Lower Kabete Road</t>
  </si>
  <si>
    <t>5.1</t>
  </si>
  <si>
    <t>Nov 5, 2025, 4:29:03 PM</t>
  </si>
  <si>
    <t>REJECTED</t>
  </si>
  <si>
    <t>Nov 5, 2025, 3:13:36 PM</t>
  </si>
  <si>
    <t>DINGLNDABA B</t>
  </si>
  <si>
    <t>+0447846567598</t>
  </si>
  <si>
    <t>9 Riverside Drive, Nairobi, Kenya</t>
  </si>
  <si>
    <t>Nov 5, 2025, 3:29:55 PM</t>
  </si>
  <si>
    <t>Nov 5, 2025, 4:15:26 PM</t>
  </si>
  <si>
    <t>Nov 5, 2025, 1:58:30 PM</t>
  </si>
  <si>
    <t>ELAINE M</t>
  </si>
  <si>
    <t>0721946584</t>
  </si>
  <si>
    <t>The Pointe Apartments, Nairobi, Kenya</t>
  </si>
  <si>
    <t>2.6</t>
  </si>
  <si>
    <t>Nov 5, 2025, 2:15:18 PM</t>
  </si>
  <si>
    <t>Nov 5, 2025, 12:40:25 PM</t>
  </si>
  <si>
    <t>KAIMY A</t>
  </si>
  <si>
    <t>+033665260371</t>
  </si>
  <si>
    <t>Ambassade de France à Nairobi, Peponi Gardens, Nairobi, Kenya</t>
  </si>
  <si>
    <t>Nov 5, 2025, 12:54:48 PM</t>
  </si>
  <si>
    <t>Nov 5, 2025, 11:57:20 AM</t>
  </si>
  <si>
    <t>KUSH S</t>
  </si>
  <si>
    <t>0790719584</t>
  </si>
  <si>
    <t>Skynest Residences by CityBlue, Nairobi Westlands, Mkungu Close, Nairobi, Kenya</t>
  </si>
  <si>
    <t>0.9</t>
  </si>
  <si>
    <t>Nov 5, 2025, 12:08:53 PM</t>
  </si>
  <si>
    <t>Nov 5, 2025, 11:50:44 AM</t>
  </si>
  <si>
    <t>STEPHEN V</t>
  </si>
  <si>
    <t>0792652859</t>
  </si>
  <si>
    <t>Springette Office Park, Nairobi, Kenya</t>
  </si>
  <si>
    <t>3.7</t>
  </si>
  <si>
    <t>Nov 5, 2025, 12:09:44 PM</t>
  </si>
  <si>
    <t>Nov 4, 2025, 8:41:57 PM</t>
  </si>
  <si>
    <t>allan k</t>
  </si>
  <si>
    <t>0746600167</t>
  </si>
  <si>
    <t>Aramis Apartments, Lantana Road, Nairobi, Kenya</t>
  </si>
  <si>
    <t>Nov 4, 2025, 8:48:31 PM</t>
  </si>
  <si>
    <t>Nov 4, 2025, 7:16:31 PM</t>
  </si>
  <si>
    <t>RAGNHILD N</t>
  </si>
  <si>
    <t>+004741294593</t>
  </si>
  <si>
    <t>MARINA BAY SQUARE, Sports Road, Nairobi, Kenya</t>
  </si>
  <si>
    <t>Nov 4, 2025, 7:28:30 PM</t>
  </si>
  <si>
    <t>Nov 4, 2025, 6:42:39 PM</t>
  </si>
  <si>
    <t>REBECCA M</t>
  </si>
  <si>
    <t>+016179591661</t>
  </si>
  <si>
    <t>Karibu Stays, Riverside Drive, Nairobi, Kenya</t>
  </si>
  <si>
    <t>Nov 4, 2025, 6:03:32 PM</t>
  </si>
  <si>
    <t>Nov 4, 2025, 6:41:41 PM</t>
  </si>
  <si>
    <t>PLIGAARD R</t>
  </si>
  <si>
    <t>+453032563000</t>
  </si>
  <si>
    <t>One Westpark, Mpaka Road, Nairobi, Kenya</t>
  </si>
  <si>
    <t>Nov 4, 2025, 6:57:35 PM</t>
  </si>
  <si>
    <t>Nov 4, 2025, 6:40:18 PM</t>
  </si>
  <si>
    <t>JULIE H</t>
  </si>
  <si>
    <t>+456026106300</t>
  </si>
  <si>
    <t>Nov 4, 2025, 6:55:44 PM</t>
  </si>
  <si>
    <t>Nov 4, 2025, 6:35:52 PM</t>
  </si>
  <si>
    <t>ISMAEL D</t>
  </si>
  <si>
    <t>0704940512</t>
  </si>
  <si>
    <t>Adornhomes apartments, Nyeri Road, Nairobi, Kenya</t>
  </si>
  <si>
    <t>Nov 4, 2025, 7:29:21 PM</t>
  </si>
  <si>
    <t>Nov 4, 2025, 4:26:00 PM</t>
  </si>
  <si>
    <t>SILSILA R</t>
  </si>
  <si>
    <t>0796217127</t>
  </si>
  <si>
    <t>Acacia Apartments - Westlands, Stima Lane, Nairobi, Kenya</t>
  </si>
  <si>
    <t>1.5</t>
  </si>
  <si>
    <t>Nov 4, 2025, 4:43:51 PM</t>
  </si>
  <si>
    <t>Nov 4, 2025, 2:20:00 PM</t>
  </si>
  <si>
    <t>EDNA G</t>
  </si>
  <si>
    <t>0722262544</t>
  </si>
  <si>
    <t>Orchid Apartments, Riverside Drive, Nairobi, Kenya</t>
  </si>
  <si>
    <t>Nov 4, 2025, 2:49:06 PM</t>
  </si>
  <si>
    <t>Nov 4, 2025, 1:25:25 PM</t>
  </si>
  <si>
    <t>ADIL A</t>
  </si>
  <si>
    <t>0717872345</t>
  </si>
  <si>
    <t>The Address, Muthangari Drive, Nairobi, Kenya</t>
  </si>
  <si>
    <t>Nov 4, 2025, 1:26:41 PM</t>
  </si>
  <si>
    <t>Nov 4, 2025, 11:28:40 AM</t>
  </si>
  <si>
    <t>Alqaim L</t>
  </si>
  <si>
    <t>0798498357</t>
  </si>
  <si>
    <t>Nov 4, 2025, 11:52:24 AM</t>
  </si>
  <si>
    <t>+254726920691</t>
  </si>
  <si>
    <t>Abraham Koech</t>
  </si>
  <si>
    <t>Nov 6, 2025, 10:14:55 PM</t>
  </si>
  <si>
    <t>CRAIG G</t>
  </si>
  <si>
    <t>+094763844112</t>
  </si>
  <si>
    <t>MOTORCYCLE</t>
  </si>
  <si>
    <t>Nov 6, 2025, 10:30:10 PM</t>
  </si>
  <si>
    <t>Nov 6, 2025, 9:19:15 PM</t>
  </si>
  <si>
    <t>MARY</t>
  </si>
  <si>
    <t>0721775274</t>
  </si>
  <si>
    <t>Nov 6, 2025, 9:38:03 PM</t>
  </si>
  <si>
    <t>Nov 6, 2025, 9:15:45 PM</t>
  </si>
  <si>
    <t>HUGO B</t>
  </si>
  <si>
    <t>0717443549</t>
  </si>
  <si>
    <t>Silver Terraces, Terrace Close, Nairobi, Kenya</t>
  </si>
  <si>
    <t>3.2</t>
  </si>
  <si>
    <t>Nov 6, 2025, 9:35:05 PM</t>
  </si>
  <si>
    <t>westlands</t>
  </si>
  <si>
    <t>Nov 6, 2025, 8:01:00 PM</t>
  </si>
  <si>
    <t>Berly</t>
  </si>
  <si>
    <t>0713888851</t>
  </si>
  <si>
    <t>Advent Apartments, Gitanga Road, Nairobi, Kenya</t>
  </si>
  <si>
    <t>8.5</t>
  </si>
  <si>
    <t>Khan's Pakistani Kitchen</t>
  </si>
  <si>
    <t>Nov 6, 2025, 8:33:38 PM</t>
  </si>
  <si>
    <t>Nov 6, 2025, 7:32:34 PM</t>
  </si>
  <si>
    <t>HERBERT O</t>
  </si>
  <si>
    <t>0720330985</t>
  </si>
  <si>
    <t>Esther Wambui Apartments, Limuru Road, Nairobi, Kenya</t>
  </si>
  <si>
    <t>10.4</t>
  </si>
  <si>
    <t>Nov 6, 2025, 7:34:03 PM</t>
  </si>
  <si>
    <t>Nov 6, 2025, 6:29:33 PM</t>
  </si>
  <si>
    <t>ANGIE A</t>
  </si>
  <si>
    <t>0732570817</t>
  </si>
  <si>
    <t>17 Sky Garden, Kirawa Road, Nairobi, Kenya</t>
  </si>
  <si>
    <t>11.4</t>
  </si>
  <si>
    <t>Nov 6, 2025, 6:39:01 PM</t>
  </si>
  <si>
    <t>Nov 6, 2025, 6:19:04 PM</t>
  </si>
  <si>
    <t>DYLAN R</t>
  </si>
  <si>
    <t>0722280171</t>
  </si>
  <si>
    <t>Laxcon Court and Plaza, Swaminarayan Road, Nairobi, Kenya</t>
  </si>
  <si>
    <t>Nov 6, 2025, 6:20:19 PM</t>
  </si>
  <si>
    <t>Nov 6, 2025, 5:49:14 PM</t>
  </si>
  <si>
    <t>IDA</t>
  </si>
  <si>
    <t>+254117403573</t>
  </si>
  <si>
    <t>Rhapta Terraces, Rhapta Road, Nairobi, Kenya</t>
  </si>
  <si>
    <t>Nov 6, 2025, 5:50:24 PM</t>
  </si>
  <si>
    <t>Nov 6, 2025, 4:53:35 PM</t>
  </si>
  <si>
    <t>MALICH D</t>
  </si>
  <si>
    <t>0735272961</t>
  </si>
  <si>
    <t>Mulberry Heights Apartments, Nairobi, Kenya</t>
  </si>
  <si>
    <t>4.5</t>
  </si>
  <si>
    <t>Nov 6, 2025, 5:09:38 PM</t>
  </si>
  <si>
    <t>Nov 6, 2025, 12:56:04 PM</t>
  </si>
  <si>
    <t>DAGHER</t>
  </si>
  <si>
    <t>0112323552</t>
  </si>
  <si>
    <t>otrovato Gallery, 9 West, Mkungu Close, Nairobi, Kenya</t>
  </si>
  <si>
    <t>Nov 6, 2025, 1:08:48 PM</t>
  </si>
  <si>
    <t>Nov 6, 2025, 12:45:37 PM</t>
  </si>
  <si>
    <t>EUNICE</t>
  </si>
  <si>
    <t>0708463979</t>
  </si>
  <si>
    <t>Chasewood Park Serviced Apartments, Westlands Avenue, Nairobi, Kenya</t>
  </si>
  <si>
    <t>Nov 6, 2025, 10:09:16 PM</t>
  </si>
  <si>
    <t>westlands-copy-2</t>
  </si>
  <si>
    <t>+2540742504487</t>
  </si>
  <si>
    <t>Allan  Fedha</t>
  </si>
  <si>
    <t>Nov 4, 2025, 7:46:00 PM</t>
  </si>
  <si>
    <t>Lydia</t>
  </si>
  <si>
    <t>+254720309340</t>
  </si>
  <si>
    <t>QWM2+J2F, Nairobi, Kenya, House no 19</t>
  </si>
  <si>
    <t>31.0</t>
  </si>
  <si>
    <t>KAI The Sushi Bar</t>
  </si>
  <si>
    <t>Nov 4, 2025, 8:00:30 PM</t>
  </si>
  <si>
    <t>Nov 4, 2025, 5:20:18 PM</t>
  </si>
  <si>
    <t>BERYL A.</t>
  </si>
  <si>
    <t>0722333748</t>
  </si>
  <si>
    <t>Bima Apartment, Balozi Ct, Nairobi, Kenya</t>
  </si>
  <si>
    <t>9.9</t>
  </si>
  <si>
    <t>Nov 4, 2025, 5:48:35 PM</t>
  </si>
  <si>
    <t>Nov 4, 2025, 4:15:45 PM</t>
  </si>
  <si>
    <t>PHIL M.</t>
  </si>
  <si>
    <t>0792575694</t>
  </si>
  <si>
    <t>ALBA GARDEN, Jabavu Lane, Nairobi, Kenya</t>
  </si>
  <si>
    <t>0.6</t>
  </si>
  <si>
    <t>Nov 4, 2025, 4:42:51 PM</t>
  </si>
  <si>
    <t>Nov 4, 2025, 2:53:35 PM</t>
  </si>
  <si>
    <t>JOSEPHINE</t>
  </si>
  <si>
    <t>0727753442</t>
  </si>
  <si>
    <t>Akila 2, Raila Odinga Way, Nairobi, Kenya</t>
  </si>
  <si>
    <t>Nov 4, 2025, 3:06:23 PM</t>
  </si>
  <si>
    <t>Nov 4, 2025, 1:14:17 PM</t>
  </si>
  <si>
    <t>ANDREW K.</t>
  </si>
  <si>
    <t>0725350585</t>
  </si>
  <si>
    <t>11.7</t>
  </si>
  <si>
    <t>Nov 4, 2025, 1:26:09 PM</t>
  </si>
  <si>
    <t>+254723423148</t>
  </si>
  <si>
    <t>Amos Kirui</t>
  </si>
  <si>
    <t>ACIA</t>
  </si>
  <si>
    <t>0724032797</t>
  </si>
  <si>
    <t>Athuri Lodge, Nairobi, Kenya</t>
  </si>
  <si>
    <t>7.5</t>
  </si>
  <si>
    <t>Nov 6, 2025, 8:16:04 PM</t>
  </si>
  <si>
    <t>Nov 6, 2025, 7:27:12 PM</t>
  </si>
  <si>
    <t>MAHESH K</t>
  </si>
  <si>
    <t>0704717717</t>
  </si>
  <si>
    <t>Mövenpick Nairobi Hotel &amp; Residences, Mkungu Close, Nairobi, Kenya</t>
  </si>
  <si>
    <t>1.1</t>
  </si>
  <si>
    <t>Nov 6, 2025, 7:45:58 PM</t>
  </si>
  <si>
    <t>Nov 6, 2025, 1:15:00 PM</t>
  </si>
  <si>
    <t>Kim</t>
  </si>
  <si>
    <t>0114485261</t>
  </si>
  <si>
    <t>Concern Worldwide, Muthithi Road, Nairobi, Kenya</t>
  </si>
  <si>
    <t>Nov 6, 2025, 1:32:58 PM</t>
  </si>
  <si>
    <t>Nov 6, 2025, 12:53:17 PM</t>
  </si>
  <si>
    <t>CHAMIA M</t>
  </si>
  <si>
    <t>0723447935</t>
  </si>
  <si>
    <t>Riverside Green Suites, Riverside Drive, Nairobi, Kenya</t>
  </si>
  <si>
    <t>Nov 6, 2025, 12:54:56 PM</t>
  </si>
  <si>
    <t>purvi-auro</t>
  </si>
  <si>
    <t>Nov 5, 2025, 7:46:27 PM</t>
  </si>
  <si>
    <t>Miguel D.</t>
  </si>
  <si>
    <t>0797777711</t>
  </si>
  <si>
    <t>Palm 2.0D, Kitisuru Road, Nairobi, Kenya</t>
  </si>
  <si>
    <t>7.3</t>
  </si>
  <si>
    <t>Nov 5, 2025, 8:03:50 PM</t>
  </si>
  <si>
    <t>Nov 5, 2025, 6:04:00 PM</t>
  </si>
  <si>
    <t>SAMUEL</t>
  </si>
  <si>
    <t>0111933136</t>
  </si>
  <si>
    <t>Brookstar Homeschool and tuition center, Kandara Road, Nairobi, Kenya</t>
  </si>
  <si>
    <t>Nov 5, 2025, 6:20:17 PM</t>
  </si>
  <si>
    <t>Nov 5, 2025, 12:58:00 PM</t>
  </si>
  <si>
    <t>GHEDION</t>
  </si>
  <si>
    <t>0715918669</t>
  </si>
  <si>
    <t>SEPAL GARDENS - KILELESHWA, Nairobi, Kenya</t>
  </si>
  <si>
    <t>4.6</t>
  </si>
  <si>
    <t>Nov 5, 2025, 1:21:46 PM</t>
  </si>
  <si>
    <t>Nov 5, 2025, 12:27:00 PM</t>
  </si>
  <si>
    <t>Biniam</t>
  </si>
  <si>
    <t>0116464316</t>
  </si>
  <si>
    <t>Krestone Apartments, School Grove, Spring Valley, Nairobi, Kenya</t>
  </si>
  <si>
    <t>Nov 5, 2025, 12:49:27 PM</t>
  </si>
  <si>
    <t>+2540707098612</t>
  </si>
  <si>
    <t xml:space="preserve">Benard  Ogada </t>
  </si>
  <si>
    <t>Nov 6, 2025, 7:50:00 PM</t>
  </si>
  <si>
    <t>Noreen</t>
  </si>
  <si>
    <t>0705030903</t>
  </si>
  <si>
    <t>Gatundu Crescent, Nairobi, Kenya</t>
  </si>
  <si>
    <t>Nov 6, 2025, 8:09:18 PM</t>
  </si>
  <si>
    <t>Nov 6, 2025, 6:57:16 PM</t>
  </si>
  <si>
    <t>Elizabeth W</t>
  </si>
  <si>
    <t>0714266979</t>
  </si>
  <si>
    <t>Enaki Resort Residence, Nairobi, Kenya</t>
  </si>
  <si>
    <t>9.6</t>
  </si>
  <si>
    <t>Nov 6, 2025, 7:06:35 PM</t>
  </si>
  <si>
    <t>Nov 6, 2025, 5:56:25 PM</t>
  </si>
  <si>
    <t>FREDERICK</t>
  </si>
  <si>
    <t>0796757063</t>
  </si>
  <si>
    <t>City Oasis Gardens, Argwings Kodhek Road, Nairobi, Kenya</t>
  </si>
  <si>
    <t>6.1</t>
  </si>
  <si>
    <t>Nov 6, 2025, 6:19:44 PM</t>
  </si>
  <si>
    <t>Nov 6, 2025, 5:09:56 PM</t>
  </si>
  <si>
    <t>CHANIA F</t>
  </si>
  <si>
    <t>Nov 6, 2025, 5:51:13 PM</t>
  </si>
  <si>
    <t>Nov 6, 2025, 3:12:00 PM</t>
  </si>
  <si>
    <t>Zakaria</t>
  </si>
  <si>
    <t>0712883411</t>
  </si>
  <si>
    <t>Sky View Heights, Nairobi, Kenya</t>
  </si>
  <si>
    <t>17.2</t>
  </si>
  <si>
    <t>Nov 6, 2025, 3:34:20 PM</t>
  </si>
  <si>
    <t>Nov 6, 2025, 1:56:24 PM</t>
  </si>
  <si>
    <t>DABIEL O</t>
  </si>
  <si>
    <t>0716112660</t>
  </si>
  <si>
    <t>5.8</t>
  </si>
  <si>
    <t>Nov 6, 2025, 2:14:44 PM</t>
  </si>
  <si>
    <t>PICKUPMILK,0,M</t>
  </si>
  <si>
    <t>Nov 6, 2025, 12:55:45 PM</t>
  </si>
  <si>
    <t>Pick-up</t>
  </si>
  <si>
    <t>L.ITALY</t>
  </si>
  <si>
    <t>0115133474</t>
  </si>
  <si>
    <t>Purvi House, Nairobi, Kenya</t>
  </si>
  <si>
    <t>Pick- Ups</t>
  </si>
  <si>
    <t>Nov 6, 2025, 12:56:59 PM</t>
  </si>
  <si>
    <t>Nov 6, 2025, 12:35:19 PM</t>
  </si>
  <si>
    <t>ALLAN M</t>
  </si>
  <si>
    <t>0705474946</t>
  </si>
  <si>
    <t>Financial Sector Deepening Africa - FSD Africa, Riverside Drive, Nairobi, Kenya</t>
  </si>
  <si>
    <t>Nov 6, 2025, 12:57:29 PM</t>
  </si>
  <si>
    <t>Nov 6, 2025, 11:37:06 AM</t>
  </si>
  <si>
    <t>Katherine m</t>
  </si>
  <si>
    <t>0793535213</t>
  </si>
  <si>
    <t>Krishna Views Apartment, General Mathenge Road, Nairobi, Kenya</t>
  </si>
  <si>
    <t>Nov 6, 2025, 12:15:39 PM</t>
  </si>
  <si>
    <t>Nov 5, 2025, 6:39:24 PM</t>
  </si>
  <si>
    <t>SAHER A</t>
  </si>
  <si>
    <t>0741551950</t>
  </si>
  <si>
    <t>The Soho Serviced Apartments, Kirichwa Road, Nairobi, Kenya</t>
  </si>
  <si>
    <t>Nov 5, 2025, 6:55:30 PM</t>
  </si>
  <si>
    <t>Nov 5, 2025, 3:24:46 PM</t>
  </si>
  <si>
    <t>SADIA-amedsadia</t>
  </si>
  <si>
    <t>0725144794</t>
  </si>
  <si>
    <t>Business Bay Square (BBS Mall), General Waruingi Road, Nairobi, Kenya</t>
  </si>
  <si>
    <t>6.9</t>
  </si>
  <si>
    <t>Nov 5, 2025, 3:27:07 PM</t>
  </si>
  <si>
    <t>kilimani(75ML)5.11</t>
  </si>
  <si>
    <t>Nov 5, 2025, 2:23:34 PM</t>
  </si>
  <si>
    <t>Central Stores Dispatch</t>
  </si>
  <si>
    <t>PROCUMENT/</t>
  </si>
  <si>
    <t>0795148192</t>
  </si>
  <si>
    <t>B-Arcade Mall, Kilimani, Argwings Kodhek Road, Nairobi, Kenya</t>
  </si>
  <si>
    <t>6.4</t>
  </si>
  <si>
    <t>Nov 5, 2025, 2:24:49 PM</t>
  </si>
  <si>
    <t>1:57PICKUP</t>
  </si>
  <si>
    <t>Nov 5, 2025, 1:57:34 PM</t>
  </si>
  <si>
    <t>KILIMANI</t>
  </si>
  <si>
    <t>0769304599</t>
  </si>
  <si>
    <t>7.1</t>
  </si>
  <si>
    <t>Nov 5, 2025, 1:58:11 PM</t>
  </si>
  <si>
    <t>Nov 5, 2025, 1:05:00 PM</t>
  </si>
  <si>
    <t>DAMARIS</t>
  </si>
  <si>
    <t>0790430137</t>
  </si>
  <si>
    <t>Malakal Court, Westlands Avenue, Nairobi, Kenya</t>
  </si>
  <si>
    <t>Nov 5, 2025, 1:25:34 PM</t>
  </si>
  <si>
    <t>Nov 5, 2025, 11:53:00 AM</t>
  </si>
  <si>
    <t>ARLENA W</t>
  </si>
  <si>
    <t>0796259403</t>
  </si>
  <si>
    <t>Sapphire Court, Kirichwa Gardens Road, Nairobi, Kenya</t>
  </si>
  <si>
    <t>Nov 5, 2025, 12:13:35 PM</t>
  </si>
  <si>
    <t>Nov 4, 2025, 8:06:51 PM</t>
  </si>
  <si>
    <t>Organic</t>
  </si>
  <si>
    <t>MWANIKI</t>
  </si>
  <si>
    <t>0702367094</t>
  </si>
  <si>
    <t>Kitisuru Road, Nairobi, Kenya</t>
  </si>
  <si>
    <t>7.2</t>
  </si>
  <si>
    <t>Nov 4, 2025, 8:18:17 PM</t>
  </si>
  <si>
    <t>Nov 4, 2025, 7:05:30 PM</t>
  </si>
  <si>
    <t>NADIA KHAN</t>
  </si>
  <si>
    <t>0722743449</t>
  </si>
  <si>
    <t>786 Mzima Springs, Mzima Springs Lane, Nairobi, Kenya</t>
  </si>
  <si>
    <t>Nov 4, 2025, 7:14:38 PM</t>
  </si>
  <si>
    <t>Nov 4, 2025, 6:51:24 PM</t>
  </si>
  <si>
    <t>SIETSE V.</t>
  </si>
  <si>
    <t>0114814889</t>
  </si>
  <si>
    <t>Riverside Square, Riverside Drive, Nairobi, Kenya</t>
  </si>
  <si>
    <t>Nov 4, 2025, 7:07:18 PM</t>
  </si>
  <si>
    <t>Nov 4, 2025, 5:30:11 PM</t>
  </si>
  <si>
    <t>ELIZABETH C</t>
  </si>
  <si>
    <t>0790027677</t>
  </si>
  <si>
    <t>Nov 4, 2025, 5:42:21 PM</t>
  </si>
  <si>
    <t>Nov 4, 2025, 3:22:39 PM</t>
  </si>
  <si>
    <t>PAULINA K.</t>
  </si>
  <si>
    <t>0704429924</t>
  </si>
  <si>
    <t>Lenana Gardens Apartments, Nairobi, Kenya</t>
  </si>
  <si>
    <t>32.0</t>
  </si>
  <si>
    <t>16.1</t>
  </si>
  <si>
    <t>Nov 4, 2025, 3:43:31 PM</t>
  </si>
  <si>
    <t>Nov 4, 2025, 2:01:54 PM</t>
  </si>
  <si>
    <t>MARGARET M</t>
  </si>
  <si>
    <t>0726622105</t>
  </si>
  <si>
    <t>Lone Tree Villas, Rosslyn Lone Tree Estate Road, Nairobi, Kenya</t>
  </si>
  <si>
    <t>Nov 4, 2025, 2:03:09 PM</t>
  </si>
  <si>
    <t>Nov 4, 2025, 12:51:11 PM</t>
  </si>
  <si>
    <t>WACHIRA K</t>
  </si>
  <si>
    <t>0722793945</t>
  </si>
  <si>
    <t>Fox Close, Nairobi, Kenya</t>
  </si>
  <si>
    <t>Nov 4, 2025, 1:21:24 PM</t>
  </si>
  <si>
    <t>Nov 4, 2025, 12:19:42 PM</t>
  </si>
  <si>
    <t>ALFRED M</t>
  </si>
  <si>
    <t>0728576236</t>
  </si>
  <si>
    <t>National Housing Ngara, Block K, Nairobi, Kenya</t>
  </si>
  <si>
    <t>Nov 4, 2025, 12:38:35 PM</t>
  </si>
  <si>
    <t>pickupchequebook</t>
  </si>
  <si>
    <t>Nov 4, 2025, 11:43:50 AM</t>
  </si>
  <si>
    <t>sophie</t>
  </si>
  <si>
    <t>Mzima Springs Lane, Nairobi, Kenya</t>
  </si>
  <si>
    <t>4.8</t>
  </si>
  <si>
    <t>Nov 4, 2025, 1:19:46 PM</t>
  </si>
  <si>
    <t>Nov 4, 2025, 10:45:37 AM</t>
  </si>
  <si>
    <t>JIVESH S</t>
  </si>
  <si>
    <t>Lotos Inn &amp; Suites, Mpaka Road, Nairobi, Kenya</t>
  </si>
  <si>
    <t>Nov 4, 2025, 10:46:40 AM</t>
  </si>
  <si>
    <t>+254724307246</t>
  </si>
  <si>
    <t xml:space="preserve">Benjamin  Oliana </t>
  </si>
  <si>
    <t>Nov 6, 2025, 10:02:02 PM</t>
  </si>
  <si>
    <t>RACHEAL O</t>
  </si>
  <si>
    <t>0707206630</t>
  </si>
  <si>
    <t>Plato Apartments, Marcus Garvey Road, Nairobi, Kenya</t>
  </si>
  <si>
    <t>Nov 6, 2025, 10:26:20 PM</t>
  </si>
  <si>
    <t>Nov 6, 2025, 9:15:05 PM</t>
  </si>
  <si>
    <t>S N</t>
  </si>
  <si>
    <t>0712744074</t>
  </si>
  <si>
    <t>29 Spring Valley Road, Nairobi, Kenya</t>
  </si>
  <si>
    <t>3.5</t>
  </si>
  <si>
    <t>Nov 6, 2025, 9:32:22 PM</t>
  </si>
  <si>
    <t>Nov 6, 2025, 8:27:00 PM</t>
  </si>
  <si>
    <t>Anne</t>
  </si>
  <si>
    <t>0719877519</t>
  </si>
  <si>
    <t>Elegante Apartments, Langata Road, Nairobi, Kenya</t>
  </si>
  <si>
    <t>10.2</t>
  </si>
  <si>
    <t>Nov 6, 2025, 8:35:35 PM</t>
  </si>
  <si>
    <t>Nov 6, 2025, 7:22:43 PM</t>
  </si>
  <si>
    <t>AXZON C</t>
  </si>
  <si>
    <t>0745043070</t>
  </si>
  <si>
    <t>TT Global Kenya, Nairobi, Kenya</t>
  </si>
  <si>
    <t>Nov 6, 2025, 7:43:37 PM</t>
  </si>
  <si>
    <t>Nov 6, 2025, 6:31:44 PM</t>
  </si>
  <si>
    <t>RAISA M</t>
  </si>
  <si>
    <t>0704771717</t>
  </si>
  <si>
    <t>Park Court, 01 Ojijo Road, Nairobi, Kenya</t>
  </si>
  <si>
    <t>Nov 6, 2025, 6:45:08 PM</t>
  </si>
  <si>
    <t>Nov 6, 2025, 5:45:00 PM</t>
  </si>
  <si>
    <t>Christopher F</t>
  </si>
  <si>
    <t>Siaya Park Apartments - Kileleshwa, Kangundo Road, Kangundo Kenya</t>
  </si>
  <si>
    <t>Nov 6, 2025, 6:05:10 PM</t>
  </si>
  <si>
    <t>Nov 6, 2025, 3:50:00 PM</t>
  </si>
  <si>
    <t>Sophie M</t>
  </si>
  <si>
    <t>0704825369</t>
  </si>
  <si>
    <t>Occidental Plaza, Muthithi Road, Nairobi, Kenya</t>
  </si>
  <si>
    <t>0.3</t>
  </si>
  <si>
    <t>Nov 6, 2025, 4:02:06 PM</t>
  </si>
  <si>
    <t>Nov 6, 2025, 1:54:31 PM</t>
  </si>
  <si>
    <t>Pamela O</t>
  </si>
  <si>
    <t>0705970892</t>
  </si>
  <si>
    <t>Nandwa IVY Residence, Othaya Road, Nairobi, Kenya</t>
  </si>
  <si>
    <t>5.3</t>
  </si>
  <si>
    <t>Ichiban Sushi</t>
  </si>
  <si>
    <t>Nov 6, 2025, 2:09:24 PM</t>
  </si>
  <si>
    <t>Nov 6, 2025, 12:57:00 PM</t>
  </si>
  <si>
    <t>Kevin N</t>
  </si>
  <si>
    <t>0701149506</t>
  </si>
  <si>
    <t>Suguta Apartments, Suguta Road, Nairobi, Kenya</t>
  </si>
  <si>
    <t>Nov 6, 2025, 1:27:40 PM</t>
  </si>
  <si>
    <t>Nov 6, 2025, 11:52:00 AM</t>
  </si>
  <si>
    <t>MARLON S</t>
  </si>
  <si>
    <t>0757155024</t>
  </si>
  <si>
    <t>VILLA FRANCA ESTATE, Nairobi, Kenya</t>
  </si>
  <si>
    <t>12.9</t>
  </si>
  <si>
    <t>Nov 6, 2025, 12:06:03 PM</t>
  </si>
  <si>
    <t>Nov 5, 2025, 9:23:24 PM</t>
  </si>
  <si>
    <t>ALAN</t>
  </si>
  <si>
    <t>0728280863</t>
  </si>
  <si>
    <t>Royal Oaks Residency, Ole Odume Road, Nairobi, Kenya</t>
  </si>
  <si>
    <t>Nov 5, 2025, 9:46:20 PM</t>
  </si>
  <si>
    <t>Nov 5, 2025, 8:19:00 PM</t>
  </si>
  <si>
    <t>NANCY</t>
  </si>
  <si>
    <t>0727740586</t>
  </si>
  <si>
    <t>Garden City Mall, Thika Road, Nairobi, Kenya</t>
  </si>
  <si>
    <t>Nov 5, 2025, 8:38:10 PM</t>
  </si>
  <si>
    <t>Nov 5, 2025, 8:13:07 PM</t>
  </si>
  <si>
    <t>ADRIAN</t>
  </si>
  <si>
    <t>0724776516</t>
  </si>
  <si>
    <t>Gardens Apartments Fully Furnished and Serviced Apartments, Nairobi, Kenya</t>
  </si>
  <si>
    <t>Nov 5, 2025, 8:14:06 PM</t>
  </si>
  <si>
    <t>Nov 5, 2025, 6:30:53 PM</t>
  </si>
  <si>
    <t>JUDITH A</t>
  </si>
  <si>
    <t>0757936896</t>
  </si>
  <si>
    <t>Pristine Suites, Uthiru Gichagi Road, Rungiri, Kenya</t>
  </si>
  <si>
    <t>24.0</t>
  </si>
  <si>
    <t>13.3</t>
  </si>
  <si>
    <t>Nov 5, 2025, 6:45:52 PM</t>
  </si>
  <si>
    <t>Nov 5, 2025, 4:40:00 PM</t>
  </si>
  <si>
    <t>Nelly</t>
  </si>
  <si>
    <t>0716554095</t>
  </si>
  <si>
    <t>Glory Apartments Mvuli Road, Mvuli Road, Nairobi, Kenya</t>
  </si>
  <si>
    <t>2.2</t>
  </si>
  <si>
    <t>Nov 5, 2025, 4:29:49 PM</t>
  </si>
  <si>
    <t>Nov 5, 2025, 2:45:22 PM</t>
  </si>
  <si>
    <t>ROHAN K</t>
  </si>
  <si>
    <t>0708077777</t>
  </si>
  <si>
    <t>Sapphero Apartments, Bohra St, Nairobi, Kenya</t>
  </si>
  <si>
    <t>6.3</t>
  </si>
  <si>
    <t>Nov 5, 2025, 3:08:24 PM</t>
  </si>
  <si>
    <t>Nov 5, 2025, 2:25:37 PM</t>
  </si>
  <si>
    <t>REDEAT S T</t>
  </si>
  <si>
    <t>0705629129</t>
  </si>
  <si>
    <t>ICEA Building, Nairobi, Kenya</t>
  </si>
  <si>
    <t>Nov 5, 2025, 2:52:57 PM</t>
  </si>
  <si>
    <t>Nov 5, 2025, 12:51:00 PM</t>
  </si>
  <si>
    <t>Benjamin</t>
  </si>
  <si>
    <t>0707349455</t>
  </si>
  <si>
    <t>Tassia Police Post, Nairobi, Kenya</t>
  </si>
  <si>
    <t>20.7</t>
  </si>
  <si>
    <t>Nov 5, 2025, 1:03:48 PM</t>
  </si>
  <si>
    <t>Nov 4, 2025, 9:28:00 PM</t>
  </si>
  <si>
    <t>Shucayb</t>
  </si>
  <si>
    <t>0781376607</t>
  </si>
  <si>
    <t>Enzi Heights Apartment, Mombasa Road, Nairobi, Kenya</t>
  </si>
  <si>
    <t>9.8</t>
  </si>
  <si>
    <t>Nov 4, 2025, 9:43:14 PM</t>
  </si>
  <si>
    <t>Nov 4, 2025, 8:22:01 PM</t>
  </si>
  <si>
    <t>FIDELIS N.</t>
  </si>
  <si>
    <t>0740945064</t>
  </si>
  <si>
    <t>Desai House, Desai Road, Nairobi, Kenya</t>
  </si>
  <si>
    <t>Nov 4, 2025, 8:46:13 PM</t>
  </si>
  <si>
    <t>Nov 4, 2025, 7:17:19 PM</t>
  </si>
  <si>
    <t>JOSEPH</t>
  </si>
  <si>
    <t>0726121430</t>
  </si>
  <si>
    <t>Mater Misericordiae Hospital, Mukenia Road, Nairobi City, Kenya</t>
  </si>
  <si>
    <t>6.7</t>
  </si>
  <si>
    <t>Nov 4, 2025, 7:43:58 PM</t>
  </si>
  <si>
    <t>Nov 4, 2025, 6:25:38 PM</t>
  </si>
  <si>
    <t>USAMAH T.</t>
  </si>
  <si>
    <t>0711999875</t>
  </si>
  <si>
    <t>PSE International, Nairobi, Kenya</t>
  </si>
  <si>
    <t>5.5</t>
  </si>
  <si>
    <t>Nov 4, 2025, 6:41:09 PM</t>
  </si>
  <si>
    <t>Nov 4, 2025, 5:02:30 PM</t>
  </si>
  <si>
    <t>HAO W</t>
  </si>
  <si>
    <t>Riverside Square Lower East, Nairobi, Kenya</t>
  </si>
  <si>
    <t>Nov 5, 2025, 3:39:08 PM</t>
  </si>
  <si>
    <t>Nov 4, 2025, 4:44:59 PM</t>
  </si>
  <si>
    <t>TABITHA M.</t>
  </si>
  <si>
    <t>0741797343</t>
  </si>
  <si>
    <t>Nov 4, 2025, 5:16:11 PM</t>
  </si>
  <si>
    <t>Nov 4, 2025, 4:21:00 PM</t>
  </si>
  <si>
    <t>Nyambura</t>
  </si>
  <si>
    <t>0798363525</t>
  </si>
  <si>
    <t>Pearl Homes, Nairobi, Kenya</t>
  </si>
  <si>
    <t>Nov 4, 2025, 4:36:13 PM</t>
  </si>
  <si>
    <t>Nov 4, 2025, 2:23:00 PM</t>
  </si>
  <si>
    <t>MARTIN</t>
  </si>
  <si>
    <t>Ndichu Boro's Residence, Nairobi, Kenya</t>
  </si>
  <si>
    <t>25.0</t>
  </si>
  <si>
    <t>13.2</t>
  </si>
  <si>
    <t>Nov 4, 2025, 4:07:47 PM</t>
  </si>
  <si>
    <t>Nov 4, 2025, 1:40:18 PM</t>
  </si>
  <si>
    <t>ANNE F</t>
  </si>
  <si>
    <t>0795744480</t>
  </si>
  <si>
    <t>93 East Church Road, Nairobi, Kenya</t>
  </si>
  <si>
    <t>2.5</t>
  </si>
  <si>
    <t>Nov 4, 2025, 2:07:32 PM</t>
  </si>
  <si>
    <t>Nov 4, 2025, 12:44:42 PM</t>
  </si>
  <si>
    <t>EDNA M</t>
  </si>
  <si>
    <t>0712660738</t>
  </si>
  <si>
    <t>Oakridge Apartments - Muthiga, Unnamed Road, Rungiri, Kenya</t>
  </si>
  <si>
    <t>15.8</t>
  </si>
  <si>
    <t>Nov 4, 2025, 12:57:28 PM</t>
  </si>
  <si>
    <t>Nov 4, 2025, 11:55:13 AM</t>
  </si>
  <si>
    <t>AISHA B</t>
  </si>
  <si>
    <t>0726766238</t>
  </si>
  <si>
    <t>16 Kitisuru Road, Nairobi, Kenya</t>
  </si>
  <si>
    <t>Nov 4, 2025, 12:06:56 PM</t>
  </si>
  <si>
    <t>5DB88</t>
  </si>
  <si>
    <t>Nov 3, 2025, 11:56:49 AM</t>
  </si>
  <si>
    <t>VICKY K</t>
  </si>
  <si>
    <t>Golden heights, Mirema Road, Nairobi, Kenya</t>
  </si>
  <si>
    <t>13.7</t>
  </si>
  <si>
    <t>Nov 4, 2025, 11:58:39 AM</t>
  </si>
  <si>
    <t>+254713780730</t>
  </si>
  <si>
    <t xml:space="preserve">Benson  Miyoyo </t>
  </si>
  <si>
    <t>Nov 6, 2025, 9:54:40 PM</t>
  </si>
  <si>
    <t>AMY B</t>
  </si>
  <si>
    <t>+250789296036</t>
  </si>
  <si>
    <t>Windsor Golf Hotel &amp; Country Club, Kiambu Road, Nairobi, Kenya</t>
  </si>
  <si>
    <t>12.4</t>
  </si>
  <si>
    <t>Nov 6, 2025, 10:13:33 PM</t>
  </si>
  <si>
    <t>Nov 6, 2025, 8:18:36 PM</t>
  </si>
  <si>
    <t>JAY</t>
  </si>
  <si>
    <t>0722794465</t>
  </si>
  <si>
    <t>Zenith Fountains, Kandara Road, Nairobi, Kenya</t>
  </si>
  <si>
    <t>3.6</t>
  </si>
  <si>
    <t>Nov 6, 2025, 9:09:40 PM</t>
  </si>
  <si>
    <t>Nov 6, 2025, 8:12:47 PM</t>
  </si>
  <si>
    <t>DAN M</t>
  </si>
  <si>
    <t>0716960777</t>
  </si>
  <si>
    <t>2019 Rhapta Road, Nairobi, Kenya</t>
  </si>
  <si>
    <t>1.7</t>
  </si>
  <si>
    <t>Nov 6, 2025, 9:11:53 PM</t>
  </si>
  <si>
    <t>Nov 6, 2025, 7:47:48 PM</t>
  </si>
  <si>
    <t>JORIS S</t>
  </si>
  <si>
    <t>0769087179</t>
  </si>
  <si>
    <t>Nov 6, 2025, 8:27:50 PM</t>
  </si>
  <si>
    <t>Nov 6, 2025, 7:37:48 PM</t>
  </si>
  <si>
    <t>RAHMA A</t>
  </si>
  <si>
    <t>0718138503</t>
  </si>
  <si>
    <t>Riverside Brooks Apartment, Nairobi, Kenya</t>
  </si>
  <si>
    <t>2.9</t>
  </si>
  <si>
    <t>Nov 6, 2025, 8:23:37 PM</t>
  </si>
  <si>
    <t>Nov 6, 2025, 6:44:05 PM</t>
  </si>
  <si>
    <t>DOROTHY</t>
  </si>
  <si>
    <t>+014842503965</t>
  </si>
  <si>
    <t>Merlin Court, Mbaazi Ave, Nairobi, Kenya</t>
  </si>
  <si>
    <t>Nov 6, 2025, 6:49:57 PM</t>
  </si>
  <si>
    <t>Nov 6, 2025, 5:47:59 PM</t>
  </si>
  <si>
    <t>MEG K</t>
  </si>
  <si>
    <t>0799667639</t>
  </si>
  <si>
    <t>Elite Manor, Nairobi, Kenya</t>
  </si>
  <si>
    <t>Nov 6, 2025, 5:56:58 PM</t>
  </si>
  <si>
    <t>Nov 6, 2025, 2:35:09 PM</t>
  </si>
  <si>
    <t>+033650497857</t>
  </si>
  <si>
    <t>Amethis Advisory East Africa Limited, Riverside Drive, Nairobi, Kenya</t>
  </si>
  <si>
    <t>Nov 6, 2025, 2:19:49 PM</t>
  </si>
  <si>
    <t>Nov 6, 2025, 2:33:56 PM</t>
  </si>
  <si>
    <t>ANITA F</t>
  </si>
  <si>
    <t>+004793083707</t>
  </si>
  <si>
    <t>Winchester Gardens Amazing Homes, Riverside Drive, Nairobi, Kenya</t>
  </si>
  <si>
    <t>Nov 6, 2025, 2:50:51 PM</t>
  </si>
  <si>
    <t>Nov 4, 2025, 9:20:10 PM</t>
  </si>
  <si>
    <t>STEFAN A</t>
  </si>
  <si>
    <t>0757046442</t>
  </si>
  <si>
    <t>One Westpark Apartments, Mpaka Road, Nairobi, Kenya</t>
  </si>
  <si>
    <t>0.7</t>
  </si>
  <si>
    <t>Nov 4, 2025, 9:29:37 PM</t>
  </si>
  <si>
    <t>Nov 4, 2025, 8:40:22 PM</t>
  </si>
  <si>
    <t>Nov 4, 2025, 8:52:50 PM</t>
  </si>
  <si>
    <t>Nov 4, 2025, 8:04:43 PM</t>
  </si>
  <si>
    <t>MARIAM B</t>
  </si>
  <si>
    <t>0720999858</t>
  </si>
  <si>
    <t>YWCA Parkview Flats, Mamlaka Road, Nairobi, Kenya</t>
  </si>
  <si>
    <t>Nov 4, 2025, 8:15:03 PM</t>
  </si>
  <si>
    <t>Nov 4, 2025, 7:39:51 PM</t>
  </si>
  <si>
    <t>ZARA K</t>
  </si>
  <si>
    <t>0700179745</t>
  </si>
  <si>
    <t>Sports Road Apartments, David Osieli Road, Nairobi, Kenya</t>
  </si>
  <si>
    <t>Nov 4, 2025, 7:52:41 PM</t>
  </si>
  <si>
    <t>Nov 4, 2025, 6:24:55 PM</t>
  </si>
  <si>
    <t>ZAHRA A</t>
  </si>
  <si>
    <t>+447450241011</t>
  </si>
  <si>
    <t>Mi Vida Homes, Nairobi, Kenya</t>
  </si>
  <si>
    <t>11.5</t>
  </si>
  <si>
    <t>Nov 4, 2025, 6:44:31 PM</t>
  </si>
  <si>
    <t>Nov 4, 2025, 4:43:00 PM</t>
  </si>
  <si>
    <t>ALI</t>
  </si>
  <si>
    <t>0769928889</t>
  </si>
  <si>
    <t>Nov 4, 2025, 5:00:03 PM</t>
  </si>
  <si>
    <t>Nov 4, 2025, 3:04:00 PM</t>
  </si>
  <si>
    <t>WANJERI</t>
  </si>
  <si>
    <t>0713460635</t>
  </si>
  <si>
    <t>Nov 4, 2025, 3:18:20 PM</t>
  </si>
  <si>
    <t>Nov 4, 2025, 1:49:00 PM</t>
  </si>
  <si>
    <t>0798478111</t>
  </si>
  <si>
    <t>Nov 4, 2025, 2:05:10 PM</t>
  </si>
  <si>
    <t>Nov 4, 2025, 12:15:09 PM</t>
  </si>
  <si>
    <t>NADJA B</t>
  </si>
  <si>
    <t>0758901249</t>
  </si>
  <si>
    <t>Rhapta Heights, Rhapta Road, Nairobi, Kenya</t>
  </si>
  <si>
    <t>Nov 4, 2025, 12:32:15 PM</t>
  </si>
  <si>
    <t>+254711606522</t>
  </si>
  <si>
    <t>Bonface mkuto  Lumula</t>
  </si>
  <si>
    <t>Nov 6, 2025, 8:03:00 PM</t>
  </si>
  <si>
    <t>Myriam</t>
  </si>
  <si>
    <t>0115762789</t>
  </si>
  <si>
    <t>Brookside Breeze Apt, Nairobi, Kenya</t>
  </si>
  <si>
    <t>Nov 6, 2025, 8:22:16 PM</t>
  </si>
  <si>
    <t>Nov 6, 2025, 7:12:03 PM</t>
  </si>
  <si>
    <t>GRACE P</t>
  </si>
  <si>
    <t>0711147835</t>
  </si>
  <si>
    <t>New Garden Estate Road, Nairobi, Kenya</t>
  </si>
  <si>
    <t>11.2</t>
  </si>
  <si>
    <t>Nov 6, 2025, 7:22:12 PM</t>
  </si>
  <si>
    <t>Nov 5, 2025, 7:35:06 PM</t>
  </si>
  <si>
    <t>Rioba</t>
  </si>
  <si>
    <t>0745759056</t>
  </si>
  <si>
    <t>Baba Dogo Road, Nairobi, Kenya</t>
  </si>
  <si>
    <t>11.6</t>
  </si>
  <si>
    <t>Nov 5, 2025, 8:00:51 PM</t>
  </si>
  <si>
    <t>Nov 5, 2025, 6:19:38 PM</t>
  </si>
  <si>
    <t>BEN</t>
  </si>
  <si>
    <t>0706709115</t>
  </si>
  <si>
    <t>14 Muthaiga North Road, Nairobi, Kenya</t>
  </si>
  <si>
    <t>8.8</t>
  </si>
  <si>
    <t>Nov 5, 2025, 6:46:10 PM</t>
  </si>
  <si>
    <t>Nov 4, 2025, 8:10:44 PM</t>
  </si>
  <si>
    <t>NELLY D.</t>
  </si>
  <si>
    <t>0721982742</t>
  </si>
  <si>
    <t>Jumeirah Heights, Kiambu, Kenya</t>
  </si>
  <si>
    <t>30.0</t>
  </si>
  <si>
    <t>17.5</t>
  </si>
  <si>
    <t>Nov 5, 2025, 6:26:39 PM</t>
  </si>
  <si>
    <t>Nov 4, 2025, 7:13:37 PM</t>
  </si>
  <si>
    <t>SYED</t>
  </si>
  <si>
    <t>0788533170</t>
  </si>
  <si>
    <t>Urban Pride Apartments, Langata Road, Nairobi, Kenya</t>
  </si>
  <si>
    <t>9.5</t>
  </si>
  <si>
    <t>Nov 5, 2025, 6:28:24 PM</t>
  </si>
  <si>
    <t>Nov 4, 2025, 5:33:37 PM</t>
  </si>
  <si>
    <t>CYNTHIA N.</t>
  </si>
  <si>
    <t>0719428453</t>
  </si>
  <si>
    <t>Maruti gardens, Askari Lane, Nairobi, Kenya</t>
  </si>
  <si>
    <t>Nov 5, 2025, 6:24:43 PM</t>
  </si>
  <si>
    <t>+254729358812</t>
  </si>
  <si>
    <t>Brian Ngetich</t>
  </si>
  <si>
    <t>Nov 6, 2025, 11:53:14 AM</t>
  </si>
  <si>
    <t>Latifa A</t>
  </si>
  <si>
    <t>0703618886</t>
  </si>
  <si>
    <t>BCI NEST RESIDENCE, Othaya Road, Nairobi, Kenya</t>
  </si>
  <si>
    <t>5.7</t>
  </si>
  <si>
    <t>Supercuts Meat &amp; Butchery</t>
  </si>
  <si>
    <t>Nov 6, 2025, 11:58:53 AM</t>
  </si>
  <si>
    <t>Nov 5, 2025, 8:31:15 PM</t>
  </si>
  <si>
    <t>JANE N</t>
  </si>
  <si>
    <t>0725362230</t>
  </si>
  <si>
    <t>Whips Gym, Nairobi, Kenya</t>
  </si>
  <si>
    <t>Nov 5, 2025, 8:32:04 PM</t>
  </si>
  <si>
    <t>Nov 5, 2025, 7:26:00 PM</t>
  </si>
  <si>
    <t>MATTHEW B</t>
  </si>
  <si>
    <t>0704916821</t>
  </si>
  <si>
    <t>Heroe House, Kitisuru Road, Nairobi, Kenya</t>
  </si>
  <si>
    <t>Nov 5, 2025, 7:44:38 PM</t>
  </si>
  <si>
    <t>Nov 5, 2025, 7:15:05 PM</t>
  </si>
  <si>
    <t>JOSEPH GACHUHI</t>
  </si>
  <si>
    <t>0723829199</t>
  </si>
  <si>
    <t>Kipkabus Road, Nairobi, Kenya</t>
  </si>
  <si>
    <t>Nov 5, 2025, 7:16:56 PM</t>
  </si>
  <si>
    <t>Nov 5, 2025, 5:12:17 PM</t>
  </si>
  <si>
    <t>ALICE</t>
  </si>
  <si>
    <t>0757822773</t>
  </si>
  <si>
    <t>Rosslyn Riviera Mall, Limuru Road, Nairobi, Kenya</t>
  </si>
  <si>
    <t>Nov 5, 2025, 5:26:48 PM</t>
  </si>
  <si>
    <t>Nov 5, 2025, 2:15:00 PM</t>
  </si>
  <si>
    <t>Naheed</t>
  </si>
  <si>
    <t>0707721605</t>
  </si>
  <si>
    <t>9.4</t>
  </si>
  <si>
    <t>Nov 5, 2025, 2:40:52 PM</t>
  </si>
  <si>
    <t>Nov 5, 2025, 1:56:14 PM</t>
  </si>
  <si>
    <t>AGNES M</t>
  </si>
  <si>
    <t>0726997243</t>
  </si>
  <si>
    <t>The Mirage, Nairobi, Kenya</t>
  </si>
  <si>
    <t>Nov 5, 2025, 1:57:12 PM</t>
  </si>
  <si>
    <t>Nov 5, 2025, 11:40:00 AM</t>
  </si>
  <si>
    <t>BRENDA N</t>
  </si>
  <si>
    <t>0741787102</t>
  </si>
  <si>
    <t>Chandarana Foodplus - Astrol Square Redhill, Red Hill Road, Nairobi, Kenya</t>
  </si>
  <si>
    <t>9.1</t>
  </si>
  <si>
    <t>Nov 5, 2025, 12:26:47 PM</t>
  </si>
  <si>
    <t>Nov 4, 2025, 8:46:35 PM</t>
  </si>
  <si>
    <t>Kazuhiko</t>
  </si>
  <si>
    <t>0759004293</t>
  </si>
  <si>
    <t>Anmol Residencies - Westlands, General Mathenge Road, Nairobi, Kenya</t>
  </si>
  <si>
    <t>Nov 4, 2025, 8:47:42 PM</t>
  </si>
  <si>
    <t>Nov 4, 2025, 6:13:28 PM</t>
  </si>
  <si>
    <t>Maggie O.</t>
  </si>
  <si>
    <t>0757883778</t>
  </si>
  <si>
    <t>Nov 4, 2025, 7:17:33 PM</t>
  </si>
  <si>
    <t>Nov 4, 2025, 5:25:03 PM</t>
  </si>
  <si>
    <t>JAMILA M.</t>
  </si>
  <si>
    <t>0706687849</t>
  </si>
  <si>
    <t>Royal Apartments, Kolobot Drive, Nairobi, Kenya</t>
  </si>
  <si>
    <t>Nov 4, 2025, 5:54:22 PM</t>
  </si>
  <si>
    <t>Nov 4, 2025, 4:49:00 PM</t>
  </si>
  <si>
    <t>VICTOR</t>
  </si>
  <si>
    <t>0724075918</t>
  </si>
  <si>
    <t>Riverside Garden Cl, Nairobi, Kenya</t>
  </si>
  <si>
    <t>Nov 4, 2025, 5:05:07 PM</t>
  </si>
  <si>
    <t>Nov 4, 2025, 4:43:17 PM</t>
  </si>
  <si>
    <t>Aiman</t>
  </si>
  <si>
    <t>0722387612</t>
  </si>
  <si>
    <t>Riverside Gardens, Nairobi, Kenya</t>
  </si>
  <si>
    <t>Nov 4, 2025, 4:46:28 PM</t>
  </si>
  <si>
    <t>Nov 4, 2025, 3:20:10 PM</t>
  </si>
  <si>
    <t>MICHELLE N.</t>
  </si>
  <si>
    <t>0710505995</t>
  </si>
  <si>
    <t>11 Mogotio Road, Nairobi, Kenya</t>
  </si>
  <si>
    <t>Nov 4, 2025, 3:46:26 PM</t>
  </si>
  <si>
    <t>Nov 4, 2025, 2:14:36 PM</t>
  </si>
  <si>
    <t>SAINULABDEEN S</t>
  </si>
  <si>
    <t>Lalucia Court, Mugoiri Road, Nairobi, Kenya</t>
  </si>
  <si>
    <t>Nov 4, 2025, 2:29:36 PM</t>
  </si>
  <si>
    <t>Nov 4, 2025, 2:11:48 PM</t>
  </si>
  <si>
    <t>PETER O</t>
  </si>
  <si>
    <t>0705116175</t>
  </si>
  <si>
    <t>GREENVALE APARTMENTS, Nairobi, Kenya</t>
  </si>
  <si>
    <t>Nov 4, 2025, 3:45:15 PM</t>
  </si>
  <si>
    <t>Nov 4, 2025, 1:34:53 PM</t>
  </si>
  <si>
    <t>MAXINE K</t>
  </si>
  <si>
    <t>0721867167</t>
  </si>
  <si>
    <t>Brick Court, Kandara Road, Nairobi, Kenya</t>
  </si>
  <si>
    <t>Nov 4, 2025, 1:48:31 PM</t>
  </si>
  <si>
    <t>Nov 4, 2025, 12:58:11 PM</t>
  </si>
  <si>
    <t>FAUZIA</t>
  </si>
  <si>
    <t>0722152024</t>
  </si>
  <si>
    <t>Nov 4, 2025, 1:26:15 PM</t>
  </si>
  <si>
    <t>+254110437157</t>
  </si>
  <si>
    <t>Charles Njeka Ebikes</t>
  </si>
  <si>
    <t>Nov 5, 2025, 8:10:18 PM</t>
  </si>
  <si>
    <t>ANDREW S.</t>
  </si>
  <si>
    <t>0748668898</t>
  </si>
  <si>
    <t>Vesta Garden Apartments - Ngong Road, Nairobi, Kenya</t>
  </si>
  <si>
    <t>Nov 5, 2025, 8:18:24 PM</t>
  </si>
  <si>
    <t>Nov 5, 2025, 7:02:40 PM</t>
  </si>
  <si>
    <t>JACQUE K.</t>
  </si>
  <si>
    <t>0729212529</t>
  </si>
  <si>
    <t>Kings Eden Garden, Hatheru Road, Nairobi, Kenya</t>
  </si>
  <si>
    <t>4.7</t>
  </si>
  <si>
    <t>Nov 5, 2025, 7:33:27 PM</t>
  </si>
  <si>
    <t>Nov 5, 2025, 5:33:19 PM</t>
  </si>
  <si>
    <t>AMBER K.</t>
  </si>
  <si>
    <t>8 Miotoni West Road, Nairobi, Kenya</t>
  </si>
  <si>
    <t>Nov 5, 2025, 6:15:44 PM</t>
  </si>
  <si>
    <t>Nov 5, 2025, 4:39:40 PM</t>
  </si>
  <si>
    <t>FIONA</t>
  </si>
  <si>
    <t>0714779171</t>
  </si>
  <si>
    <t>Trailing Ferns, Nairobi, Kenya</t>
  </si>
  <si>
    <t>Nov 5, 2025, 5:34:46 PM</t>
  </si>
  <si>
    <t>Nov 5, 2025, 3:23:26 PM</t>
  </si>
  <si>
    <t>MWAS K.</t>
  </si>
  <si>
    <t>0725808548</t>
  </si>
  <si>
    <t>Timau Road, Nairobi, Kenya</t>
  </si>
  <si>
    <t>0.2</t>
  </si>
  <si>
    <t>Nov 5, 2025, 3:36:17 PM</t>
  </si>
  <si>
    <t>Nov 4, 2025, 8:49:04 PM</t>
  </si>
  <si>
    <t>TATIANA G.</t>
  </si>
  <si>
    <t>0704497407</t>
  </si>
  <si>
    <t>Gathingu Close, Nairobi, Kenya</t>
  </si>
  <si>
    <t>5.2</t>
  </si>
  <si>
    <t>Nov 4, 2025, 9:16:30 PM</t>
  </si>
  <si>
    <t>Nov 4, 2025, 7:59:25 PM</t>
  </si>
  <si>
    <t>MOHAMED S.</t>
  </si>
  <si>
    <t>4.2</t>
  </si>
  <si>
    <t>Nov 4, 2025, 8:17:31 PM</t>
  </si>
  <si>
    <t>Nov 4, 2025, 7:57:13 PM</t>
  </si>
  <si>
    <t>JON B.</t>
  </si>
  <si>
    <t>0717255792</t>
  </si>
  <si>
    <t>Nov 4, 2025, 8:20:08 PM</t>
  </si>
  <si>
    <t>Nov 4, 2025, 7:21:47 PM</t>
  </si>
  <si>
    <t>MUNYAMA</t>
  </si>
  <si>
    <t>0716733584</t>
  </si>
  <si>
    <t>Himalaya Heights, Nairobi, Kenya</t>
  </si>
  <si>
    <t>Nov 4, 2025, 7:43:19 PM</t>
  </si>
  <si>
    <t>Nov 4, 2025, 6:24:45 PM</t>
  </si>
  <si>
    <t>JUNE N.</t>
  </si>
  <si>
    <t>0721617365</t>
  </si>
  <si>
    <t>192 Kanga Rd, Nairobi, Kenya</t>
  </si>
  <si>
    <t>Nov 4, 2025, 6:30:54 PM</t>
  </si>
  <si>
    <t>Nov 4, 2025, 5:25:06 PM</t>
  </si>
  <si>
    <t>EDNA M.</t>
  </si>
  <si>
    <t>0722873468</t>
  </si>
  <si>
    <t>Nyangumi Coral Apartments, Nyangumi Road, Nairobi, Kenya</t>
  </si>
  <si>
    <t>Nov 4, 2025, 5:39:19 PM</t>
  </si>
  <si>
    <t>Nov 4, 2025, 3:40:13 PM</t>
  </si>
  <si>
    <t>MICHAEL O.</t>
  </si>
  <si>
    <t>0717612298</t>
  </si>
  <si>
    <t>Enkang - Ngong Road, Ngong Road, Nairobi, Kenya</t>
  </si>
  <si>
    <t>8.9</t>
  </si>
  <si>
    <t>Nov 4, 2025, 4:01:33 PM</t>
  </si>
  <si>
    <t>Nov 4, 2025, 2:13:32 PM</t>
  </si>
  <si>
    <t>EVA</t>
  </si>
  <si>
    <t>0725336456</t>
  </si>
  <si>
    <t>K-Rep Plaza, Wood Avenue, Nairobi, Kenya</t>
  </si>
  <si>
    <t>Nov 4, 2025, 2:28:39 PM</t>
  </si>
  <si>
    <t>+254790564971</t>
  </si>
  <si>
    <t xml:space="preserve">Chrispine  Omondi </t>
  </si>
  <si>
    <t>Nov 6, 2025, 9:27:09 PM</t>
  </si>
  <si>
    <t>CAR</t>
  </si>
  <si>
    <t>Nov 6, 2025, 9:42:28 PM</t>
  </si>
  <si>
    <t>Nov 6, 2025, 8:46:53 PM</t>
  </si>
  <si>
    <t>PETER J</t>
  </si>
  <si>
    <t>0701139250</t>
  </si>
  <si>
    <t>83 Loresho Crescent, Nairobi, Kenya</t>
  </si>
  <si>
    <t>Nov 6, 2025, 8:56:52 PM</t>
  </si>
  <si>
    <t>Nov 6, 2025, 7:36:16 PM</t>
  </si>
  <si>
    <t>LOUIS DESIRE</t>
  </si>
  <si>
    <t>+417968380100</t>
  </si>
  <si>
    <t>Nov 6, 2025, 7:54:24 PM</t>
  </si>
  <si>
    <t>Nov 6, 2025, 6:35:35 PM</t>
  </si>
  <si>
    <t>LEU G</t>
  </si>
  <si>
    <t>0780999912</t>
  </si>
  <si>
    <t>Rumaisa Luxury Residency, Riverside Drive, Nairobi, Kenya</t>
  </si>
  <si>
    <t>Nov 6, 2025, 6:53:43 PM</t>
  </si>
  <si>
    <t>Nov 6, 2025, 6:05:00 PM</t>
  </si>
  <si>
    <t>Tracy Mwathi</t>
  </si>
  <si>
    <t>+254710100085</t>
  </si>
  <si>
    <t>427 Nyeri Rd, Nairobi, Kenya, Tulip Homes</t>
  </si>
  <si>
    <t>Nov 6, 2025, 6:13:17 PM</t>
  </si>
  <si>
    <t>Nov 6, 2025, 4:28:00 PM</t>
  </si>
  <si>
    <t>ZEENAT</t>
  </si>
  <si>
    <t>0707311330</t>
  </si>
  <si>
    <t>Memon Estate, Nairobi, Kenya</t>
  </si>
  <si>
    <t>Nov 6, 2025, 4:42:47 PM</t>
  </si>
  <si>
    <t>Nov 6, 2025, 3:43:09 PM</t>
  </si>
  <si>
    <t>tarisai</t>
  </si>
  <si>
    <t>0743565565</t>
  </si>
  <si>
    <t>621 Lower Kabete Road, Nairobi, Kenya</t>
  </si>
  <si>
    <t>Nov 6, 2025, 3:44:45 PM</t>
  </si>
  <si>
    <t>Nov 6, 2025, 2:50:09 PM</t>
  </si>
  <si>
    <t>EZRINA Z</t>
  </si>
  <si>
    <t>0745192489</t>
  </si>
  <si>
    <t>Euro Tower, Muthithi Road, Nairobi, Kenya</t>
  </si>
  <si>
    <t>Nov 6, 2025, 3:06:14 PM</t>
  </si>
  <si>
    <t>Nov 4, 2025, 8:48:42 PM</t>
  </si>
  <si>
    <t>ALVIN L</t>
  </si>
  <si>
    <t>+277945577340</t>
  </si>
  <si>
    <t>Westside Towers, Nairobi, Kenya</t>
  </si>
  <si>
    <t>Nov 4, 2025, 8:55:53 PM</t>
  </si>
  <si>
    <t>Nov 4, 2025, 7:07:54 PM</t>
  </si>
  <si>
    <t>BEN M</t>
  </si>
  <si>
    <t>0757256247</t>
  </si>
  <si>
    <t>Grevillea Apartments, Grevillea Grove, Nairobi, Kenya</t>
  </si>
  <si>
    <t>Nov 4, 2025, 7:32:35 PM</t>
  </si>
  <si>
    <t>Nov 4, 2025, 6:24:07 PM</t>
  </si>
  <si>
    <t>SIMON</t>
  </si>
  <si>
    <t>0116761678</t>
  </si>
  <si>
    <t>Forest Front Apartments, Githuri Road, Nairobi, Kenya</t>
  </si>
  <si>
    <t>Nov 4, 2025, 6:47:05 PM</t>
  </si>
  <si>
    <t>Nov 4, 2025, 4:30:00 PM</t>
  </si>
  <si>
    <t>MARIGI</t>
  </si>
  <si>
    <t>0723834044</t>
  </si>
  <si>
    <t>Kariuki Drive., Ruaka, Kenya</t>
  </si>
  <si>
    <t>11.1</t>
  </si>
  <si>
    <t>Nov 4, 2025, 4:34:07 PM</t>
  </si>
  <si>
    <t>PICKUPCHEESE345776</t>
  </si>
  <si>
    <t>Nov 4, 2025, 3:01:21 PM</t>
  </si>
  <si>
    <t>6.5</t>
  </si>
  <si>
    <t>Nov 4, 2025, 3:02:52 PM</t>
  </si>
  <si>
    <t>steady-pizza-chicken-house</t>
  </si>
  <si>
    <t>+250783568521</t>
  </si>
  <si>
    <t>Cyprien Nsengiyaremye</t>
  </si>
  <si>
    <t>Nov 4, 2025, 7:22:00 PM</t>
  </si>
  <si>
    <t>stella kaniaru</t>
  </si>
  <si>
    <t>+250791591916</t>
  </si>
  <si>
    <t>Biryogo Car Free Zone, Macoco restaurant</t>
  </si>
  <si>
    <t>10.6</t>
  </si>
  <si>
    <t>Nov 4, 2025, 8:18:26 PM</t>
  </si>
  <si>
    <t>pad-thai-restaurant</t>
  </si>
  <si>
    <t>138783</t>
  </si>
  <si>
    <t>Nov 4, 2025, 7:11:58 PM</t>
  </si>
  <si>
    <t>MAHORO Geofrey</t>
  </si>
  <si>
    <t>+250795019129</t>
  </si>
  <si>
    <t>Kigali</t>
  </si>
  <si>
    <t>Nov 4, 2025, 8:14:19 PM</t>
  </si>
  <si>
    <t>+254748392704</t>
  </si>
  <si>
    <t>Daniel  Namaswa</t>
  </si>
  <si>
    <t>TIFFANY</t>
  </si>
  <si>
    <t>0706282867</t>
  </si>
  <si>
    <t>Dolphine studio apartments, Kahuho, Nairobi, Kenya</t>
  </si>
  <si>
    <t>26.0</t>
  </si>
  <si>
    <t>Nov 6, 2025, 8:37:40 PM</t>
  </si>
  <si>
    <t>Nov 6, 2025, 6:56:35 PM</t>
  </si>
  <si>
    <t>CALVIN M.</t>
  </si>
  <si>
    <t>0722165694</t>
  </si>
  <si>
    <t>Racecourse Gardens Apartments, Mama Wahu Road, Nairobi, Kenya</t>
  </si>
  <si>
    <t>Nov 6, 2025, 7:39:19 PM</t>
  </si>
  <si>
    <t>Nov 6, 2025, 5:53:26 PM</t>
  </si>
  <si>
    <t>SHAN W.</t>
  </si>
  <si>
    <t>0111627411</t>
  </si>
  <si>
    <t>Nov 6, 2025, 6:30:29 PM</t>
  </si>
  <si>
    <t>4788.0</t>
  </si>
  <si>
    <t>Nov 6, 2025, 5:00:05 PM</t>
  </si>
  <si>
    <t>KARL</t>
  </si>
  <si>
    <t>0792358430</t>
  </si>
  <si>
    <t>Mugumo Village, Nairobi, Kenya</t>
  </si>
  <si>
    <t>3.3</t>
  </si>
  <si>
    <t>Nov 6, 2025, 5:01:33 PM</t>
  </si>
  <si>
    <t>Nov 6, 2025, 2:55:47 PM</t>
  </si>
  <si>
    <t>JERMAINE C.</t>
  </si>
  <si>
    <t>0796743688</t>
  </si>
  <si>
    <t>GATUNDU HEIGHTS, Gatundu Road, Nairobi, Kenya</t>
  </si>
  <si>
    <t>Nov 6, 2025, 3:30:07 PM</t>
  </si>
  <si>
    <t>Nov 6, 2025, 1:52:16 PM</t>
  </si>
  <si>
    <t>JOSEPH M.</t>
  </si>
  <si>
    <t>0700545574</t>
  </si>
  <si>
    <t>Nov 6, 2025, 2:06:54 PM</t>
  </si>
  <si>
    <t>62305.0</t>
  </si>
  <si>
    <t>Nov 6, 2025, 12:40:27 PM</t>
  </si>
  <si>
    <t>ANN H</t>
  </si>
  <si>
    <t>0718978238</t>
  </si>
  <si>
    <t>Britam Tower, Nairobi, Kenya</t>
  </si>
  <si>
    <t>Nov 6, 2025, 1:05:24 PM</t>
  </si>
  <si>
    <t>Nov 6, 2025, 11:54:24 AM</t>
  </si>
  <si>
    <t>RON S</t>
  </si>
  <si>
    <t>Mzima House, Nairobi, Kenya</t>
  </si>
  <si>
    <t>Nov 6, 2025, 12:12:08 PM</t>
  </si>
  <si>
    <t>Nov 5, 2025, 7:00:28 PM</t>
  </si>
  <si>
    <t>SALLY M.</t>
  </si>
  <si>
    <t>0757171825</t>
  </si>
  <si>
    <t>Added Value Properties Yellow Birch Apartment, Nairobi, Kenya</t>
  </si>
  <si>
    <t>10.3</t>
  </si>
  <si>
    <t>Nov 5, 2025, 7:13:22 PM</t>
  </si>
  <si>
    <t>Nov 5, 2025, 6:54:13 PM</t>
  </si>
  <si>
    <t>JONATHAN B.</t>
  </si>
  <si>
    <t>Elsie Ridge, Lower Kabete Lane, Nairobi, Kenya</t>
  </si>
  <si>
    <t>11.3</t>
  </si>
  <si>
    <t>Nov 5, 2025, 7:10:59 PM</t>
  </si>
  <si>
    <t>Nov 5, 2025, 6:10:33 PM</t>
  </si>
  <si>
    <t>DENNIS M.</t>
  </si>
  <si>
    <t>0723846070</t>
  </si>
  <si>
    <t>Bristow Apartments, Gitanga Road, Nairobi, Kenya</t>
  </si>
  <si>
    <t>Nov 5, 2025, 6:20:21 PM</t>
  </si>
  <si>
    <t>Nov 5, 2025, 4:40:45 PM</t>
  </si>
  <si>
    <t>PETER K.</t>
  </si>
  <si>
    <t>0708086123</t>
  </si>
  <si>
    <t>Riana Woods Apartments - Kilimani, Maalim Juma Road, Nairobi, Kenya</t>
  </si>
  <si>
    <t>Nov 5, 2025, 5:09:02 PM</t>
  </si>
  <si>
    <t>Nov 5, 2025, 1:54:38 PM</t>
  </si>
  <si>
    <t>ISMAHAN M.</t>
  </si>
  <si>
    <t>0722798704</t>
  </si>
  <si>
    <t>Oak South Apartments- South B, Nairobi, Kenya</t>
  </si>
  <si>
    <t>Nov 5, 2025, 2:29:42 PM</t>
  </si>
  <si>
    <t>Nov 5, 2025, 1:25:06 PM</t>
  </si>
  <si>
    <t>DENNIS K.</t>
  </si>
  <si>
    <t>0717422488</t>
  </si>
  <si>
    <t>164 Eldama Court, Ring Road, Nairobi, Kenya</t>
  </si>
  <si>
    <t>Nov 5, 2025, 1:40:52 PM</t>
  </si>
  <si>
    <t>Nov 5, 2025, 1:41:43 PM</t>
  </si>
  <si>
    <t>Nov 5, 2025, 12:12:43 PM</t>
  </si>
  <si>
    <t>FAITH M.</t>
  </si>
  <si>
    <t>0716441687</t>
  </si>
  <si>
    <t>595 Gitanga Road Apartments, Nairobi, Kenya</t>
  </si>
  <si>
    <t>Nov 5, 2025, 12:38:50 PM</t>
  </si>
  <si>
    <t>Nov 4, 2025, 7:50:14 PM</t>
  </si>
  <si>
    <t>LULU N.</t>
  </si>
  <si>
    <t>0710663688</t>
  </si>
  <si>
    <t>Urban Breeze Apartments, Hendred Avenue, Nairobi, Kenya</t>
  </si>
  <si>
    <t>Nov 4, 2025, 8:08:02 PM</t>
  </si>
  <si>
    <t>Nov 4, 2025, 6:36:20 PM</t>
  </si>
  <si>
    <t>VICTORIA M.</t>
  </si>
  <si>
    <t>0708327150</t>
  </si>
  <si>
    <t>Regal Point Apartments - South B, Plainsview Rd, Nairobi, Kenya</t>
  </si>
  <si>
    <t>Nov 4, 2025, 6:51:27 PM</t>
  </si>
  <si>
    <t>Nov 4, 2025, 5:04:40 PM</t>
  </si>
  <si>
    <t>RAHAB K.</t>
  </si>
  <si>
    <t>0720881673</t>
  </si>
  <si>
    <t>Astoria Apartments, Mbaazi Road, Nairobi, Kenya</t>
  </si>
  <si>
    <t>Nov 4, 2025, 5:27:04 PM</t>
  </si>
  <si>
    <t>Nov 4, 2025, 3:21:26 PM</t>
  </si>
  <si>
    <t>GARELD J.</t>
  </si>
  <si>
    <t>+151426283110</t>
  </si>
  <si>
    <t>Alina Ridge kileleshwa, Oloitoktok Road, Nairobi, Kenya</t>
  </si>
  <si>
    <t>Nov 4, 2025, 3:33:54 PM</t>
  </si>
  <si>
    <t>Nov 4, 2025, 1:42:16 PM</t>
  </si>
  <si>
    <t>JUSTICE A.</t>
  </si>
  <si>
    <t>0759332568</t>
  </si>
  <si>
    <t>Alkira Residences, Othaya Road, Nairobi, Kenya</t>
  </si>
  <si>
    <t>Nov 4, 2025, 2:07:43 PM</t>
  </si>
  <si>
    <t>+2540746375012</t>
  </si>
  <si>
    <t>David  Mwangi</t>
  </si>
  <si>
    <t>Nov 6, 2025, 8:31:11 PM</t>
  </si>
  <si>
    <t>0798326636</t>
  </si>
  <si>
    <t>Nguruman Court, Nairobi, Kenya</t>
  </si>
  <si>
    <t>15.5</t>
  </si>
  <si>
    <t>Nov 6, 2025, 8:44:51 PM</t>
  </si>
  <si>
    <t>Nov 6, 2025, 7:49:00 PM</t>
  </si>
  <si>
    <t>Pat</t>
  </si>
  <si>
    <t>0748459576</t>
  </si>
  <si>
    <t>Victorian Villas, Gichugu Road, Nairobi, Kenya</t>
  </si>
  <si>
    <t>Nov 6, 2025, 8:11:46 PM</t>
  </si>
  <si>
    <t>Nov 6, 2025, 7:25:40 PM</t>
  </si>
  <si>
    <t>LAMIYA</t>
  </si>
  <si>
    <t>0719839638</t>
  </si>
  <si>
    <t>Mbono Road, Nairobi, Kenya</t>
  </si>
  <si>
    <t>Nov 6, 2025, 7:32:44 PM</t>
  </si>
  <si>
    <t>Nov 6, 2025, 6:41:15 PM</t>
  </si>
  <si>
    <t>MUHAMMED S</t>
  </si>
  <si>
    <t>0722681493</t>
  </si>
  <si>
    <t>Dhanlaxmi Apartment - Parklands, The Crescent, Nairobi, Kenya</t>
  </si>
  <si>
    <t>Nov 6, 2025, 7:05:36 PM</t>
  </si>
  <si>
    <t>Nov 6, 2025, 6:15:42 PM</t>
  </si>
  <si>
    <t>MALENA  G</t>
  </si>
  <si>
    <t>0798016469</t>
  </si>
  <si>
    <t>ICEA LION Group - HEAD OFFICE, Chiromo Road, Nairobi, Kenya</t>
  </si>
  <si>
    <t>Nov 6, 2025, 6:31:01 PM</t>
  </si>
  <si>
    <t>village-market</t>
  </si>
  <si>
    <t>c7204</t>
  </si>
  <si>
    <t>Nov 6, 2025, 5:52:37 PM</t>
  </si>
  <si>
    <t>yvonne g</t>
  </si>
  <si>
    <t>0793586243</t>
  </si>
  <si>
    <t>RED PLATE TRM DRIVE, TRM Drive, Nairobi, Kenya</t>
  </si>
  <si>
    <t>14.9</t>
  </si>
  <si>
    <t>Nov 6, 2025, 5:54:04 PM</t>
  </si>
  <si>
    <t>Nov 6, 2025, 4:36:28 PM</t>
  </si>
  <si>
    <t>Agnes</t>
  </si>
  <si>
    <t>0721360429</t>
  </si>
  <si>
    <t>Nov 6, 2025, 4:37:32 PM</t>
  </si>
  <si>
    <t>Nov 6, 2025, 2:55:00 PM</t>
  </si>
  <si>
    <t>Adrianna Mwaura</t>
  </si>
  <si>
    <t>+254716830220</t>
  </si>
  <si>
    <t>Wudanyi road Kahawa sukari</t>
  </si>
  <si>
    <t>29.0</t>
  </si>
  <si>
    <t>22.1</t>
  </si>
  <si>
    <t>Nov 6, 2025, 2:57:48 PM</t>
  </si>
  <si>
    <t>985E1</t>
  </si>
  <si>
    <t>Nov 6, 2025, 2:48:49 PM</t>
  </si>
  <si>
    <t>Dennis Katei</t>
  </si>
  <si>
    <t>Variety Flooring Works Ltd, Mombasa Road, Nairobi, Kenya</t>
  </si>
  <si>
    <t>23.0</t>
  </si>
  <si>
    <t>19.5</t>
  </si>
  <si>
    <t>Nov 6, 2025, 2:50:22 PM</t>
  </si>
  <si>
    <t>BEANSPICKUP</t>
  </si>
  <si>
    <t>Nov 6, 2025, 2:10:28 PM</t>
  </si>
  <si>
    <t>BEANS</t>
  </si>
  <si>
    <t>Guru's Grocery Store, Second Parklands Avenue, Nairobi, Kenya</t>
  </si>
  <si>
    <t>3.9</t>
  </si>
  <si>
    <t>Nov 6, 2025, 2:12:08 PM</t>
  </si>
  <si>
    <t>Nov 6, 2025, 1:56:54 PM</t>
  </si>
  <si>
    <t>CHEICKNA T.</t>
  </si>
  <si>
    <t>0704776671</t>
  </si>
  <si>
    <t>Zarafa Towers, Ring Road Kilimani, Nairobi, Kenya</t>
  </si>
  <si>
    <t>7.6</t>
  </si>
  <si>
    <t>Nov 6, 2025, 2:13:09 PM</t>
  </si>
  <si>
    <t>Nov 6, 2025, 1:16:28 PM</t>
  </si>
  <si>
    <t>BEATRIZ</t>
  </si>
  <si>
    <t>0758267858</t>
  </si>
  <si>
    <t>Nov 6, 2025, 1:27:54 PM</t>
  </si>
  <si>
    <t>Nov 6, 2025, 11:21:39 AM</t>
  </si>
  <si>
    <t>SAMMY N</t>
  </si>
  <si>
    <t>0702198846</t>
  </si>
  <si>
    <t>Geogamu apartments, Ruaka, Kenya</t>
  </si>
  <si>
    <t>Nov 6, 2025, 11:38:33 AM</t>
  </si>
  <si>
    <t>Nov 6, 2025, 9:43:52 AM</t>
  </si>
  <si>
    <t>USAMAH T</t>
  </si>
  <si>
    <t>Nov 6, 2025, 9:45:15 AM</t>
  </si>
  <si>
    <t>FE17E</t>
  </si>
  <si>
    <t>Nov 5, 2025, 9:31:29 PM</t>
  </si>
  <si>
    <t>FLORENCE K</t>
  </si>
  <si>
    <t>Jacaranda Gardens Estate, Kamiti Road, Githurai, Kenya</t>
  </si>
  <si>
    <t>16.5</t>
  </si>
  <si>
    <t>Nov 5, 2025, 9:32:57 PM</t>
  </si>
  <si>
    <t>Nov 5, 2025, 8:44:58 PM</t>
  </si>
  <si>
    <t>0799133519</t>
  </si>
  <si>
    <t>PCEA Kasarani Church, Nairobi, Kenya</t>
  </si>
  <si>
    <t>Nov 5, 2025, 8:46:10 PM</t>
  </si>
  <si>
    <t>Nov 5, 2025, 7:41:47 PM</t>
  </si>
  <si>
    <t>PETROCITY-Gigiri, Limuru Road, Nairobi, Kenya</t>
  </si>
  <si>
    <t>7.9</t>
  </si>
  <si>
    <t>Nov 5, 2025, 7:44:47 PM</t>
  </si>
  <si>
    <t>0723961336</t>
  </si>
  <si>
    <t>Garden Estate, Nairobi, Kenya</t>
  </si>
  <si>
    <t>Nov 5, 2025, 6:38:40 PM</t>
  </si>
  <si>
    <t>SOLOMON W</t>
  </si>
  <si>
    <t>0736207426</t>
  </si>
  <si>
    <t>Nubuck Leather, Nairobi, Kenya</t>
  </si>
  <si>
    <t>10.9</t>
  </si>
  <si>
    <t>Nov 5, 2025, 7:02:00 PM</t>
  </si>
  <si>
    <t>Nov 5, 2025, 5:23:03 PM</t>
  </si>
  <si>
    <t>VERONICA W</t>
  </si>
  <si>
    <t>0707723043</t>
  </si>
  <si>
    <t>Greenbay Apartments, Nairobi, Kenya</t>
  </si>
  <si>
    <t>14.7</t>
  </si>
  <si>
    <t>Nov 5, 2025, 5:39:46 PM</t>
  </si>
  <si>
    <t>Nov 5, 2025, 3:48:00 PM</t>
  </si>
  <si>
    <t>FAISAL</t>
  </si>
  <si>
    <t>0790431502</t>
  </si>
  <si>
    <t>16 Mbaruk Road, Nairobi, Kenya</t>
  </si>
  <si>
    <t>Nov 5, 2025, 4:04:31 PM</t>
  </si>
  <si>
    <t>pickupkeith</t>
  </si>
  <si>
    <t>Nov 5, 2025, 2:56:58 PM</t>
  </si>
  <si>
    <t>Keith D.</t>
  </si>
  <si>
    <t>Nov 5, 2025, 3:06:35 PM</t>
  </si>
  <si>
    <t>Farasi Garden, Farasi Lane, Nairobi, Kenya</t>
  </si>
  <si>
    <t>Nov 5, 2025, 2:36:00 PM</t>
  </si>
  <si>
    <t>Mehul</t>
  </si>
  <si>
    <t>Capital Centre, Mombasa Road, Nairobi, Kenya</t>
  </si>
  <si>
    <t>Pizza Corner</t>
  </si>
  <si>
    <t>Nov 5, 2025, 2:39:09 PM</t>
  </si>
  <si>
    <t>pickupmehul</t>
  </si>
  <si>
    <t>Regal Plaza Ltd, City Park Drive, Nairobi, Kenya</t>
  </si>
  <si>
    <t>4.1</t>
  </si>
  <si>
    <t>Nov 5, 2025, 1:04:00 PM</t>
  </si>
  <si>
    <t>ENRICO</t>
  </si>
  <si>
    <t>Nov 5, 2025, 1:25:14 PM</t>
  </si>
  <si>
    <t>Nov 4, 2025, 7:28:56 PM</t>
  </si>
  <si>
    <t>JoAnn W.</t>
  </si>
  <si>
    <t>Nzohe Road, Nairobi, Kenya</t>
  </si>
  <si>
    <t>18.4</t>
  </si>
  <si>
    <t>TastiWok</t>
  </si>
  <si>
    <t>Nov 4, 2025, 7:32:57 PM</t>
  </si>
  <si>
    <t>PickupJoAnnW</t>
  </si>
  <si>
    <t>Rose Avenue Shopping Centre, Kindaruma Road, Nairobi, Kenya</t>
  </si>
  <si>
    <t>Nov 4, 2025, 7:13:00 PM</t>
  </si>
  <si>
    <t>Alicia Brett</t>
  </si>
  <si>
    <t>+254707381227</t>
  </si>
  <si>
    <t>PQWX+273, Lower Kabete Rd, Nairobi, Kenya, Avellino Court</t>
  </si>
  <si>
    <t>Nov 4, 2025, 7:19:39 PM</t>
  </si>
  <si>
    <t>Nov 4, 2025, 6:33:00 PM</t>
  </si>
  <si>
    <t>George</t>
  </si>
  <si>
    <t>+254742014604</t>
  </si>
  <si>
    <t>Nov 4, 2025, 6:38:34 PM</t>
  </si>
  <si>
    <t>Nov 4, 2025, 5:05:22 PM</t>
  </si>
  <si>
    <t>AUSTIN O.</t>
  </si>
  <si>
    <t>0704854409</t>
  </si>
  <si>
    <t>Westridge Apartments 87, Rungiri, Kenya</t>
  </si>
  <si>
    <t>14.4</t>
  </si>
  <si>
    <t>Nov 4, 2025, 5:23:04 PM</t>
  </si>
  <si>
    <t>Nov 4, 2025, 3:19:38 PM</t>
  </si>
  <si>
    <t>HOPE S</t>
  </si>
  <si>
    <t>0794213302</t>
  </si>
  <si>
    <t>Qwetu | Student Residences | Aberdare Heights 1, Nairobi, Kenya</t>
  </si>
  <si>
    <t>12.7</t>
  </si>
  <si>
    <t>Nov 4, 2025, 3:49:48 PM</t>
  </si>
  <si>
    <t>093FF</t>
  </si>
  <si>
    <t>Nov 4, 2025, 2:13:42 PM</t>
  </si>
  <si>
    <t>JOHN MUGURO</t>
  </si>
  <si>
    <t>0704171717</t>
  </si>
  <si>
    <t>JD Arcade, Mombasa-Malaba Road, Rungiri, Kenya</t>
  </si>
  <si>
    <t>Nov 4, 2025, 2:14:47 PM</t>
  </si>
  <si>
    <t>429D9</t>
  </si>
  <si>
    <t>Nov 4, 2025, 1:38:08 PM</t>
  </si>
  <si>
    <t>MITRA L</t>
  </si>
  <si>
    <t>Nov 4, 2025, 1:40:06 PM</t>
  </si>
  <si>
    <t>Nov 4, 2025, 1:34:31 PM</t>
  </si>
  <si>
    <t>PAULINE F</t>
  </si>
  <si>
    <t>0716706247</t>
  </si>
  <si>
    <t>Nov 4, 2025, 1:46:49 PM</t>
  </si>
  <si>
    <t>Nov 4, 2025, 1:07:50 PM</t>
  </si>
  <si>
    <t>Noora</t>
  </si>
  <si>
    <t>0715792908</t>
  </si>
  <si>
    <t>2 Sri Aurobindo Avenue, Nairobi, Kenya</t>
  </si>
  <si>
    <t>Nov 4, 2025, 3:48:10 PM</t>
  </si>
  <si>
    <t>1098BReplacement</t>
  </si>
  <si>
    <t>Nov 4, 2025, 1:05:51 PM</t>
  </si>
  <si>
    <t>Replacements</t>
  </si>
  <si>
    <t>Ross P</t>
  </si>
  <si>
    <t>0.8</t>
  </si>
  <si>
    <t>Nov 4, 2025, 1:06:43 PM</t>
  </si>
  <si>
    <t>F4707</t>
  </si>
  <si>
    <t>Nov 4, 2025, 9:12:06 AM</t>
  </si>
  <si>
    <t>ISRAEL K</t>
  </si>
  <si>
    <t>South C Rangers Court Estate, Unnamed Road, Nairobi, Kenya</t>
  </si>
  <si>
    <t>9.7</t>
  </si>
  <si>
    <t>Nov 6, 2025, 9:13:34 AM</t>
  </si>
  <si>
    <t>+254741781843</t>
  </si>
  <si>
    <t>Derick Okoth</t>
  </si>
  <si>
    <t>Nov 6, 2025, 7:19:00 PM</t>
  </si>
  <si>
    <t>SHESLEY</t>
  </si>
  <si>
    <t>0797778318</t>
  </si>
  <si>
    <t>Finix Casino, Finix Casino, Argwings Kodhek Road, Nairobi, Kenya</t>
  </si>
  <si>
    <t>Nov 6, 2025, 7:53:55 PM</t>
  </si>
  <si>
    <t>1ANDMBP05669.</t>
  </si>
  <si>
    <t>Nov 6, 2025, 6:30:19 PM</t>
  </si>
  <si>
    <t>Dine-in</t>
  </si>
  <si>
    <t>EMMY</t>
  </si>
  <si>
    <t>0701017589</t>
  </si>
  <si>
    <t>North Brook Villas, Brookside Gardens, Nairobi, Kenya</t>
  </si>
  <si>
    <t>2.7</t>
  </si>
  <si>
    <t>Nov 6, 2025, 6:39:42 PM</t>
  </si>
  <si>
    <t>Nov 6, 2025, 5:10:10 PM</t>
  </si>
  <si>
    <t>MIKE M</t>
  </si>
  <si>
    <t>0722598870</t>
  </si>
  <si>
    <t>Meridian Court, Unnamed Road, Nairobi, Kenya</t>
  </si>
  <si>
    <t>8.1</t>
  </si>
  <si>
    <t>Nov 6, 2025, 5:26:29 PM</t>
  </si>
  <si>
    <t>Nov 6, 2025, 1:21:00 PM</t>
  </si>
  <si>
    <t>Mohammad</t>
  </si>
  <si>
    <t>0703877303</t>
  </si>
  <si>
    <t>Fortis suite Fertility Point, Hospital Road, Nairobi, Kenya</t>
  </si>
  <si>
    <t>Nov 6, 2025, 1:39:42 PM</t>
  </si>
  <si>
    <t>Nov 6, 2025, 1:09:00 PM</t>
  </si>
  <si>
    <t>JANET</t>
  </si>
  <si>
    <t>0719674711</t>
  </si>
  <si>
    <t>Garden Terraces. Kabarnet Ln, Kabarnet Lane, Nairobi, Kenya</t>
  </si>
  <si>
    <t>Nov 6, 2025, 1:27:02 PM</t>
  </si>
  <si>
    <t>PICK-UPALIKA5KG</t>
  </si>
  <si>
    <t>Nov 5, 2025, 1:18:22 PM</t>
  </si>
  <si>
    <t>PURVI-KITCHEN</t>
  </si>
  <si>
    <t>Second Parklands Avenue, Nairobi, Kenya</t>
  </si>
  <si>
    <t>Nov 6, 2025, 1:19:38 PM</t>
  </si>
  <si>
    <t>Nov 4, 2025, 7:45:45 PM</t>
  </si>
  <si>
    <t>NATALIE H</t>
  </si>
  <si>
    <t>+420724821233</t>
  </si>
  <si>
    <t>140 Daisy Road, Nairobi, Kenya</t>
  </si>
  <si>
    <t>Nov 4, 2025, 7:21:07 PM</t>
  </si>
  <si>
    <t>Nov 4, 2025, 6:35:14 PM</t>
  </si>
  <si>
    <t>JENS PETER D</t>
  </si>
  <si>
    <t>0708712849</t>
  </si>
  <si>
    <t>Naivasha Avenue, Nairobi, Kenya</t>
  </si>
  <si>
    <t>6.8</t>
  </si>
  <si>
    <t>Nov 4, 2025, 7:19:31 PM</t>
  </si>
  <si>
    <t>Nov 4, 2025, 2:06:39 PM</t>
  </si>
  <si>
    <t>Anna P. (Call from security post to iet me know you arrived)</t>
  </si>
  <si>
    <t>0712610921</t>
  </si>
  <si>
    <t>47 Makena Place Apartments - Lavington, Naivasha Road, Nairobi, Kenya</t>
  </si>
  <si>
    <t>Nov 4, 2025, 2:08:36 PM</t>
  </si>
  <si>
    <t>1ANDMBP05636</t>
  </si>
  <si>
    <t>Oct 27, 2025, 1:19:00 PM</t>
  </si>
  <si>
    <t>HELLEN</t>
  </si>
  <si>
    <t>0700896457</t>
  </si>
  <si>
    <t>Nov 6, 2025, 12:42:44 PM</t>
  </si>
  <si>
    <t>+254758208355</t>
  </si>
  <si>
    <t>Derrick  Moseti</t>
  </si>
  <si>
    <t>Nov 6, 2025, 8:41:01 PM</t>
  </si>
  <si>
    <t>ALEXANDRE</t>
  </si>
  <si>
    <t>0798564753</t>
  </si>
  <si>
    <t>Zuberi Pilates Studio, ibis cresent, Nairobi, Kenya</t>
  </si>
  <si>
    <t>Nov 6, 2025, 9:13:08 PM</t>
  </si>
  <si>
    <t>Nov 6, 2025, 7:04:42 PM</t>
  </si>
  <si>
    <t>TAICHIRO F.</t>
  </si>
  <si>
    <t>0712581176</t>
  </si>
  <si>
    <t>Ivory Terraces, Terrace Close, Nairobi, Kenya</t>
  </si>
  <si>
    <t>Nov 6, 2025, 7:43:48 PM</t>
  </si>
  <si>
    <t>Nov 6, 2025, 7:02:26 PM</t>
  </si>
  <si>
    <t>DENISE</t>
  </si>
  <si>
    <t>0759637204</t>
  </si>
  <si>
    <t>Nov 6, 2025, 7:42:37 PM</t>
  </si>
  <si>
    <t>Nov 6, 2025, 4:17:30 PM</t>
  </si>
  <si>
    <t>IVY M.</t>
  </si>
  <si>
    <t>0725938542</t>
  </si>
  <si>
    <t>Amaziah Apartments - Muthiga, Rungiri, Kenya</t>
  </si>
  <si>
    <t>15.9</t>
  </si>
  <si>
    <t>Nov 6, 2025, 4:27:03 PM</t>
  </si>
  <si>
    <t>Nov 6, 2025, 2:26:10 PM</t>
  </si>
  <si>
    <t>QUIVERLINE</t>
  </si>
  <si>
    <t>0741534111</t>
  </si>
  <si>
    <t>LEO (RESIDENCES) APARTMENTS, Hatheru Road, Nairobi, Kenya</t>
  </si>
  <si>
    <t>4.4</t>
  </si>
  <si>
    <t>Nov 6, 2025, 2:45:39 PM</t>
  </si>
  <si>
    <t>Nov 6, 2025, 1:35:42 PM</t>
  </si>
  <si>
    <t>NJAGI K.</t>
  </si>
  <si>
    <t>0722791047</t>
  </si>
  <si>
    <t>Gatura Gardens, Nairobi, Kenya</t>
  </si>
  <si>
    <t>Nov 6, 2025, 1:52:13 PM</t>
  </si>
  <si>
    <t>Nov 6, 2025, 12:42:56 PM</t>
  </si>
  <si>
    <t>Nov 6, 2025, 1:09:20 PM</t>
  </si>
  <si>
    <t>Nov 6, 2025, 11:13:22 AM</t>
  </si>
  <si>
    <t>NICOLE</t>
  </si>
  <si>
    <t>0703192000</t>
  </si>
  <si>
    <t>KEZTA HOMES, Rungiri, Kenya</t>
  </si>
  <si>
    <t>33.0</t>
  </si>
  <si>
    <t>Nov 6, 2025, 11:27:18 AM</t>
  </si>
  <si>
    <t>Nov 5, 2025, 8:15:45 PM</t>
  </si>
  <si>
    <t>TIMOTHY K.</t>
  </si>
  <si>
    <t>0722256459</t>
  </si>
  <si>
    <t>Kingara Springs Apartments, Nairobi, Kenya</t>
  </si>
  <si>
    <t>Nov 5, 2025, 9:03:59 PM</t>
  </si>
  <si>
    <t>Nov 5, 2025, 7:51:49 PM</t>
  </si>
  <si>
    <t>BORIS B.</t>
  </si>
  <si>
    <t>0758155308</t>
  </si>
  <si>
    <t>69 Kaumoni Crescent, Nairobi, Kenya</t>
  </si>
  <si>
    <t>28.0</t>
  </si>
  <si>
    <t>14.1</t>
  </si>
  <si>
    <t>Nov 5, 2025, 8:14:05 PM</t>
  </si>
  <si>
    <t>Nov 5, 2025, 6:51:01 PM</t>
  </si>
  <si>
    <t>NJERI K.</t>
  </si>
  <si>
    <t>0727364580</t>
  </si>
  <si>
    <t>Phenom Park - Langata, Nairobi, Kenya</t>
  </si>
  <si>
    <t>Nov 5, 2025, 7:05:57 PM</t>
  </si>
  <si>
    <t>Nov 5, 2025, 5:35:59 PM</t>
  </si>
  <si>
    <t>MUMBI K.</t>
  </si>
  <si>
    <t>0790556491</t>
  </si>
  <si>
    <t>Kisembe Court, Banda Lane, Nairobi, Kenya</t>
  </si>
  <si>
    <t>Nov 5, 2025, 6:03:29 PM</t>
  </si>
  <si>
    <t>Nov 5, 2025, 4:14:59 PM</t>
  </si>
  <si>
    <t>Nov 5, 2025, 4:31:26 PM</t>
  </si>
  <si>
    <t>Nov 5, 2025, 2:52:36 PM</t>
  </si>
  <si>
    <t>MELODY A.</t>
  </si>
  <si>
    <t>Riara One Residency, Riara Road, Nairobi, Kenya</t>
  </si>
  <si>
    <t>Nov 5, 2025, 3:04:16 PM</t>
  </si>
  <si>
    <t>Nov 5, 2025, 1:55:30 PM</t>
  </si>
  <si>
    <t>CAROL N.</t>
  </si>
  <si>
    <t>0726590393</t>
  </si>
  <si>
    <t>Flex Fitness Place, Flex Apartments, Ragati Road, Nairobi, Kenya</t>
  </si>
  <si>
    <t>Nov 5, 2025, 2:15:26 PM</t>
  </si>
  <si>
    <t>Nov 5, 2025, 12:10:44 PM</t>
  </si>
  <si>
    <t>JOYCE M.</t>
  </si>
  <si>
    <t>0723250805</t>
  </si>
  <si>
    <t>Centric courts, Thindigwa, Kenya</t>
  </si>
  <si>
    <t>Nov 5, 2025, 12:39:02 PM</t>
  </si>
  <si>
    <t>Nov 4, 2025, 7:57:09 PM</t>
  </si>
  <si>
    <t>NIELS S.</t>
  </si>
  <si>
    <t>Nov 4, 2025, 8:34:34 PM</t>
  </si>
  <si>
    <t>Nov 4, 2025, 7:33:51 PM</t>
  </si>
  <si>
    <t>BBOBBO M.</t>
  </si>
  <si>
    <t>0111713712</t>
  </si>
  <si>
    <t>Nov 4, 2025, 7:50:11 PM</t>
  </si>
  <si>
    <t>Nov 4, 2025, 6:18:05 PM</t>
  </si>
  <si>
    <t>TARU T.</t>
  </si>
  <si>
    <t>0759986828</t>
  </si>
  <si>
    <t>11 Gem Lane, Nairobi, Kenya</t>
  </si>
  <si>
    <t>Nov 4, 2025, 6:47:21 PM</t>
  </si>
  <si>
    <t>Nov 4, 2025, 4:11:38 PM</t>
  </si>
  <si>
    <t>WAMBUA I.</t>
  </si>
  <si>
    <t>0710665629</t>
  </si>
  <si>
    <t>Nov 4, 2025, 4:30:56 PM</t>
  </si>
  <si>
    <t>Nov 4, 2025, 2:59:42 PM</t>
  </si>
  <si>
    <t>MARIA I.</t>
  </si>
  <si>
    <t>0797289956</t>
  </si>
  <si>
    <t>Kings Distinction Residential, Argwings Kodhek Road, Nairobi, Kenya</t>
  </si>
  <si>
    <t>Nov 4, 2025, 3:16:08 PM</t>
  </si>
  <si>
    <t>Nov 4, 2025, 1:42:40 PM</t>
  </si>
  <si>
    <t>JOAN K.</t>
  </si>
  <si>
    <t>0725633099</t>
  </si>
  <si>
    <t>Nov 4, 2025, 2:03:59 PM</t>
  </si>
  <si>
    <t>Nov 4, 2025, 12:44:23 PM</t>
  </si>
  <si>
    <t>HAYLEGEORGEIS O.</t>
  </si>
  <si>
    <t>Nov 4, 2025, 1:05:44 PM</t>
  </si>
  <si>
    <t>Nov 4, 2025, 11:28:15 AM</t>
  </si>
  <si>
    <t>EVANS</t>
  </si>
  <si>
    <t>0745201119</t>
  </si>
  <si>
    <t>Nov 4, 2025, 11:59:02 AM</t>
  </si>
  <si>
    <t>+254717169456</t>
  </si>
  <si>
    <t xml:space="preserve">Douglas  Emerikwa </t>
  </si>
  <si>
    <t>Nov 6, 2025, 9:06:20 PM</t>
  </si>
  <si>
    <t>BOBO</t>
  </si>
  <si>
    <t>0715235205</t>
  </si>
  <si>
    <t>Rose Avenue, Nairobi, Kenya</t>
  </si>
  <si>
    <t>Nov 6, 2025, 9:13:49 PM</t>
  </si>
  <si>
    <t>PICKUPSAUCES760EMERGENCY</t>
  </si>
  <si>
    <t>Nov 6, 2025, 9:03:14 PM</t>
  </si>
  <si>
    <t>Nov 6, 2025, 9:05:53 PM</t>
  </si>
  <si>
    <t>Nov 6, 2025, 8:59:22 PM</t>
  </si>
  <si>
    <t>PANASHE M</t>
  </si>
  <si>
    <t>+277440434630</t>
  </si>
  <si>
    <t>Prime Serviced Residence Westlands, Rhapta Road, Nairobi, Kenya</t>
  </si>
  <si>
    <t>Nov 6, 2025, 9:12:14 PM</t>
  </si>
  <si>
    <t>Nov 6, 2025, 7:17:19 PM</t>
  </si>
  <si>
    <t>OSCAR K</t>
  </si>
  <si>
    <t>0796750375</t>
  </si>
  <si>
    <t>Nov 6, 2025, 7:18:26 PM</t>
  </si>
  <si>
    <t>Nov 6, 2025, 7:09:17 PM</t>
  </si>
  <si>
    <t>ELIZABETH M</t>
  </si>
  <si>
    <t>0722907638</t>
  </si>
  <si>
    <t>Woodlands Grove, Nairobi, Kenya</t>
  </si>
  <si>
    <t>Nov 6, 2025, 7:27:55 PM</t>
  </si>
  <si>
    <t>Nov 6, 2025, 7:05:25 PM</t>
  </si>
  <si>
    <t>DARCY G</t>
  </si>
  <si>
    <t>+015167325457</t>
  </si>
  <si>
    <t>Nov 6, 2025, 7:23:58 PM</t>
  </si>
  <si>
    <t>Nov 6, 2025, 6:00:03 PM</t>
  </si>
  <si>
    <t>INGE P</t>
  </si>
  <si>
    <t>+254110022755</t>
  </si>
  <si>
    <t>411 Ndovu Cresent, Nairobi, Kenya</t>
  </si>
  <si>
    <t>35.0</t>
  </si>
  <si>
    <t>19.4</t>
  </si>
  <si>
    <t>Nov 6, 2025, 6:06:16 PM</t>
  </si>
  <si>
    <t>PICKUPSAUCES76TU</t>
  </si>
  <si>
    <t>Nov 6, 2025, 5:25:32 PM</t>
  </si>
  <si>
    <t>Nov 6, 2025, 5:27:03 PM</t>
  </si>
  <si>
    <t>PICKUPPASTAS15PT</t>
  </si>
  <si>
    <t>Nov 6, 2025, 5:24:38 PM</t>
  </si>
  <si>
    <t>Nov 6, 2025, 5:25:26 PM</t>
  </si>
  <si>
    <t>Nov 6, 2025, 4:01:30 PM</t>
  </si>
  <si>
    <t>ZAARA M</t>
  </si>
  <si>
    <t>+254115054731</t>
  </si>
  <si>
    <t>The West Residence, Limuru Road, Ruaka, Kenya</t>
  </si>
  <si>
    <t>13.8</t>
  </si>
  <si>
    <t>Nov 6, 2025, 4:10:47 PM</t>
  </si>
  <si>
    <t>Nov 6, 2025, 2:34:18 PM</t>
  </si>
  <si>
    <t>CHRIS M</t>
  </si>
  <si>
    <t>0729790530</t>
  </si>
  <si>
    <t>Ridgeways Country Homes, Ridgeways Road, Nairobi, Kenya</t>
  </si>
  <si>
    <t>Nov 6, 2025, 2:58:04 PM</t>
  </si>
  <si>
    <t>Nov 6, 2025, 2:02:43 PM</t>
  </si>
  <si>
    <t>PAMELA O</t>
  </si>
  <si>
    <t>Nov 6, 2025, 2:19:46 PM</t>
  </si>
  <si>
    <t>Nov 6, 2025, 12:55:52 PM</t>
  </si>
  <si>
    <t>CHRISTINE K</t>
  </si>
  <si>
    <t>0722890901</t>
  </si>
  <si>
    <t>Royal Danish Embassy, Runda Drive, Nairobi, Kenya</t>
  </si>
  <si>
    <t>Nov 6, 2025, 1:20:18 PM</t>
  </si>
  <si>
    <t>Nov 6, 2025, 12:11:08 PM</t>
  </si>
  <si>
    <t>CHEN Q</t>
  </si>
  <si>
    <t>0768912451</t>
  </si>
  <si>
    <t>Astra Bay, Kenya</t>
  </si>
  <si>
    <t>Nov 6, 2025, 12:33:23 PM</t>
  </si>
  <si>
    <t>PICKUPTESTFOOD</t>
  </si>
  <si>
    <t>Nov 5, 2025, 8:59:44 PM</t>
  </si>
  <si>
    <t>TEST FOODS</t>
  </si>
  <si>
    <t>Nairobi Street Kitchen, Mpaka Road, Nairobi, Kenya</t>
  </si>
  <si>
    <t>0.1</t>
  </si>
  <si>
    <t>Nov 5, 2025, 9:04:08 PM</t>
  </si>
  <si>
    <t>Nov 5, 2025, 8:57:00 PM</t>
  </si>
  <si>
    <t>NURIA</t>
  </si>
  <si>
    <t>0722282829</t>
  </si>
  <si>
    <t>Diamond Park Phase II, Likoni Road, Nairobi, Kenya</t>
  </si>
  <si>
    <t>Nov 5, 2025, 9:11:33 PM</t>
  </si>
  <si>
    <t>PEPSIPICKUP</t>
  </si>
  <si>
    <t>Nov 5, 2025, 8:55:13 PM</t>
  </si>
  <si>
    <t>PEPSIKOLA</t>
  </si>
  <si>
    <t>Nov 5, 2025, 8:58:51 PM</t>
  </si>
  <si>
    <t>Nov 5, 2025, 7:45:04 PM</t>
  </si>
  <si>
    <t>VICTORIA W</t>
  </si>
  <si>
    <t>0741916255</t>
  </si>
  <si>
    <t>Starla Apartments (Kinoo Duplex ), Rungiri, Kenya</t>
  </si>
  <si>
    <t>14.2</t>
  </si>
  <si>
    <t>Nov 5, 2025, 7:52:43 PM</t>
  </si>
  <si>
    <t>Nov 5, 2025, 6:52:54 PM</t>
  </si>
  <si>
    <t>MUTHONI</t>
  </si>
  <si>
    <t>0724202663</t>
  </si>
  <si>
    <t>Nov 5, 2025, 7:12:42 PM</t>
  </si>
  <si>
    <t>Nov 5, 2025, 6:50:01 PM</t>
  </si>
  <si>
    <t>LUUK B</t>
  </si>
  <si>
    <t>+254112605068</t>
  </si>
  <si>
    <t>Nov 5, 2025, 7:06:33 PM</t>
  </si>
  <si>
    <t>Nov 5, 2025, 6:47:37 PM</t>
  </si>
  <si>
    <t>MUNA</t>
  </si>
  <si>
    <t>0748908499</t>
  </si>
  <si>
    <t>Nov 5, 2025, 7:18:45 PM</t>
  </si>
  <si>
    <t>Nov 5, 2025, 5:55:22 PM</t>
  </si>
  <si>
    <t>veronica o</t>
  </si>
  <si>
    <t>0725699894</t>
  </si>
  <si>
    <t>Loresho Ridge Estate, Loresho Ridge, Nairobi, Kenya</t>
  </si>
  <si>
    <t>Nov 5, 2025, 6:14:11 PM</t>
  </si>
  <si>
    <t>PICKUPmozarrela76</t>
  </si>
  <si>
    <t>Nov 5, 2025, 5:21:33 PM</t>
  </si>
  <si>
    <t>Nov 6, 2025, 5:23:23 PM</t>
  </si>
  <si>
    <t>PICKUP1.</t>
  </si>
  <si>
    <t>Nov 5, 2025, 4:35:49 PM</t>
  </si>
  <si>
    <t>Staff drop-off</t>
  </si>
  <si>
    <t>MAJUNE</t>
  </si>
  <si>
    <t>Village Market, Limuru Road, Nairobi, Kenya</t>
  </si>
  <si>
    <t>Nov 5, 2025, 4:37:32 PM</t>
  </si>
  <si>
    <t>Nov 5, 2025, 4:13:00 PM</t>
  </si>
  <si>
    <t>WALID</t>
  </si>
  <si>
    <t>0742096921</t>
  </si>
  <si>
    <t>Nov 5, 2025, 4:25:45 PM</t>
  </si>
  <si>
    <t>Nov 5, 2025, 2:49:02 PM</t>
  </si>
  <si>
    <t>Mbaga M.</t>
  </si>
  <si>
    <t>0113950748</t>
  </si>
  <si>
    <t>Lower State House Rd, Hostels and SMU offices, State House Road, Nairobi, Kenya</t>
  </si>
  <si>
    <t>Nov 5, 2025, 2:50:46 PM</t>
  </si>
  <si>
    <t>PEANUTSPICKUP</t>
  </si>
  <si>
    <t>Nov 5, 2025, 2:08:43 PM</t>
  </si>
  <si>
    <t>SPICES</t>
  </si>
  <si>
    <t>3rd Parklands Avenue, Nairobi, Kenya</t>
  </si>
  <si>
    <t>Nov 5, 2025, 2:09:57 PM</t>
  </si>
  <si>
    <t>Nov 5, 2025, 12:07:01 PM</t>
  </si>
  <si>
    <t>WAMBUI N</t>
  </si>
  <si>
    <t>0706330474</t>
  </si>
  <si>
    <t>Unyunyuzi House, Lenana Road, Nairobi, Kenya</t>
  </si>
  <si>
    <t>Nov 5, 2025, 12:28:29 PM</t>
  </si>
  <si>
    <t>+2540758172614</t>
  </si>
  <si>
    <t>Douglas Kamau</t>
  </si>
  <si>
    <t>PICKUP,NO.5M,</t>
  </si>
  <si>
    <t>Nov 6, 2025, 9:25:36 PM</t>
  </si>
  <si>
    <t>Nov 6, 2025, 9:27:16 PM</t>
  </si>
  <si>
    <t>Nov 6, 2025, 9:04:51 PM</t>
  </si>
  <si>
    <t>ELLIOT R</t>
  </si>
  <si>
    <t>Gem Forest MGallery Hotel Collection, Limuru Road, Nairobi, Kenya</t>
  </si>
  <si>
    <t>12.8</t>
  </si>
  <si>
    <t>Nov 6, 2025, 9:32:13 PM</t>
  </si>
  <si>
    <t>95a54</t>
  </si>
  <si>
    <t>Nov 6, 2025, 7:14:07 PM</t>
  </si>
  <si>
    <t>WENDY G</t>
  </si>
  <si>
    <t>Pangani Flyover, Pangani, Nairobi, Kenya</t>
  </si>
  <si>
    <t>Nov 6, 2025, 8:12:24 PM</t>
  </si>
  <si>
    <t>Nov 6, 2025, 5:37:50 PM</t>
  </si>
  <si>
    <t>DAVID O.</t>
  </si>
  <si>
    <t>0720908216</t>
  </si>
  <si>
    <t>Forest View Apartments, Nduma., Kenya</t>
  </si>
  <si>
    <t>39.0</t>
  </si>
  <si>
    <t>Nov 6, 2025, 6:02:17 PM</t>
  </si>
  <si>
    <t>Nov 6, 2025, 4:23:24 PM</t>
  </si>
  <si>
    <t>IFRA IBRAHIM</t>
  </si>
  <si>
    <t>0720220826</t>
  </si>
  <si>
    <t>Hinnah Apartments, Nairobi, Kenya</t>
  </si>
  <si>
    <t>Nov 6, 2025, 7:01:31 PM</t>
  </si>
  <si>
    <t>STAFFDROPOFFDONALD6TH</t>
  </si>
  <si>
    <t>Nov 6, 2025, 4:07:25 PM</t>
  </si>
  <si>
    <t>DONALD</t>
  </si>
  <si>
    <t>Nov 6, 2025, 4:11:34 PM</t>
  </si>
  <si>
    <t>Nov 6, 2025, 3:22:10 PM</t>
  </si>
  <si>
    <t>Nov 6, 2025, 3:34:58 PM</t>
  </si>
  <si>
    <t>2d0ee</t>
  </si>
  <si>
    <t>Nov 6, 2025, 2:13:20 PM</t>
  </si>
  <si>
    <t>JANE W.</t>
  </si>
  <si>
    <t>0728343053</t>
  </si>
  <si>
    <t>George Padmore Ridge, George Padmore Road, Nairobi, Kenya</t>
  </si>
  <si>
    <t>1.3</t>
  </si>
  <si>
    <t>Nov 6, 2025, 2:30:00 PM</t>
  </si>
  <si>
    <t>Nov 6, 2025, 1:09:56 PM</t>
  </si>
  <si>
    <t>JUSTUS N</t>
  </si>
  <si>
    <t>0728600233</t>
  </si>
  <si>
    <t>Nairobi Business Park, Nairobi, Kenya</t>
  </si>
  <si>
    <t>Nov 6, 2025, 1:24:25 PM</t>
  </si>
  <si>
    <t>Nov 6, 2025, 12:10:41 PM</t>
  </si>
  <si>
    <t>NAWAL</t>
  </si>
  <si>
    <t>0791920146</t>
  </si>
  <si>
    <t>Pyramid Park, Nairobi, Kenya</t>
  </si>
  <si>
    <t>Nov 6, 2025, 12:31:58 PM</t>
  </si>
  <si>
    <t>Nov 5, 2025, 8:10:16 PM</t>
  </si>
  <si>
    <t>FLORIS T.</t>
  </si>
  <si>
    <t>0791282952</t>
  </si>
  <si>
    <t>14A Bendera Lane, Nairobi, Kenya</t>
  </si>
  <si>
    <t>Nov 5, 2025, 8:28:30 PM</t>
  </si>
  <si>
    <t>Nov 5, 2025, 7:41:48 PM</t>
  </si>
  <si>
    <t>ELLIOT M.</t>
  </si>
  <si>
    <t>Jamesborough Residences, Nairobi, Kenya</t>
  </si>
  <si>
    <t>Nov 5, 2025, 8:31:05 PM</t>
  </si>
  <si>
    <t>Nov 5, 2025, 6:36:57 PM</t>
  </si>
  <si>
    <t>PATIENCE S.</t>
  </si>
  <si>
    <t>0799947458</t>
  </si>
  <si>
    <t>Earthen Road, Rungiri, Kenya</t>
  </si>
  <si>
    <t>17.4</t>
  </si>
  <si>
    <t>Nov 5, 2025, 6:50:34 PM</t>
  </si>
  <si>
    <t>Nov 5, 2025, 6:21:43 PM</t>
  </si>
  <si>
    <t>CERONE B.</t>
  </si>
  <si>
    <t>Nov 5, 2025, 6:51:11 PM</t>
  </si>
  <si>
    <t>Nov 5, 2025, 4:51:51 PM</t>
  </si>
  <si>
    <t>YOME</t>
  </si>
  <si>
    <t>0705301891</t>
  </si>
  <si>
    <t>Avana Residence, Riara Road, Nairobi, Kenya</t>
  </si>
  <si>
    <t>4.9</t>
  </si>
  <si>
    <t>Nov 5, 2025, 5:26:46 PM</t>
  </si>
  <si>
    <t>PICKUP,DISPUTCH.,sugar.</t>
  </si>
  <si>
    <t>Nov 5, 2025, 3:46:50 PM</t>
  </si>
  <si>
    <t>Nov 5, 2025, 3:48:09 PM</t>
  </si>
  <si>
    <t>Nov 5, 2025, 2:28:07 PM</t>
  </si>
  <si>
    <t>JANET AIKA M.</t>
  </si>
  <si>
    <t>0723756230</t>
  </si>
  <si>
    <t>Siaya Place, Siaya Road, Nairobi, Kenya</t>
  </si>
  <si>
    <t>Nov 5, 2025, 2:47:20 PM</t>
  </si>
  <si>
    <t>Nov 5, 2025, 12:37:53 PM</t>
  </si>
  <si>
    <t>JULIE C.</t>
  </si>
  <si>
    <t>0794254192</t>
  </si>
  <si>
    <t>Nov 5, 2025, 1:09:02 PM</t>
  </si>
  <si>
    <t>Nov 4, 2025, 9:25:52 PM</t>
  </si>
  <si>
    <t>HANNY A.</t>
  </si>
  <si>
    <t>0748894264</t>
  </si>
  <si>
    <t>Kalsan Estate, Likoni Road, Nairobi, Kenya</t>
  </si>
  <si>
    <t>Nov 4, 2025, 9:44:05 PM</t>
  </si>
  <si>
    <t>Nov 4, 2025, 9:02:41 PM</t>
  </si>
  <si>
    <t>ALPHADAVID</t>
  </si>
  <si>
    <t>Hyatt House Nairobi Westlands, Lower Kabete Road, Nairobi, Kenya</t>
  </si>
  <si>
    <t>Nov 4, 2025, 9:32:02 PM</t>
  </si>
  <si>
    <t>Nov 4, 2025, 8:13:23 PM</t>
  </si>
  <si>
    <t>RYGEL L.</t>
  </si>
  <si>
    <t>Oak Classic Residency, George Padmore Road, Nairobi, Kenya</t>
  </si>
  <si>
    <t>Nov 4, 2025, 8:42:26 PM</t>
  </si>
  <si>
    <t>Nov 4, 2025, 7:42:00 PM</t>
  </si>
  <si>
    <t>Njeri M</t>
  </si>
  <si>
    <t>+254720517386</t>
  </si>
  <si>
    <t>36 40 Forest Ln, Nairobi, Kenya</t>
  </si>
  <si>
    <t>Nov 4, 2025, 7:45:19 PM</t>
  </si>
  <si>
    <t>Nov 4, 2025, 5:41:32 PM</t>
  </si>
  <si>
    <t>TOM M.</t>
  </si>
  <si>
    <t>0724523494</t>
  </si>
  <si>
    <t>SMB KARURA VIEW, Githuri Road, Nairobi, Kenya</t>
  </si>
  <si>
    <t>8.2</t>
  </si>
  <si>
    <t>Nov 4, 2025, 5:58:25 PM</t>
  </si>
  <si>
    <t>5:34PICKUP</t>
  </si>
  <si>
    <t>Nov 4, 2025, 5:34:00 PM</t>
  </si>
  <si>
    <t>Nov 4, 2025, 5:34:44 PM</t>
  </si>
  <si>
    <t>Nov 4, 2025, 4:00:20 PM</t>
  </si>
  <si>
    <t>PERIS W.</t>
  </si>
  <si>
    <t>0746530199</t>
  </si>
  <si>
    <t>Eagle Hill Apartments, Ruaka, Kenya</t>
  </si>
  <si>
    <t>14.5</t>
  </si>
  <si>
    <t>Nov 4, 2025, 4:19:49 PM</t>
  </si>
  <si>
    <t>Nov 4, 2025, 1:47:25 PM</t>
  </si>
  <si>
    <t>isabel</t>
  </si>
  <si>
    <t>Riverside Drive, Nairobi, Kenya</t>
  </si>
  <si>
    <t>Nov 4, 2025, 2:09:28 PM</t>
  </si>
  <si>
    <t>1:21PICKUP</t>
  </si>
  <si>
    <t>Nov 4, 2025, 1:21:15 PM</t>
  </si>
  <si>
    <t>Nov 4, 2025, 1:31:26 PM</t>
  </si>
  <si>
    <t>Nov 4, 2025, 12:38:00 PM</t>
  </si>
  <si>
    <t>ANASS R.</t>
  </si>
  <si>
    <t>Nov 4, 2025, 12:51:02 PM</t>
  </si>
  <si>
    <t>+2540700212107</t>
  </si>
  <si>
    <t>Ekasiba Joel</t>
  </si>
  <si>
    <t>Nov 6, 2025, 7:17:57 PM</t>
  </si>
  <si>
    <t>PATRICIAH</t>
  </si>
  <si>
    <t>0710950993</t>
  </si>
  <si>
    <t>Kangundo Road, Nairobi, Kenya</t>
  </si>
  <si>
    <t>Nov 6, 2025, 7:45:16 PM</t>
  </si>
  <si>
    <t>Nov 6, 2025, 6:09:31 PM</t>
  </si>
  <si>
    <t>FIONA H.</t>
  </si>
  <si>
    <t>+447813587321</t>
  </si>
  <si>
    <t>Nov 6, 2025, 6:36:25 PM</t>
  </si>
  <si>
    <t>Nov 6, 2025, 4:33:37 PM</t>
  </si>
  <si>
    <t>GIFT</t>
  </si>
  <si>
    <t>0726583179</t>
  </si>
  <si>
    <t>Gongo Ler apartments, Hatheru Road, Nairobi, Kenya</t>
  </si>
  <si>
    <t>Nov 6, 2025, 5:03:27 PM</t>
  </si>
  <si>
    <t>Nov 6, 2025, 3:26:54 PM</t>
  </si>
  <si>
    <t>RUSH O.</t>
  </si>
  <si>
    <t>0799621476</t>
  </si>
  <si>
    <t>Nov 6, 2025, 3:42:38 PM</t>
  </si>
  <si>
    <t>Nov 6, 2025, 1:40:51 PM</t>
  </si>
  <si>
    <t>MARK</t>
  </si>
  <si>
    <t>0723721952</t>
  </si>
  <si>
    <t>Flamingo Towers, Mara Road, Nairobi, Kenya</t>
  </si>
  <si>
    <t>Nov 6, 2025, 2:06:12 PM</t>
  </si>
  <si>
    <t>Nov 6, 2025, 1:18:00 PM</t>
  </si>
  <si>
    <t>Michelle Gatheca</t>
  </si>
  <si>
    <t>+254719269960</t>
  </si>
  <si>
    <t>P. O. Box 46302 Processional Wy, Nairobi, Kenya, Serena hotel</t>
  </si>
  <si>
    <t>Nov 6, 2025, 1:26:28 PM</t>
  </si>
  <si>
    <t>Nov 6, 2025, 12:13:05 PM</t>
  </si>
  <si>
    <t>VIOLA K</t>
  </si>
  <si>
    <t>0727632671</t>
  </si>
  <si>
    <t>Hekima Gardens, Ndemi Lane, Nairobi, Kenya</t>
  </si>
  <si>
    <t>Nov 6, 2025, 12:29:09 PM</t>
  </si>
  <si>
    <t>Nov 6, 2025, 10:48:42 AM</t>
  </si>
  <si>
    <t>DEBRA</t>
  </si>
  <si>
    <t>0722656989</t>
  </si>
  <si>
    <t>Tropical Gardens, Nairobi, Kenya</t>
  </si>
  <si>
    <t>Nov 6, 2025, 11:05:57 AM</t>
  </si>
  <si>
    <t>Nov 5, 2025, 8:15:03 PM</t>
  </si>
  <si>
    <t>KHALIL A.</t>
  </si>
  <si>
    <t>0719829727</t>
  </si>
  <si>
    <t>Kenya, Nairobi, Othaya Road, Golden Century I</t>
  </si>
  <si>
    <t>Nov 5, 2025, 8:43:53 PM</t>
  </si>
  <si>
    <t>Nov 5, 2025, 7:29:18 PM</t>
  </si>
  <si>
    <t>SAMANTHA H.</t>
  </si>
  <si>
    <t>0757070680</t>
  </si>
  <si>
    <t>Grand Premier Apartments lavington, Argwings Kodhek Road, Nairobi, Kenya</t>
  </si>
  <si>
    <t>Nov 5, 2025, 7:54:36 PM</t>
  </si>
  <si>
    <t>Nov 5, 2025, 7:27:18 PM</t>
  </si>
  <si>
    <t>CLARE H.</t>
  </si>
  <si>
    <t>0790599820</t>
  </si>
  <si>
    <t>Lana Plaza, Oloitoktok Road, Nairobi, Kenya</t>
  </si>
  <si>
    <t>Nov 5, 2025, 8:18:01 PM</t>
  </si>
  <si>
    <t>Nov 5, 2025, 7:13:42 PM</t>
  </si>
  <si>
    <t>JEMIMAH N.</t>
  </si>
  <si>
    <t>0104515342</t>
  </si>
  <si>
    <t>360 Kilimani Road, Nairobi, Kenya</t>
  </si>
  <si>
    <t>Nov 5, 2025, 7:25:59 PM</t>
  </si>
  <si>
    <t>Nov 5, 2025, 6:55:46 PM</t>
  </si>
  <si>
    <t>EDWIN M.</t>
  </si>
  <si>
    <t>0724715339</t>
  </si>
  <si>
    <t>Karue Court, Menelik Road, Nairobi, Kenya</t>
  </si>
  <si>
    <t>Nov 5, 2025, 7:25:18 PM</t>
  </si>
  <si>
    <t>Nov 5, 2025, 6:26:09 PM</t>
  </si>
  <si>
    <t>CLARA</t>
  </si>
  <si>
    <t>0745064744</t>
  </si>
  <si>
    <t>Sandalwood Clyde Gardens, Gitanga Road, Nairobi, Kenya</t>
  </si>
  <si>
    <t>Nov 5, 2025, 6:47:11 PM</t>
  </si>
  <si>
    <t>Nov 5, 2025, 5:35:46 PM</t>
  </si>
  <si>
    <t>SHINNOSUKE K.</t>
  </si>
  <si>
    <t>0719316450</t>
  </si>
  <si>
    <t>Northcote Apartments, Argwings Kodhek Road, Nairobi, Kenya</t>
  </si>
  <si>
    <t>Nov 5, 2025, 6:24:42 PM</t>
  </si>
  <si>
    <t>Nov 5, 2025, 4:48:02 PM</t>
  </si>
  <si>
    <t>GUEST</t>
  </si>
  <si>
    <t>Sandalwood Apartments, Lenana Road, Nairobi, Kenya</t>
  </si>
  <si>
    <t>Nov 5, 2025, 5:04:38 PM</t>
  </si>
  <si>
    <t>Nov 5, 2025, 2:03:44 PM</t>
  </si>
  <si>
    <t>RITANKAR R.</t>
  </si>
  <si>
    <t>33 Rose Avenue, Nairobi, Kenya</t>
  </si>
  <si>
    <t>Nov 5, 2025, 2:20:35 PM</t>
  </si>
  <si>
    <t>Nov 5, 2025, 12:34:49 PM</t>
  </si>
  <si>
    <t>CRAIG G.</t>
  </si>
  <si>
    <t>Filmaid Kenya, Nairobi, Kenya</t>
  </si>
  <si>
    <t>Nov 5, 2025, 1:02:45 PM</t>
  </si>
  <si>
    <t>Nov 5, 2025, 11:47:47 AM</t>
  </si>
  <si>
    <t>Nov 5, 2025, 11:59:28 AM</t>
  </si>
  <si>
    <t>Nov 4, 2025, 9:07:54 PM</t>
  </si>
  <si>
    <t>0712459174</t>
  </si>
  <si>
    <t>Nantie Gardens, Hendred Avenue, Nairobi, Kenya</t>
  </si>
  <si>
    <t>Nov 4, 2025, 9:34:45 PM</t>
  </si>
  <si>
    <t>Nov 4, 2025, 8:11:41 PM</t>
  </si>
  <si>
    <t>AGNETTA K.</t>
  </si>
  <si>
    <t>0748577024</t>
  </si>
  <si>
    <t>Nov 4, 2025, 8:36:25 PM</t>
  </si>
  <si>
    <t>Nov 4, 2025, 7:40:12 PM</t>
  </si>
  <si>
    <t>ASHA A.</t>
  </si>
  <si>
    <t>0769679780</t>
  </si>
  <si>
    <t>The Nairobi Hospital, Argwings Kodhek Road, Nairobi, Kenya</t>
  </si>
  <si>
    <t>Nov 4, 2025, 7:57:47 PM</t>
  </si>
  <si>
    <t>Nov 4, 2025, 6:30:00 PM</t>
  </si>
  <si>
    <t>Nicole</t>
  </si>
  <si>
    <t>+254732996303</t>
  </si>
  <si>
    <t>Kirichwa Rd, Nairobi, Kenya, The soho serviced apartments</t>
  </si>
  <si>
    <t>Nov 4, 2025, 6:34:42 PM</t>
  </si>
  <si>
    <t>Nov 4, 2025, 6:28:38 PM</t>
  </si>
  <si>
    <t>WINNIE N.</t>
  </si>
  <si>
    <t>0796181532</t>
  </si>
  <si>
    <t>Bazaar Plaza, Moi Avenue, Nairobi, Kenya</t>
  </si>
  <si>
    <t>Nov 4, 2025, 6:49:55 PM</t>
  </si>
  <si>
    <t>Nov 4, 2025, 5:34:05 PM</t>
  </si>
  <si>
    <t>NYAMS N.</t>
  </si>
  <si>
    <t>0794407408</t>
  </si>
  <si>
    <t>Johari VILLAGE, Ndoto Road, Nairobi, Kenya</t>
  </si>
  <si>
    <t>Nov 4, 2025, 5:39:49 PM</t>
  </si>
  <si>
    <t>Nov 4, 2025, 4:00:19 PM</t>
  </si>
  <si>
    <t>NICOLE N.</t>
  </si>
  <si>
    <t>0701390612</t>
  </si>
  <si>
    <t>Wonder Properties Kenya, Argwings Kodhek Road, Nairobi, Kenya</t>
  </si>
  <si>
    <t>Nov 4, 2025, 4:22:35 PM</t>
  </si>
  <si>
    <t>DISPATCHCONTAINERS4TH</t>
  </si>
  <si>
    <t>Nov 4, 2025, 3:27:50 PM</t>
  </si>
  <si>
    <t>Nov 4, 2025, 3:28:29 PM</t>
  </si>
  <si>
    <t>Nov 4, 2025, 2:30:45 PM</t>
  </si>
  <si>
    <t>HILARY N.</t>
  </si>
  <si>
    <t>0743283789</t>
  </si>
  <si>
    <t>African Guarantee Fund, Africa House, Muthangari Road, Nairobi, Kenya</t>
  </si>
  <si>
    <t>Nov 4, 2025, 2:44:07 PM</t>
  </si>
  <si>
    <t>Nov 4, 2025, 1:20:52 PM</t>
  </si>
  <si>
    <t>JASON W.</t>
  </si>
  <si>
    <t>0700090954</t>
  </si>
  <si>
    <t>Mugumo Court Apartments, Nairobi, Kenya</t>
  </si>
  <si>
    <t>Nov 4, 2025, 1:32:43 PM</t>
  </si>
  <si>
    <t>Nov 4, 2025, 11:59:08 AM</t>
  </si>
  <si>
    <t>KRISTINE M.</t>
  </si>
  <si>
    <t>0712665174</t>
  </si>
  <si>
    <t>Saachi Plaza, Nairobi, Kenya</t>
  </si>
  <si>
    <t>Nov 4, 2025, 12:21:59 PM</t>
  </si>
  <si>
    <t>Nov 4, 2025, 11:25:00 AM</t>
  </si>
  <si>
    <t>SHARON</t>
  </si>
  <si>
    <t>0742038741</t>
  </si>
  <si>
    <t>Nov 4, 2025, 11:47:19 AM</t>
  </si>
  <si>
    <t>+254792826325</t>
  </si>
  <si>
    <t>Elias kogo</t>
  </si>
  <si>
    <t>Nov 5, 2025, 6:57:45 PM</t>
  </si>
  <si>
    <t>ABABACAR</t>
  </si>
  <si>
    <t>Nov 5, 2025, 7:30:58 PM</t>
  </si>
  <si>
    <t>Nov 5, 2025, 6:28:29 PM</t>
  </si>
  <si>
    <t>LUKE W</t>
  </si>
  <si>
    <t>0769539969</t>
  </si>
  <si>
    <t>Ineza Runda - Gate A, Kiambu Road, Kenya</t>
  </si>
  <si>
    <t>7.7</t>
  </si>
  <si>
    <t>Nov 5, 2025, 6:45:47 PM</t>
  </si>
  <si>
    <t>Nov 4, 2025, 6:58:43 PM</t>
  </si>
  <si>
    <t>HAVAS A</t>
  </si>
  <si>
    <t>0759247324</t>
  </si>
  <si>
    <t>The Colosseum Residences, City Park Drive, Nairobi, Kenya</t>
  </si>
  <si>
    <t>6.6</t>
  </si>
  <si>
    <t>Nov 4, 2025, 7:33:20 PM</t>
  </si>
  <si>
    <t>Nov 4, 2025, 5:36:36 PM</t>
  </si>
  <si>
    <t>RYAN C</t>
  </si>
  <si>
    <t>Daisy Court 4 - Fourways Junction, Nairobi, Kenya</t>
  </si>
  <si>
    <t>8.7</t>
  </si>
  <si>
    <t>Nov 4, 2025, 6:02:48 PM</t>
  </si>
  <si>
    <t>+254796233258</t>
  </si>
  <si>
    <t>Elton  Majina</t>
  </si>
  <si>
    <t>PICKUP,PICKUP.</t>
  </si>
  <si>
    <t>Nov 6, 2025, 9:27:40 PM</t>
  </si>
  <si>
    <t>Nov 6, 2025, 9:29:32 PM</t>
  </si>
  <si>
    <t>Nov 6, 2025, 9:22:10 PM</t>
  </si>
  <si>
    <t>ASHLEY L.</t>
  </si>
  <si>
    <t>0723661127</t>
  </si>
  <si>
    <t>Bellita court, Elgeyo Road, Nairobi, Kenya</t>
  </si>
  <si>
    <t>Nov 6, 2025, 9:38:11 PM</t>
  </si>
  <si>
    <t>Nov 6, 2025, 8:05:50 PM</t>
  </si>
  <si>
    <t>ROBYN W.</t>
  </si>
  <si>
    <t>0713463948</t>
  </si>
  <si>
    <t>Park Garden Estate-Club House, Nairobi City, Kenya</t>
  </si>
  <si>
    <t>5.6</t>
  </si>
  <si>
    <t>Nov 6, 2025, 8:30:04 PM</t>
  </si>
  <si>
    <t>Nov 6, 2025, 8:03:43 PM</t>
  </si>
  <si>
    <t>PAUL M.</t>
  </si>
  <si>
    <t>0711328767</t>
  </si>
  <si>
    <t>Nov 6, 2025, 8:26:55 PM</t>
  </si>
  <si>
    <t>Nov 6, 2025, 7:22:28 PM</t>
  </si>
  <si>
    <t>JANE</t>
  </si>
  <si>
    <t>0702411770</t>
  </si>
  <si>
    <t>Mideya Garden Apartments, Riara Lane, Nairobi, Kenya</t>
  </si>
  <si>
    <t>Nov 6, 2025, 7:58:22 PM</t>
  </si>
  <si>
    <t>Nov 6, 2025, 5:42:39 PM</t>
  </si>
  <si>
    <t>HAYRANI C.</t>
  </si>
  <si>
    <t>+971509029514</t>
  </si>
  <si>
    <t>Hilton Garden Inn Nairobi Airport, Jomo Kenyatta International Airport, Mombasa Road, Nairobi, Kenya</t>
  </si>
  <si>
    <t>Nov 6, 2025, 6:19:13 PM</t>
  </si>
  <si>
    <t>BLENDERPICKUP</t>
  </si>
  <si>
    <t>Nov 6, 2025, 4:20:58 PM</t>
  </si>
  <si>
    <t>Nov 6, 2025, 4:21:32 PM</t>
  </si>
  <si>
    <t>PICKUP,SOURCES,MAJINA.</t>
  </si>
  <si>
    <t>Nov 6, 2025, 2:42:09 PM</t>
  </si>
  <si>
    <t>Nov 6, 2025, 2:43:05 PM</t>
  </si>
  <si>
    <t>PICKUP,ALEX.</t>
  </si>
  <si>
    <t>Nov 6, 2025, 1:52:56 PM</t>
  </si>
  <si>
    <t>Nov 6, 2025, 2:00:06 PM</t>
  </si>
  <si>
    <t>Nov 6, 2025, 1:22:33 PM</t>
  </si>
  <si>
    <t>ELAINE</t>
  </si>
  <si>
    <t>0719729166</t>
  </si>
  <si>
    <t>Mint Shack, Komo Lane, Nairobi, Kenya</t>
  </si>
  <si>
    <t>Nov 6, 2025, 1:39:55 PM</t>
  </si>
  <si>
    <t>Nov 6, 2025, 12:35:34 PM</t>
  </si>
  <si>
    <t>0711757908</t>
  </si>
  <si>
    <t>Alina Harbour Apartments, Argwings Kodhek Road, Nairobi, Kenya</t>
  </si>
  <si>
    <t>Nov 6, 2025, 12:58:41 PM</t>
  </si>
  <si>
    <t>PICKUP,EGGS,M,</t>
  </si>
  <si>
    <t>Nov 5, 2025, 9:23:54 PM</t>
  </si>
  <si>
    <t>Nov 5, 2025, 9:25:12 PM</t>
  </si>
  <si>
    <t>Nov 5, 2025, 9:16:36 PM</t>
  </si>
  <si>
    <t>MICHELLE M.</t>
  </si>
  <si>
    <t>0112737959</t>
  </si>
  <si>
    <t>Redwood Suites, USIU Road, Nairobi, Kenya</t>
  </si>
  <si>
    <t>15.4</t>
  </si>
  <si>
    <t>Nov 5, 2025, 9:25:53 PM</t>
  </si>
  <si>
    <t>Nov 5, 2025, 7:44:19 PM</t>
  </si>
  <si>
    <t>FREDA D.</t>
  </si>
  <si>
    <t>Emara Ole-Sereni, Nairobi, Kenya</t>
  </si>
  <si>
    <t>Nov 5, 2025, 8:09:47 PM</t>
  </si>
  <si>
    <t>Nov 5, 2025, 7:40:20 PM</t>
  </si>
  <si>
    <t>JAN P.</t>
  </si>
  <si>
    <t>0713069181</t>
  </si>
  <si>
    <t>Swiss Lenana Mount Hotel, Ralph Bunche Road, Nairobi, Kenya</t>
  </si>
  <si>
    <t>Nov 5, 2025, 6:19:01 PM</t>
  </si>
  <si>
    <t>+254702962900</t>
  </si>
  <si>
    <t>Chady road, Syokimau, Sunpark residence</t>
  </si>
  <si>
    <t>20.1</t>
  </si>
  <si>
    <t>Nov 5, 2025, 6:23:50 PM</t>
  </si>
  <si>
    <t>Nov 5, 2025, 5:31:06 PM</t>
  </si>
  <si>
    <t>MARK N.</t>
  </si>
  <si>
    <t>Somerset Westview Nairobi, Nyangumi Road, Nairobi, Kenya</t>
  </si>
  <si>
    <t>Nov 5, 2025, 5:40:54 PM</t>
  </si>
  <si>
    <t>Nov 5, 2025, 4:01:02 PM</t>
  </si>
  <si>
    <t>KEVIN K.</t>
  </si>
  <si>
    <t>0723676670</t>
  </si>
  <si>
    <t>Ngong Road Apartments, Ngong Road, Nairobi, Kenya</t>
  </si>
  <si>
    <t>Nov 5, 2025, 4:19:55 PM</t>
  </si>
  <si>
    <t>Nov 5, 2025, 2:48:29 PM</t>
  </si>
  <si>
    <t>FAN F.</t>
  </si>
  <si>
    <t>0719735570</t>
  </si>
  <si>
    <t>Purple Haze by AirCasa, Nairobi, Kenya</t>
  </si>
  <si>
    <t>Nov 5, 2025, 3:01:27 PM</t>
  </si>
  <si>
    <t>Nov 5, 2025, 1:36:21 PM</t>
  </si>
  <si>
    <t>JANET W.</t>
  </si>
  <si>
    <t>0796191653</t>
  </si>
  <si>
    <t>Gatina police post, Nairobi, Kenya</t>
  </si>
  <si>
    <t>Nov 5, 2025, 1:56:22 PM</t>
  </si>
  <si>
    <t>Nov 5, 2025, 12:47:11 PM</t>
  </si>
  <si>
    <t>NICLAS G.</t>
  </si>
  <si>
    <t>0758960981</t>
  </si>
  <si>
    <t>20 Kibagare Way, Nairobi, Kenya</t>
  </si>
  <si>
    <t>12.2</t>
  </si>
  <si>
    <t>Nov 5, 2025, 1:01:42 PM</t>
  </si>
  <si>
    <t>Nov 4, 2025, 9:45:11 PM</t>
  </si>
  <si>
    <t>KALEB Y.</t>
  </si>
  <si>
    <t>0795772886</t>
  </si>
  <si>
    <t>Keri Road, Nairobi, Kenya</t>
  </si>
  <si>
    <t>Nov 4, 2025, 9:46:07 PM</t>
  </si>
  <si>
    <t>Nov 4, 2025, 9:22:23 PM</t>
  </si>
  <si>
    <t>Nov 4, 2025, 9:23:43 PM</t>
  </si>
  <si>
    <t>Nov 4, 2025, 8:36:32 PM</t>
  </si>
  <si>
    <t>KAREN K.</t>
  </si>
  <si>
    <t>0708000216</t>
  </si>
  <si>
    <t>Deep Apartments, Marcus Garvey Road, Nairobi, Kenya</t>
  </si>
  <si>
    <t>Nov 4, 2025, 8:52:18 PM</t>
  </si>
  <si>
    <t>Nov 4, 2025, 8:01:08 PM</t>
  </si>
  <si>
    <t>ESTHER K.</t>
  </si>
  <si>
    <t>0725649411</t>
  </si>
  <si>
    <t>Kenya, Nairobi, Wood Avenue, Golden Mango Heights Apartment</t>
  </si>
  <si>
    <t>Nov 4, 2025, 8:31:46 PM</t>
  </si>
  <si>
    <t>Nov 4, 2025, 7:34:08 PM</t>
  </si>
  <si>
    <t>ERICA T.</t>
  </si>
  <si>
    <t>Zarafa Suites, Ring Road Kilimani, Nairobi, Kenya</t>
  </si>
  <si>
    <t>Nov 4, 2025, 8:03:00 PM</t>
  </si>
  <si>
    <t>Nov 4, 2025, 7:08:20 PM</t>
  </si>
  <si>
    <t>Nov 4, 2025, 7:38:42 PM</t>
  </si>
  <si>
    <t>Nov 4, 2025, 5:25:36 PM</t>
  </si>
  <si>
    <t>YU P.</t>
  </si>
  <si>
    <t>0116213883</t>
  </si>
  <si>
    <t>Kenya, Nairobi, Chania Avenue, Brickford Heights</t>
  </si>
  <si>
    <t>Nov 4, 2025, 5:38:03 PM</t>
  </si>
  <si>
    <t>Nov 4, 2025, 3:11:30 PM</t>
  </si>
  <si>
    <t>JANETTE W.</t>
  </si>
  <si>
    <t>0722793211</t>
  </si>
  <si>
    <t>ACK Garden Annex, 1St Ngong Avenue, Nairobi, Kenya</t>
  </si>
  <si>
    <t>Nov 4, 2025, 3:25:18 PM</t>
  </si>
  <si>
    <t>Nov 4, 2025, 2:12:36 PM</t>
  </si>
  <si>
    <t>MARLAINA R.</t>
  </si>
  <si>
    <t>0113516306</t>
  </si>
  <si>
    <t>One Acre Fund Nairobi, Nairobi, Kenya</t>
  </si>
  <si>
    <t>Nov 4, 2025, 2:31:45 PM</t>
  </si>
  <si>
    <t>Nov 4, 2025, 1:15:24 PM</t>
  </si>
  <si>
    <t>NICK M.</t>
  </si>
  <si>
    <t>0722522493</t>
  </si>
  <si>
    <t>Maku villas apartments, Makueni Road, Nairobi, Kenya</t>
  </si>
  <si>
    <t>Nov 4, 2025, 1:52:24 PM</t>
  </si>
  <si>
    <t>Nov 4, 2025, 12:09:12 PM</t>
  </si>
  <si>
    <t>GEERT</t>
  </si>
  <si>
    <t>0712602783</t>
  </si>
  <si>
    <t>Sierra Premium Brewery, Ozzbeco Kenya Ltd Bldg, Mombasa Road, Nairobi, Kenya</t>
  </si>
  <si>
    <t>Nov 4, 2025, 12:30:03 PM</t>
  </si>
  <si>
    <t>+254710111938</t>
  </si>
  <si>
    <t xml:space="preserve">Erick  Makanda </t>
  </si>
  <si>
    <t>Nov 6, 2025, 10:23:58 AM</t>
  </si>
  <si>
    <t>OLU M</t>
  </si>
  <si>
    <t>Nov 6, 2025, 10:25:45 AM</t>
  </si>
  <si>
    <t>Nov 5, 2025, 8:48:48 PM</t>
  </si>
  <si>
    <t>TARIQ H</t>
  </si>
  <si>
    <t>Hyatt Place Nairobi Westlands, c/o Kanha Limited, Lower Kabete Road, Nairobi, Kenya</t>
  </si>
  <si>
    <t>Nov 5, 2025, 8:50:04 PM</t>
  </si>
  <si>
    <t>Nov 5, 2025, 8:47:55 PM</t>
  </si>
  <si>
    <t>Rivulet Residences, Mbono Road, Nairobi, Kenya</t>
  </si>
  <si>
    <t>Nov 5, 2025, 8:05:31 PM</t>
  </si>
  <si>
    <t>Nov 5, 2025, 6:15:54 PM</t>
  </si>
  <si>
    <t>FLORA F</t>
  </si>
  <si>
    <t>0790942883</t>
  </si>
  <si>
    <t>USIU University, Thika Road, Nairobi, Kenya</t>
  </si>
  <si>
    <t>Nov 5, 2025, 6:36:16 PM</t>
  </si>
  <si>
    <t>Nov 5, 2025, 1:29:11 PM</t>
  </si>
  <si>
    <t>BAPTISTE R</t>
  </si>
  <si>
    <t>+336491896940</t>
  </si>
  <si>
    <t>Crowne Plaza Nairobi Airport by IHG, Jomo Kenyatta International Airport, First Freight Lane, Nairobi, Kenya</t>
  </si>
  <si>
    <t>19.9</t>
  </si>
  <si>
    <t>Nov 5, 2025, 1:43:40 PM</t>
  </si>
  <si>
    <t>Nov 5, 2025, 12:35:00 PM</t>
  </si>
  <si>
    <t>Osagie</t>
  </si>
  <si>
    <t>0114741840</t>
  </si>
  <si>
    <t>THE TANGELO RESIDENCY, Kibichiku, Kenya</t>
  </si>
  <si>
    <t>12.6</t>
  </si>
  <si>
    <t>Nov 5, 2025, 12:51:49 PM</t>
  </si>
  <si>
    <t>Nov 5, 2025, 11:37:00 AM</t>
  </si>
  <si>
    <t>Michelle</t>
  </si>
  <si>
    <t>0703231643</t>
  </si>
  <si>
    <t>Africa Re Centre, Nairobi, Kenya</t>
  </si>
  <si>
    <t>Nov 5, 2025, 11:53:45 AM</t>
  </si>
  <si>
    <t>Nov 5, 2025, 9:38:47 AM</t>
  </si>
  <si>
    <t>Josephine M. (apt.B503)</t>
  </si>
  <si>
    <t>0113819904</t>
  </si>
  <si>
    <t>Mideya Garden Apartments, Riara Ln, Nairobi, Kenya</t>
  </si>
  <si>
    <t>Nov 5, 2025, 9:46:20 AM</t>
  </si>
  <si>
    <t>Nov 5, 2025, 8:09:00 AM</t>
  </si>
  <si>
    <t>victoria</t>
  </si>
  <si>
    <t>0713350875</t>
  </si>
  <si>
    <t>Good Boys Club, Rhapta Road, Nairobi, Kenya</t>
  </si>
  <si>
    <t>Nov 5, 2025, 8:45:54 AM</t>
  </si>
  <si>
    <t>Nov 4, 2025, 9:02:57 PM</t>
  </si>
  <si>
    <t>ADAM S.</t>
  </si>
  <si>
    <t>0707717717</t>
  </si>
  <si>
    <t>RiversideSquareApartmentsUpperEast, Riverside Gardens, Nairobi, Kenya</t>
  </si>
  <si>
    <t>Nov 4, 2025, 9:24:02 PM</t>
  </si>
  <si>
    <t>Nov 4, 2025, 6:45:53 PM</t>
  </si>
  <si>
    <t>Shauna R.</t>
  </si>
  <si>
    <t>ILRI Rd., Nairobi, Kenya</t>
  </si>
  <si>
    <t>Nov 4, 2025, 7:33:36 PM</t>
  </si>
  <si>
    <t>Nov 4, 2025, 6:38:36 PM</t>
  </si>
  <si>
    <t>Ryota N.</t>
  </si>
  <si>
    <t>0745817535</t>
  </si>
  <si>
    <t>Nov 4, 2025, 7:32:48 PM</t>
  </si>
  <si>
    <t>Nov 4, 2025, 5:35:27 PM</t>
  </si>
  <si>
    <t>KOLBE</t>
  </si>
  <si>
    <t>0725410697</t>
  </si>
  <si>
    <t>Esanto Hostel, Nairobi, Kenya</t>
  </si>
  <si>
    <t>Nov 4, 2025, 5:58:11 PM</t>
  </si>
  <si>
    <t>Nov 4, 2025, 4:15:00 PM</t>
  </si>
  <si>
    <t>PHIL C</t>
  </si>
  <si>
    <t>0723161261</t>
  </si>
  <si>
    <t>Exeter Heights, Muguga Green, Nairobi, Kenya</t>
  </si>
  <si>
    <t>6.2</t>
  </si>
  <si>
    <t>Nov 4, 2025, 5:10:43 PM</t>
  </si>
  <si>
    <t>Nov 4, 2025, 3:14:56 PM</t>
  </si>
  <si>
    <t>DENNIS M</t>
  </si>
  <si>
    <t>+254111310064</t>
  </si>
  <si>
    <t>Githurai, Kenya</t>
  </si>
  <si>
    <t>16.8</t>
  </si>
  <si>
    <t>Nov 4, 2025, 3:18:30 PM</t>
  </si>
  <si>
    <t>Nov 4, 2025, 3:02:16 PM</t>
  </si>
  <si>
    <t>CAMILLO</t>
  </si>
  <si>
    <t>0717019401</t>
  </si>
  <si>
    <t>Richmond Court, Kileleshwa, Ring Road, Nairobi, Kenya</t>
  </si>
  <si>
    <t>Nov 4, 2025, 3:11:09 PM</t>
  </si>
  <si>
    <t>Nov 4, 2025, 3:02:00 PM</t>
  </si>
  <si>
    <t>Dennis M</t>
  </si>
  <si>
    <t>0111310064</t>
  </si>
  <si>
    <t>Mwiki Primary School, Githurai, Kenya</t>
  </si>
  <si>
    <t>Nov 4, 2025, 4:47:48 PM</t>
  </si>
  <si>
    <t>Nov 4, 2025, 1:15:02 PM</t>
  </si>
  <si>
    <t>AHLAM A</t>
  </si>
  <si>
    <t>0759329368</t>
  </si>
  <si>
    <t>Elite Regency, East Church Road, Nairobi, Kenya</t>
  </si>
  <si>
    <t>Nov 4, 2025, 1:35:59 PM</t>
  </si>
  <si>
    <t>Nov 4, 2025, 12:39:56 PM</t>
  </si>
  <si>
    <t>Rose</t>
  </si>
  <si>
    <t>+254791571903</t>
  </si>
  <si>
    <t>ILRI</t>
  </si>
  <si>
    <t>Nov 4, 2025, 12:45:28 PM</t>
  </si>
  <si>
    <t>Nov 4, 2025, 11:03:01 AM</t>
  </si>
  <si>
    <t>DESMOND S</t>
  </si>
  <si>
    <t>0713028378</t>
  </si>
  <si>
    <t>Clayworks Towers - Kasarani, Nairobi, Kenya</t>
  </si>
  <si>
    <t>Nov 4, 2025, 11:18:19 AM</t>
  </si>
  <si>
    <t>Nov 4, 2025, 9:50:17 AM</t>
  </si>
  <si>
    <t>TITO</t>
  </si>
  <si>
    <t>0114445232</t>
  </si>
  <si>
    <t>Westlands Office Park, Waiyaki Way, Nairobi, Kenya</t>
  </si>
  <si>
    <t>Nov 4, 2025, 9:51:25 AM</t>
  </si>
  <si>
    <t>Nov 4, 2025, 9:02:22 AM</t>
  </si>
  <si>
    <t>KITAKA</t>
  </si>
  <si>
    <t>0706915674</t>
  </si>
  <si>
    <t>BorderPoint Apartments, Stima Lane, Nairobi, Kenya</t>
  </si>
  <si>
    <t>Nov 4, 2025, 9:03:29 AM</t>
  </si>
  <si>
    <t>+254797139591</t>
  </si>
  <si>
    <t>Filex Ekesa</t>
  </si>
  <si>
    <t>Nov 6, 2025, 7:38:00 PM</t>
  </si>
  <si>
    <t>Zeinab</t>
  </si>
  <si>
    <t>Nov 6, 2025, 8:04:40 PM</t>
  </si>
  <si>
    <t>Nov 6, 2025, 5:55:07 PM</t>
  </si>
  <si>
    <t>BRIAN O</t>
  </si>
  <si>
    <t>0712296217</t>
  </si>
  <si>
    <t>108 Riverside Apartments, Nairobi, Kenya</t>
  </si>
  <si>
    <t>Nov 6, 2025, 6:03:57 PM</t>
  </si>
  <si>
    <t>Nov 6, 2025, 4:29:40 PM</t>
  </si>
  <si>
    <t>SEEMA S</t>
  </si>
  <si>
    <t>JW Marriott Hotel Nairobi, Chiromo Lane, Nairobi, Kenya</t>
  </si>
  <si>
    <t>Nov 6, 2025, 4:59:08 PM</t>
  </si>
  <si>
    <t>Nov 6, 2025, 3:28:00 PM</t>
  </si>
  <si>
    <t>Judy Mutisya</t>
  </si>
  <si>
    <t>+254713572705</t>
  </si>
  <si>
    <t>ATC Kenya, Delta Corner Annex, ring road</t>
  </si>
  <si>
    <t>Nov 6, 2025, 4:09:39 PM</t>
  </si>
  <si>
    <t>Nov 6, 2025, 3:06:22 PM</t>
  </si>
  <si>
    <t>LUV</t>
  </si>
  <si>
    <t>0704274939</t>
  </si>
  <si>
    <t>Nov 6, 2025, 3:21:23 PM</t>
  </si>
  <si>
    <t>Nov 6, 2025, 2:27:39 PM</t>
  </si>
  <si>
    <t>MARIA CLAUDIA A.</t>
  </si>
  <si>
    <t>Nov 6, 2025, 2:45:38 PM</t>
  </si>
  <si>
    <t>Nov 6, 2025, 1:53:16 PM</t>
  </si>
  <si>
    <t>Walid A</t>
  </si>
  <si>
    <t>Nov 6, 2025, 2:09:36 PM</t>
  </si>
  <si>
    <t>Nov 6, 2025, 12:30:27 PM</t>
  </si>
  <si>
    <t>JUNIE N</t>
  </si>
  <si>
    <t>0702849380</t>
  </si>
  <si>
    <t>IOM Somalia Nairobi Office ( UN MIGRATION), Nairobi, Kenya</t>
  </si>
  <si>
    <t>5.4</t>
  </si>
  <si>
    <t>Nov 6, 2025, 12:42:18 PM</t>
  </si>
  <si>
    <t>Nov 6, 2025, 12:03:43 PM</t>
  </si>
  <si>
    <t>Dominique D.</t>
  </si>
  <si>
    <t>0729865115</t>
  </si>
  <si>
    <t>113 Riverside Drive, Nairobi, Kenya</t>
  </si>
  <si>
    <t>Nov 6, 2025, 12:04:56 PM</t>
  </si>
  <si>
    <t>Nov 5, 2025, 8:14:18 PM</t>
  </si>
  <si>
    <t>AHMAD A</t>
  </si>
  <si>
    <t>0701804749</t>
  </si>
  <si>
    <t>MARINA HEIGHTS PARKLANDS, 3rd Parklands Avenue, Nairobi, Kenya</t>
  </si>
  <si>
    <t>Nov 5, 2025, 8:17:48 PM</t>
  </si>
  <si>
    <t>Nov 5, 2025, 7:37:22 PM</t>
  </si>
  <si>
    <t>LIA</t>
  </si>
  <si>
    <t>0743282344</t>
  </si>
  <si>
    <t>Nuriana Luxury Apartments, Lower Kabete Road, Nairobi, Kenya</t>
  </si>
  <si>
    <t>Nov 5, 2025, 7:51:16 PM</t>
  </si>
  <si>
    <t>Nov 5, 2025, 5:36:20 PM</t>
  </si>
  <si>
    <t>SAIDA N</t>
  </si>
  <si>
    <t>0753692246</t>
  </si>
  <si>
    <t>Kaisa Garden, Laikipia Road, Nairobi, Kenya</t>
  </si>
  <si>
    <t>Nov 5, 2025, 6:08:23 PM</t>
  </si>
  <si>
    <t>Nov 5, 2025, 2:19:35 PM</t>
  </si>
  <si>
    <t>ANNE G</t>
  </si>
  <si>
    <t>+452972921900</t>
  </si>
  <si>
    <t>Danish Refugee Council, Lower Kabete Rd, Nairobi, Kenya</t>
  </si>
  <si>
    <t>Nov 5, 2025, 2:42:30 PM</t>
  </si>
  <si>
    <t>Nov 5, 2025, 1:17:59 PM</t>
  </si>
  <si>
    <t>Chania F</t>
  </si>
  <si>
    <t>AAA GROWERS LIMITED, Nairobi, Kenya</t>
  </si>
  <si>
    <t>Nov 5, 2025, 1:30:25 PM</t>
  </si>
  <si>
    <t>Nov 5, 2025, 12:24:18 PM</t>
  </si>
  <si>
    <t>KATALIN</t>
  </si>
  <si>
    <t>0792189942</t>
  </si>
  <si>
    <t>Embassy Of The Republic Of Hungary, North, Kenya</t>
  </si>
  <si>
    <t>Nov 5, 2025, 12:48:57 PM</t>
  </si>
  <si>
    <t>Nov 5, 2025, 12:19:08 PM</t>
  </si>
  <si>
    <t>DENNIS B</t>
  </si>
  <si>
    <t>0701822811</t>
  </si>
  <si>
    <t>Delta Corner Towers, Delta Corner Rd, 7th, Kenya</t>
  </si>
  <si>
    <t>Nov 5, 2025, 12:46:51 PM</t>
  </si>
  <si>
    <t>Nov 5, 2025, 12:07:30 PM</t>
  </si>
  <si>
    <t>LIZZIE</t>
  </si>
  <si>
    <t>0759444546</t>
  </si>
  <si>
    <t>RIVER GARDEN APARTMENTS, Nairobi, Kenya</t>
  </si>
  <si>
    <t>Nov 5, 2025, 12:17:05 PM</t>
  </si>
  <si>
    <t>Nov 5, 2025, 11:54:00 AM</t>
  </si>
  <si>
    <t>Sarah</t>
  </si>
  <si>
    <t>0722230080</t>
  </si>
  <si>
    <t>Netherlands Embassy, Keystone Park, Riverside Drive, Nairobi, Kenya</t>
  </si>
  <si>
    <t>Nov 5, 2025, 12:12:45 PM</t>
  </si>
  <si>
    <t>pick-up-dairy-semolina</t>
  </si>
  <si>
    <t>Nov 5, 2025, 11:48:27 AM</t>
  </si>
  <si>
    <t>purvi</t>
  </si>
  <si>
    <t>The Mall, Westlands, Ring Road Parklands, Nairobi, Kenya</t>
  </si>
  <si>
    <t>Nov 5, 2025, 11:49:21 AM</t>
  </si>
  <si>
    <t>Oct 22, 2025, 8:22:14 PM</t>
  </si>
  <si>
    <t>Nov 5, 2025, 6:04:24 PM</t>
  </si>
  <si>
    <t>+254790795909</t>
  </si>
  <si>
    <t>Francis Kitari</t>
  </si>
  <si>
    <t>Nov 6, 2025, 8:39:13 PM</t>
  </si>
  <si>
    <t>SALMAN S</t>
  </si>
  <si>
    <t>0718836272</t>
  </si>
  <si>
    <t>Nov 6, 2025, 9:24:02 PM</t>
  </si>
  <si>
    <t>Nov 6, 2025, 7:55:46 PM</t>
  </si>
  <si>
    <t>MARK L.</t>
  </si>
  <si>
    <t>0712027771</t>
  </si>
  <si>
    <t>Qwetu | Student Residences | Hurlingham, Argwings Kodhek Close, Nairobi, Kenya</t>
  </si>
  <si>
    <t>Nov 6, 2025, 8:25:39 PM</t>
  </si>
  <si>
    <t>Nov 6, 2025, 7:42:39 PM</t>
  </si>
  <si>
    <t>ADAM V N</t>
  </si>
  <si>
    <t>0790413917</t>
  </si>
  <si>
    <t>Nov 6, 2025, 8:24:55 PM</t>
  </si>
  <si>
    <t>76e52</t>
  </si>
  <si>
    <t>Nov 6, 2025, 7:03:20 PM</t>
  </si>
  <si>
    <t>GRACE K</t>
  </si>
  <si>
    <t>0721146681</t>
  </si>
  <si>
    <t>Delish Adlife, Ring Road Kilimani, Nairobi, Kenya</t>
  </si>
  <si>
    <t>Nov 6, 2025, 7:39:41 PM</t>
  </si>
  <si>
    <t>Nov 6, 2025, 6:32:20 PM</t>
  </si>
  <si>
    <t>BEE N.</t>
  </si>
  <si>
    <t>0721832035</t>
  </si>
  <si>
    <t>Nov 6, 2025, 6:50:59 PM</t>
  </si>
  <si>
    <t>Nov 6, 2025, 4:56:12 PM</t>
  </si>
  <si>
    <t>MICHELLE</t>
  </si>
  <si>
    <t>0746197279</t>
  </si>
  <si>
    <t>Baran Drive, Nairobi, Kenya</t>
  </si>
  <si>
    <t>Nov 6, 2025, 5:13:26 PM</t>
  </si>
  <si>
    <t>Nov 6, 2025, 3:46:46 PM</t>
  </si>
  <si>
    <t>RAMZEY</t>
  </si>
  <si>
    <t>0718366982</t>
  </si>
  <si>
    <t>Nov 6, 2025, 4:03:06 PM</t>
  </si>
  <si>
    <t>Nov 5, 2025, 2:30:00 PM</t>
  </si>
  <si>
    <t>TREVOR R.</t>
  </si>
  <si>
    <t>0706742115</t>
  </si>
  <si>
    <t>Nov 5, 2025, 2:40:50 PM</t>
  </si>
  <si>
    <t>Nov 5, 2025, 1:09:06 PM</t>
  </si>
  <si>
    <t>JOANNE G.</t>
  </si>
  <si>
    <t>0706804187</t>
  </si>
  <si>
    <t>Hekima Close, Nairobi, Kenya</t>
  </si>
  <si>
    <t>Nov 5, 2025, 1:50:17 PM</t>
  </si>
  <si>
    <t>Nov 5, 2025, 1:08:05 PM</t>
  </si>
  <si>
    <t>JESSICA</t>
  </si>
  <si>
    <t>0717396405</t>
  </si>
  <si>
    <t>Kindaruma Homes Apartments, Nairobi, Kenya</t>
  </si>
  <si>
    <t>Nov 5, 2025, 1:21:07 PM</t>
  </si>
  <si>
    <t>Nov 4, 2025, 5:15:18 PM</t>
  </si>
  <si>
    <t>LINDA G.</t>
  </si>
  <si>
    <t>0722689741</t>
  </si>
  <si>
    <t>Kose Heights, Nairobi, Kenya</t>
  </si>
  <si>
    <t>Nov 5, 2025, 12:53:55 PM</t>
  </si>
  <si>
    <t>+254741354374</t>
  </si>
  <si>
    <t>Nov 4, 2025, 2:34:16 PM</t>
  </si>
  <si>
    <t>ABDULLAHI H.</t>
  </si>
  <si>
    <t>0702463255</t>
  </si>
  <si>
    <t>Valley Heights Apartments, Nairobi, Kenya</t>
  </si>
  <si>
    <t>Nov 4, 2025, 2:59:53 PM</t>
  </si>
  <si>
    <t>+254748610056</t>
  </si>
  <si>
    <t xml:space="preserve">Fredrick  Odhiambo </t>
  </si>
  <si>
    <t>Nov 6, 2025, 4:20:24 PM</t>
  </si>
  <si>
    <t>KAL R.</t>
  </si>
  <si>
    <t>Nov 6, 2025, 4:43:18 PM</t>
  </si>
  <si>
    <t>Nov 6, 2025, 1:37:53 PM</t>
  </si>
  <si>
    <t>DIANE M</t>
  </si>
  <si>
    <t>0705910141</t>
  </si>
  <si>
    <t>Loresho Damview, Nairobi, Kenya</t>
  </si>
  <si>
    <t>12.3</t>
  </si>
  <si>
    <t>Nov 6, 2025, 1:54:02 PM</t>
  </si>
  <si>
    <t>Nov 6, 2025, 11:42:19 AM</t>
  </si>
  <si>
    <t>TESS</t>
  </si>
  <si>
    <t>0725511514</t>
  </si>
  <si>
    <t>Kibichiku, Kenya</t>
  </si>
  <si>
    <t>27.0</t>
  </si>
  <si>
    <t>Nov 6, 2025, 12:05:49 PM</t>
  </si>
  <si>
    <t>Nov 5, 2025, 7:00:22 PM</t>
  </si>
  <si>
    <t>CHEYO M.</t>
  </si>
  <si>
    <t>0724940380</t>
  </si>
  <si>
    <t>Grand Landings Apartments, Nairobi, Kenya</t>
  </si>
  <si>
    <t>Nov 5, 2025, 7:18:56 PM</t>
  </si>
  <si>
    <t>Nov 5, 2025, 6:13:33 PM</t>
  </si>
  <si>
    <t>MY INFO</t>
  </si>
  <si>
    <t>Cotton Avenue, Nairobi, Kenya</t>
  </si>
  <si>
    <t>Nov 5, 2025, 6:37:02 PM</t>
  </si>
  <si>
    <t>+2540704660282</t>
  </si>
  <si>
    <t>Fredrick Okasiba</t>
  </si>
  <si>
    <t>PICKUPPASTAS15JK</t>
  </si>
  <si>
    <t>Nov 6, 2025, 9:14:35 PM</t>
  </si>
  <si>
    <t>Nov 6, 2025, 9:15:36 PM</t>
  </si>
  <si>
    <t>Nov 6, 2025, 8:53:00 PM</t>
  </si>
  <si>
    <t>MOIZ</t>
  </si>
  <si>
    <t>0723743125</t>
  </si>
  <si>
    <t>Sakina Apartment, Church Road, Nairobi, Kenya</t>
  </si>
  <si>
    <t>Nov 6, 2025, 9:03:24 PM</t>
  </si>
  <si>
    <t>Nov 6, 2025, 8:09:00 PM</t>
  </si>
  <si>
    <t>Namahanja</t>
  </si>
  <si>
    <t>0723720848</t>
  </si>
  <si>
    <t>Fahari Hill, Kiambere Road, Nairobi, Kenya</t>
  </si>
  <si>
    <t>Nov 6, 2025, 8:18:04 PM</t>
  </si>
  <si>
    <t>Nov 6, 2025, 7:17:36 PM</t>
  </si>
  <si>
    <t>STEPHANE C</t>
  </si>
  <si>
    <t>Cloud Hotel &amp; Suites, Nairobi, Kenya</t>
  </si>
  <si>
    <t>Nov 6, 2025, 7:34:48 PM</t>
  </si>
  <si>
    <t>Nov 6, 2025, 6:24:00 PM</t>
  </si>
  <si>
    <t>Lorraine Kaithia</t>
  </si>
  <si>
    <t>+254724328880</t>
  </si>
  <si>
    <t>Gatundu Cres, Nairobi, Kenya, The Crescent Aparatment C2-4</t>
  </si>
  <si>
    <t>Nov 6, 2025, 6:25:43 PM</t>
  </si>
  <si>
    <t>Nov 6, 2025, 3:40:00 PM</t>
  </si>
  <si>
    <t>Jane G</t>
  </si>
  <si>
    <t>0722527483</t>
  </si>
  <si>
    <t>United Estate, Ole Odume Road, Nairobi, Kenya</t>
  </si>
  <si>
    <t>Nov 6, 2025, 3:57:11 PM</t>
  </si>
  <si>
    <t>Nov 6, 2025, 3:00:14 PM</t>
  </si>
  <si>
    <t>EMMA R</t>
  </si>
  <si>
    <t>0714225420</t>
  </si>
  <si>
    <t>26 Muthithi Road, Nairobi, Kenya</t>
  </si>
  <si>
    <t>Nov 6, 2025, 3:09:07 PM</t>
  </si>
  <si>
    <t>PICKUPLOGBOOB</t>
  </si>
  <si>
    <t>Nov 6, 2025, 12:57:21 PM</t>
  </si>
  <si>
    <t>SOPHIE</t>
  </si>
  <si>
    <t>Nov 6, 2025, 12:59:01 PM</t>
  </si>
  <si>
    <t>Nov 6, 2025, 12:38:57 PM</t>
  </si>
  <si>
    <t>Stacey L.</t>
  </si>
  <si>
    <t>0743878605</t>
  </si>
  <si>
    <t>Likoni Rd, Nairobi, Kenya</t>
  </si>
  <si>
    <t>Nov 6, 2025, 1:20:21 PM</t>
  </si>
  <si>
    <t>Nov 6, 2025, 11:03:21 AM</t>
  </si>
  <si>
    <t>Sonali L.</t>
  </si>
  <si>
    <t>0707318131</t>
  </si>
  <si>
    <t>Trident Grand - Riverside, Riverside Drive, Nairobi, Kenya</t>
  </si>
  <si>
    <t>Nov 6, 2025, 11:05:35 AM</t>
  </si>
  <si>
    <t>Nov 6, 2025, 10:59:47 AM</t>
  </si>
  <si>
    <t>Norah M</t>
  </si>
  <si>
    <t>0791570823</t>
  </si>
  <si>
    <t>The Marquis Apartments, Nyeri Road, Nairobi, Kenya</t>
  </si>
  <si>
    <t>Nov 6, 2025, 11:02:37 AM</t>
  </si>
  <si>
    <t xml:space="preserve"> F5ABD</t>
  </si>
  <si>
    <t>Nov 5, 2025, 8:19:19 PM</t>
  </si>
  <si>
    <t>G V</t>
  </si>
  <si>
    <t>0792385300</t>
  </si>
  <si>
    <t>Nov 5, 2025, 8:20:07 PM</t>
  </si>
  <si>
    <t>Nov 5, 2025, 8:15:26 PM</t>
  </si>
  <si>
    <t>Nov 5, 2025, 6:18:00 PM</t>
  </si>
  <si>
    <t>YVONNE</t>
  </si>
  <si>
    <t>729297322</t>
  </si>
  <si>
    <t>Nov 5, 2025, 6:41:07 PM</t>
  </si>
  <si>
    <t>Nov 5, 2025, 2:55:00 PM</t>
  </si>
  <si>
    <t>0718891888</t>
  </si>
  <si>
    <t>Doehler East Africa Limited, Nairobi, Kenya</t>
  </si>
  <si>
    <t>Nov 5, 2025, 3:31:44 PM</t>
  </si>
  <si>
    <t>Nov 5, 2025, 1:50:00 PM</t>
  </si>
  <si>
    <t>LINDESY</t>
  </si>
  <si>
    <t>0723107571</t>
  </si>
  <si>
    <t>Aberdares Court, Kayahwe Road, Nairobi, Kenya</t>
  </si>
  <si>
    <t>Nov 5, 2025, 3:13:53 PM</t>
  </si>
  <si>
    <t>Nov 5, 2025, 1:48:00 PM</t>
  </si>
  <si>
    <t>BRIAN</t>
  </si>
  <si>
    <t>0714832708</t>
  </si>
  <si>
    <t>Nov 5, 2025, 3:12:58 PM</t>
  </si>
  <si>
    <t>Nov 5, 2025, 12:37:00 PM</t>
  </si>
  <si>
    <t>Nathan</t>
  </si>
  <si>
    <t>0757723185</t>
  </si>
  <si>
    <t>Chestnut Apartments, Kayahwe Road, Nairobi, Kenya</t>
  </si>
  <si>
    <t>Nov 5, 2025, 12:47:50 PM</t>
  </si>
  <si>
    <t>Nov 5, 2025, 11:22:00 AM</t>
  </si>
  <si>
    <t>Olu M</t>
  </si>
  <si>
    <t>Nov 5, 2025, 11:44:41 AM</t>
  </si>
  <si>
    <t>Nov 4, 2025, 7:54:33 PM</t>
  </si>
  <si>
    <t>VARUN</t>
  </si>
  <si>
    <t>0797299998</t>
  </si>
  <si>
    <t>Diplomat Villas, Msanduku, Nairobi, Kenya</t>
  </si>
  <si>
    <t>Nov 4, 2025, 8:16:51 PM</t>
  </si>
  <si>
    <t>Nov 4, 2025, 7:16:17 PM</t>
  </si>
  <si>
    <t>RUWEIDA ALL</t>
  </si>
  <si>
    <t>0757235220</t>
  </si>
  <si>
    <t>Kinshasa road, Desai Road, Nairobi, Kenya</t>
  </si>
  <si>
    <t>Nov 4, 2025, 7:29:54 PM</t>
  </si>
  <si>
    <t>Nov 4, 2025, 5:21:49 PM</t>
  </si>
  <si>
    <t>EDNAH O.</t>
  </si>
  <si>
    <t>0718655394</t>
  </si>
  <si>
    <t>Nov 4, 2025, 5:50:00 PM</t>
  </si>
  <si>
    <t>Nov 4, 2025, 4:07:00 PM</t>
  </si>
  <si>
    <t>Maryama</t>
  </si>
  <si>
    <t>iMAGINE by benaa, Wood Avenue, Nairobi, Kenya</t>
  </si>
  <si>
    <t>Nov 4, 2025, 4:24:47 PM</t>
  </si>
  <si>
    <t>Nov 4, 2025, 2:26:00 PM</t>
  </si>
  <si>
    <t>Wamuyu Gitonga</t>
  </si>
  <si>
    <t>+254728664005</t>
  </si>
  <si>
    <t>Walokana Filling Station, Wangige, Kenya</t>
  </si>
  <si>
    <t>14.8</t>
  </si>
  <si>
    <t>Nov 4, 2025, 4:01:43 PM</t>
  </si>
  <si>
    <t>134611</t>
  </si>
  <si>
    <t>Nov 4, 2025, 1:54:10 PM</t>
  </si>
  <si>
    <t>KAHINA M</t>
  </si>
  <si>
    <t>Escada Apartments, Lantana Road, Nairobi, Kenya</t>
  </si>
  <si>
    <t>Nov 4, 2025, 1:55:47 PM</t>
  </si>
  <si>
    <t>Nov 4, 2025, 12:45:11 PM</t>
  </si>
  <si>
    <t>HENRY N</t>
  </si>
  <si>
    <t>0722574500</t>
  </si>
  <si>
    <t>Staroot Residences, Wood Avenue, Nairobi, Kenya</t>
  </si>
  <si>
    <t>Nov 4, 2025, 1:03:30 PM</t>
  </si>
  <si>
    <t>Nov 4, 2025, 12:11:59 PM</t>
  </si>
  <si>
    <t>OSAMA</t>
  </si>
  <si>
    <t>0742347708</t>
  </si>
  <si>
    <t>Tanga Suites, Nairobi, Kenya</t>
  </si>
  <si>
    <t>Nov 4, 2025, 12:24:36 PM</t>
  </si>
  <si>
    <t>+254768194733</t>
  </si>
  <si>
    <t>Geofrey  Ekisa</t>
  </si>
  <si>
    <t>Nov 5, 2025, 5:04:58 PM</t>
  </si>
  <si>
    <t>Frank Chege</t>
  </si>
  <si>
    <t>+254721683495</t>
  </si>
  <si>
    <t>Kaisa Gardens Apartments, Laikipia Road, Kileleshwa</t>
  </si>
  <si>
    <t>Nov 5, 2025, 5:05:41 PM</t>
  </si>
  <si>
    <t>4:54PICKUP</t>
  </si>
  <si>
    <t>Nov 5, 2025, 5:03:37 PM</t>
  </si>
  <si>
    <t>Nov 5, 2025, 5:04:16 PM</t>
  </si>
  <si>
    <t>4:53PICKUP</t>
  </si>
  <si>
    <t>Nov 5, 2025, 5:02:36 PM</t>
  </si>
  <si>
    <t>Nov 5, 2025, 5:03:18 PM</t>
  </si>
  <si>
    <t>4:52PICKUP</t>
  </si>
  <si>
    <t>Nov 5, 2025, 5:01:42 PM</t>
  </si>
  <si>
    <t>MPAKA HOUSE, Mpaka Road, Nairobi, Kenya</t>
  </si>
  <si>
    <t>Nov 5, 2025, 5:02:32 PM</t>
  </si>
  <si>
    <t>4:51PICKUP</t>
  </si>
  <si>
    <t>Nov 5, 2025, 5:00:51 PM</t>
  </si>
  <si>
    <t>SuperCuts Butchery, Sports Road, Nairobi, Kenya</t>
  </si>
  <si>
    <t>Nov 5, 2025, 5:01:40 PM</t>
  </si>
  <si>
    <t>4:50PICKUP</t>
  </si>
  <si>
    <t>Nov 5, 2025, 4:58:39 PM</t>
  </si>
  <si>
    <t>Nov 5, 2025, 5:00:50 PM</t>
  </si>
  <si>
    <t>Nov 5, 2025, 2:52:42 PM</t>
  </si>
  <si>
    <t>DANIEL O.</t>
  </si>
  <si>
    <t>Nov 5, 2025, 3:00:34 PM</t>
  </si>
  <si>
    <t>1:45PICKUP</t>
  </si>
  <si>
    <t>Nov 5, 2025, 1:45:25 PM</t>
  </si>
  <si>
    <t>Nov 5, 2025, 1:46:44 PM</t>
  </si>
  <si>
    <t>Nov 5, 2025, 11:30:18 AM</t>
  </si>
  <si>
    <t>Natasha Wawuda</t>
  </si>
  <si>
    <t>+254113173789</t>
  </si>
  <si>
    <t>KASNEB Towers, Off Hospital Rd, Nairobi, Kenya</t>
  </si>
  <si>
    <t>Nov 5, 2025, 12:11:34 PM</t>
  </si>
  <si>
    <t>+2540713675530</t>
  </si>
  <si>
    <t>Geofry Ouma</t>
  </si>
  <si>
    <t>Nov 6, 2025, 9:12:53 PM</t>
  </si>
  <si>
    <t>ANDREA K</t>
  </si>
  <si>
    <t>0721437644</t>
  </si>
  <si>
    <t>Nov 6, 2025, 9:26:23 PM</t>
  </si>
  <si>
    <t>Nov 6, 2025, 8:06:00 PM</t>
  </si>
  <si>
    <t>Jeanne</t>
  </si>
  <si>
    <t>0759002346</t>
  </si>
  <si>
    <t>Nov 6, 2025, 8:31:13 PM</t>
  </si>
  <si>
    <t>Nov 6, 2025, 6:55:18 PM</t>
  </si>
  <si>
    <t>CERI B</t>
  </si>
  <si>
    <t>0727484507</t>
  </si>
  <si>
    <t>Ponderosa Heights, A2, Nairobi, Kenya</t>
  </si>
  <si>
    <t>10.5</t>
  </si>
  <si>
    <t>Nov 6, 2025, 7:15:14 PM</t>
  </si>
  <si>
    <t>Nov 6, 2025, 6:12:07 PM</t>
  </si>
  <si>
    <t>NAOKO I</t>
  </si>
  <si>
    <t>0769032294</t>
  </si>
  <si>
    <t>Kiluwa Serviced Apartments &amp; Spa, Chaka Road, Nairobi, Kenya</t>
  </si>
  <si>
    <t>Nov 6, 2025, 6:30:06 PM</t>
  </si>
  <si>
    <t>Nov 6, 2025, 4:24:03 PM</t>
  </si>
  <si>
    <t>HAZEL</t>
  </si>
  <si>
    <t>0712005478</t>
  </si>
  <si>
    <t>Nov 6, 2025, 4:36:29 PM</t>
  </si>
  <si>
    <t>Nov 6, 2025, 2:17:05 PM</t>
  </si>
  <si>
    <t>Didah</t>
  </si>
  <si>
    <t>0707227990</t>
  </si>
  <si>
    <t>Nov 6, 2025, 2:23:07 PM</t>
  </si>
  <si>
    <t>Lydiah M</t>
  </si>
  <si>
    <t>0712880350</t>
  </si>
  <si>
    <t>Sunspot Apartments, Ruaka, Kenya</t>
  </si>
  <si>
    <t>Nov 6, 2025, 1:00:13 PM</t>
  </si>
  <si>
    <t>Nov 5, 2025, 9:10:00 PM</t>
  </si>
  <si>
    <t>HILDA K</t>
  </si>
  <si>
    <t>0799133596</t>
  </si>
  <si>
    <t>Nov 5, 2025, 9:28:37 PM</t>
  </si>
  <si>
    <t>70.0</t>
  </si>
  <si>
    <t>Nov 5, 2025, 8:53:33 PM</t>
  </si>
  <si>
    <t>MALENE J</t>
  </si>
  <si>
    <t>The Anchor, Kiambia-Gathanga Road, Kenya</t>
  </si>
  <si>
    <t>14.3</t>
  </si>
  <si>
    <t>Nov 5, 2025, 8:54:44 PM</t>
  </si>
  <si>
    <t>Nov 5, 2025, 7:33:37 PM</t>
  </si>
  <si>
    <t>Imran M</t>
  </si>
  <si>
    <t>0720232425</t>
  </si>
  <si>
    <t>Seleah Apartments, Nairobi, Kenya</t>
  </si>
  <si>
    <t>Nov 5, 2025, 8:09:42 PM</t>
  </si>
  <si>
    <t>Nov 5, 2025, 7:17:37 PM</t>
  </si>
  <si>
    <t>ROSELYNE</t>
  </si>
  <si>
    <t>0727381891</t>
  </si>
  <si>
    <t>Machki Properties Limited, Kolobot Road, Nairobi, Kenya</t>
  </si>
  <si>
    <t>Nov 5, 2025, 7:27:17 PM</t>
  </si>
  <si>
    <t>Nov 5, 2025, 5:17:05 PM</t>
  </si>
  <si>
    <t>BEN MUISYO</t>
  </si>
  <si>
    <t>0722605316</t>
  </si>
  <si>
    <t>Pride Park apartments 229, Embakasi Road, Nairobi, Kenya</t>
  </si>
  <si>
    <t>19.3</t>
  </si>
  <si>
    <t>Nov 5, 2025, 5:33:46 PM</t>
  </si>
  <si>
    <t>DROPOFF(ASIF)</t>
  </si>
  <si>
    <t>Nov 5, 2025, 3:33:03 PM</t>
  </si>
  <si>
    <t>ASIF</t>
  </si>
  <si>
    <t>Nov 5, 2025, 3:34:42 PM</t>
  </si>
  <si>
    <t>Nov 5, 2025, 1:36:30 PM</t>
  </si>
  <si>
    <t>AKESH G</t>
  </si>
  <si>
    <t>Nov 5, 2025, 1:37:15 PM</t>
  </si>
  <si>
    <t>Nov 5, 2025, 1:16:00 PM</t>
  </si>
  <si>
    <t>OMAR MUHSIN</t>
  </si>
  <si>
    <t>Nov 5, 2025, 3:18:29 PM</t>
  </si>
  <si>
    <t>Nov 5, 2025, 11:57:00 AM</t>
  </si>
  <si>
    <t>siraj</t>
  </si>
  <si>
    <t>0712291313</t>
  </si>
  <si>
    <t>High Commission Of India, High Commission of India, United Nations Crescent, Nairobi, Kenya</t>
  </si>
  <si>
    <t>Nov 5, 2025, 12:23:20 PM</t>
  </si>
  <si>
    <t>Nov 4, 2025, 9:20:00 PM</t>
  </si>
  <si>
    <t>MINNIE</t>
  </si>
  <si>
    <t>0718265731</t>
  </si>
  <si>
    <t>Ever Home Apartments - Kilimani, Nairobi, Kenya</t>
  </si>
  <si>
    <t>Nov 4, 2025, 9:43:33 PM</t>
  </si>
  <si>
    <t>Nov 4, 2025, 9:07:40 PM</t>
  </si>
  <si>
    <t>Nov 4, 2025, 8:38:55 PM</t>
  </si>
  <si>
    <t>AMR E.</t>
  </si>
  <si>
    <t>Broadwalk Mall, Ojijo Road, Nairobi, Kenya</t>
  </si>
  <si>
    <t>Nov 4, 2025, 9:09:22 PM</t>
  </si>
  <si>
    <t>Nov 4, 2025, 6:14:39 PM</t>
  </si>
  <si>
    <t>Nov 4, 2025, 6:31:31 PM</t>
  </si>
  <si>
    <t>Nov 4, 2025, 6:14:05 PM</t>
  </si>
  <si>
    <t>CAROLINE</t>
  </si>
  <si>
    <t>0708420688</t>
  </si>
  <si>
    <t>Jamii Bora Bank, Argwings Kodhek Road, Nairobi, Kenya</t>
  </si>
  <si>
    <t>Nov 4, 2025, 7:43:36 PM</t>
  </si>
  <si>
    <t>Nov 4, 2025, 4:03:00 PM</t>
  </si>
  <si>
    <t>TK</t>
  </si>
  <si>
    <t>0743411402</t>
  </si>
  <si>
    <t>Redhill Meadows, Kianjogu, Kenya</t>
  </si>
  <si>
    <t>Nov 4, 2025, 4:26:02 PM</t>
  </si>
  <si>
    <t>Nov 4, 2025, 1:37:08 PM</t>
  </si>
  <si>
    <t>BLESSINGS V</t>
  </si>
  <si>
    <t>0701868336</t>
  </si>
  <si>
    <t>The Mandrake, Nairobi, Ring Road Parklands, Nairobi, Kenya</t>
  </si>
  <si>
    <t>Nov 4, 2025, 1:57:37 PM</t>
  </si>
  <si>
    <t>Nov 4, 2025, 12:40:56 PM</t>
  </si>
  <si>
    <t>PASAKA R</t>
  </si>
  <si>
    <t>0709605733</t>
  </si>
  <si>
    <t>Menelik Road, Nairobi, Kenya</t>
  </si>
  <si>
    <t>Nov 4, 2025, 12:53:23 PM</t>
  </si>
  <si>
    <t>+254796472095</t>
  </si>
  <si>
    <t xml:space="preserve">Gideon Okumu </t>
  </si>
  <si>
    <t>Nov 6, 2025, 2:52:57 PM</t>
  </si>
  <si>
    <t>JOHNSY P</t>
  </si>
  <si>
    <t>GTC Residence Block B, Westlands Road, Nairobi, Kenya</t>
  </si>
  <si>
    <t>Nov 6, 2025, 3:32:51 PM</t>
  </si>
  <si>
    <t>Nov 6, 2025, 3:29:18 PM</t>
  </si>
  <si>
    <t>93c91</t>
  </si>
  <si>
    <t>Nov 6, 2025, 2:00:12 PM</t>
  </si>
  <si>
    <t>TRAVIS M.</t>
  </si>
  <si>
    <t>0717689329</t>
  </si>
  <si>
    <t>Viraj Villa Apartments, Likoni Road, Nairobi, Kenya</t>
  </si>
  <si>
    <t>Nov 6, 2025, 2:16:08 PM</t>
  </si>
  <si>
    <t>PICKUP,MUTTON.OKUMU.</t>
  </si>
  <si>
    <t>Nov 6, 2025, 12:56:41 PM</t>
  </si>
  <si>
    <t>Kipro Centre, Sports Road, Nairobi, Kenya</t>
  </si>
  <si>
    <t>Nov 6, 2025, 12:57:34 PM</t>
  </si>
  <si>
    <t>Nov 6, 2025, 12:50:59 PM</t>
  </si>
  <si>
    <t>NGUGI N.</t>
  </si>
  <si>
    <t>0702071830</t>
  </si>
  <si>
    <t>Funguo Estate, Ole-Sangale Link Road, Nairobi, Kenya</t>
  </si>
  <si>
    <t>Nov 6, 2025, 1:18:05 PM</t>
  </si>
  <si>
    <t>Nov 6, 2025, 11:30:57 AM</t>
  </si>
  <si>
    <t>WALTER</t>
  </si>
  <si>
    <t>Nov 6, 2025, 11:53:42 AM</t>
  </si>
  <si>
    <t>Nov 5, 2025, 4:18:38 PM</t>
  </si>
  <si>
    <t>HAYLEY-NADINE</t>
  </si>
  <si>
    <t>0769799424</t>
  </si>
  <si>
    <t>Crystal Villas, Gitanga Road, Nairobi, Kenya</t>
  </si>
  <si>
    <t>4.3</t>
  </si>
  <si>
    <t>Nov 5, 2025, 4:30:29 PM</t>
  </si>
  <si>
    <t>Nov 5, 2025, 2:48:07 PM</t>
  </si>
  <si>
    <t>JUSTINE M.</t>
  </si>
  <si>
    <t>0781284643</t>
  </si>
  <si>
    <t>perFORM Music Incubator, Muthangari Road, Nairobi, Kenya</t>
  </si>
  <si>
    <t>Nov 5, 2025, 3:10:43 PM</t>
  </si>
  <si>
    <t>Nov 5, 2025, 2:00:26 PM</t>
  </si>
  <si>
    <t>Nov 5, 2025, 2:26:52 PM</t>
  </si>
  <si>
    <t>Nov 5, 2025, 1:08:29 PM</t>
  </si>
  <si>
    <t>0707879465</t>
  </si>
  <si>
    <t>Nov 5, 2025, 1:25:32 PM</t>
  </si>
  <si>
    <t>Nov 5, 2025, 12:05:24 PM</t>
  </si>
  <si>
    <t>RACQUEL</t>
  </si>
  <si>
    <t>0727288177</t>
  </si>
  <si>
    <t>Sheria House, Harambee Avenue, Nairobi City, Kenya</t>
  </si>
  <si>
    <t>Nov 5, 2025, 12:17:24 PM</t>
  </si>
  <si>
    <t>Nov 5, 2025, 10:35:00 AM</t>
  </si>
  <si>
    <t>Off Hospital Rd, Nairobi, Kenya, Kasneb towers</t>
  </si>
  <si>
    <t>Nov 5, 2025, 10:56:58 AM</t>
  </si>
  <si>
    <t>Nov 5, 2025, 10:50:31 AM</t>
  </si>
  <si>
    <t>Nov 4, 2025, 3:50:35 PM</t>
  </si>
  <si>
    <t>MAX M.</t>
  </si>
  <si>
    <t>0758222444</t>
  </si>
  <si>
    <t>JW Apartments, Mbaazi Road, Nairobi, Kenya</t>
  </si>
  <si>
    <t>Nov 5, 2025, 10:22:53 AM</t>
  </si>
  <si>
    <t>Nov 4, 2025, 4:07:24 PM</t>
  </si>
  <si>
    <t>Nov 4, 2025, 2:07:24 PM</t>
  </si>
  <si>
    <t>JOANNA A.</t>
  </si>
  <si>
    <t>0719250286</t>
  </si>
  <si>
    <t>P4 hostel, Total/Strathmore, Nairobi, Kenya</t>
  </si>
  <si>
    <t>Nov 4, 2025, 2:25:33 PM</t>
  </si>
  <si>
    <t>Nov 4, 2025, 1:26:14 PM</t>
  </si>
  <si>
    <t>NATHAN D.</t>
  </si>
  <si>
    <t>Nov 4, 2025, 1:38:26 PM</t>
  </si>
  <si>
    <t>Nov 4, 2025, 12:17:46 PM</t>
  </si>
  <si>
    <t>MUMBI</t>
  </si>
  <si>
    <t>0727132094</t>
  </si>
  <si>
    <t>Vivo Energy-Head Office, Vienna Court, State House Crescent, Nairobi, Kenya</t>
  </si>
  <si>
    <t>Nov 4, 2025, 12:24:48 PM</t>
  </si>
  <si>
    <t>Nov 4, 2025, 10:35:32 AM</t>
  </si>
  <si>
    <t>0757839507</t>
  </si>
  <si>
    <t>Timshack House, Ngong Road, Nairobi, Kenya</t>
  </si>
  <si>
    <t>Nov 4, 2025, 10:57:33 AM</t>
  </si>
  <si>
    <t>+254741883000</t>
  </si>
  <si>
    <t>Gilbert  Shibure</t>
  </si>
  <si>
    <t>Nov 6, 2025, 8:11:02 PM</t>
  </si>
  <si>
    <t>MIKE E</t>
  </si>
  <si>
    <t>0740559403</t>
  </si>
  <si>
    <t>Ndwaru 69 Apartments, Naivasha Road, Nairobi, Kenya</t>
  </si>
  <si>
    <t>8.3</t>
  </si>
  <si>
    <t>Nov 6, 2025, 8:28:35 PM</t>
  </si>
  <si>
    <t>Nov 6, 2025, 8:05:31 PM</t>
  </si>
  <si>
    <t>MUNENE N.</t>
  </si>
  <si>
    <t>0728162194</t>
  </si>
  <si>
    <t>Nov 6, 2025, 8:22:57 PM</t>
  </si>
  <si>
    <t>Nov 6, 2025, 4:49:05 PM</t>
  </si>
  <si>
    <t>NJIIRI K.</t>
  </si>
  <si>
    <t>0791496878</t>
  </si>
  <si>
    <t>Elite Homes, Nairobi City, Kenya</t>
  </si>
  <si>
    <t>Nov 6, 2025, 5:15:34 PM</t>
  </si>
  <si>
    <t>Nov 6, 2025, 5:16:34 PM</t>
  </si>
  <si>
    <t>Nov 6, 2025, 3:26:43 PM</t>
  </si>
  <si>
    <t>JANYNE</t>
  </si>
  <si>
    <t>0113209951</t>
  </si>
  <si>
    <t>Nov 6, 2025, 3:46:25 PM</t>
  </si>
  <si>
    <t>Nov 6, 2025, 2:03:25 PM</t>
  </si>
  <si>
    <t>KAORU K.</t>
  </si>
  <si>
    <t>0798393550</t>
  </si>
  <si>
    <t>73 Shinyalu Road, Nairobi, Kenya</t>
  </si>
  <si>
    <t>Nov 6, 2025, 2:18:16 PM</t>
  </si>
  <si>
    <t>Nov 6, 2025, 1:24:36 PM</t>
  </si>
  <si>
    <t>MAXWELL K</t>
  </si>
  <si>
    <t>Delight Apartments, Ole Dume Road, Nairobi, Kenya</t>
  </si>
  <si>
    <t>Nov 6, 2025, 1:36:25 PM</t>
  </si>
  <si>
    <t>Nov 5, 2025, 8:43:03 PM</t>
  </si>
  <si>
    <t>ANDY</t>
  </si>
  <si>
    <t>0769919793</t>
  </si>
  <si>
    <t>Hideaway Apartments-Lavington, Makindi Road, Nairobi, Kenya</t>
  </si>
  <si>
    <t>Nov 5, 2025, 9:05:22 PM</t>
  </si>
  <si>
    <t>Nov 5, 2025, 8:27:34 PM</t>
  </si>
  <si>
    <t>STACY O.</t>
  </si>
  <si>
    <t>0711601572</t>
  </si>
  <si>
    <t>Hoppersville Apartments, Ngando, Nairobi, Kenya</t>
  </si>
  <si>
    <t>7.4</t>
  </si>
  <si>
    <t>Nov 5, 2025, 9:06:33 PM</t>
  </si>
  <si>
    <t>Nov 4, 2025, 6:59:56 PM</t>
  </si>
  <si>
    <t>COLLIN</t>
  </si>
  <si>
    <t>Nov 4, 2025, 7:13:48 PM</t>
  </si>
  <si>
    <t>Nov 4, 2025, 4:19:25 PM</t>
  </si>
  <si>
    <t>DIANA</t>
  </si>
  <si>
    <t>0700716117</t>
  </si>
  <si>
    <t>Greatwall Gardens 1, Shangai Road, Pridelands, Kenya</t>
  </si>
  <si>
    <t>38.0</t>
  </si>
  <si>
    <t>30.6</t>
  </si>
  <si>
    <t>Nov 4, 2025, 4:51:29 PM</t>
  </si>
  <si>
    <t>Nov 4, 2025, 1:49:42 PM</t>
  </si>
  <si>
    <t>NALMA OMAR</t>
  </si>
  <si>
    <t>0708389285</t>
  </si>
  <si>
    <t>Leeks Court, MUA Road, Nairobi, Kenya</t>
  </si>
  <si>
    <t>Nov 4, 2025, 2:17:32 PM</t>
  </si>
  <si>
    <t>Nov 4, 2025, 11:41:58 AM</t>
  </si>
  <si>
    <t>HENRY</t>
  </si>
  <si>
    <t>Bogani East Road, Nairobi, Kenya</t>
  </si>
  <si>
    <t>Nov 4, 2025, 12:07:41 PM</t>
  </si>
  <si>
    <t>Nov 4, 2025, 10:26:50 AM</t>
  </si>
  <si>
    <t>NATHAN</t>
  </si>
  <si>
    <t>0707600153</t>
  </si>
  <si>
    <t>943 Mbaazi Road, Nairobi, Kenya</t>
  </si>
  <si>
    <t>Nov 4, 2025, 10:41:44 AM</t>
  </si>
  <si>
    <t>+254112576825</t>
  </si>
  <si>
    <t>Godfrey  Juma</t>
  </si>
  <si>
    <t>Nov 6, 2025, 8:48:00 PM</t>
  </si>
  <si>
    <t>LARISSA A.</t>
  </si>
  <si>
    <t>+016465527740</t>
  </si>
  <si>
    <t>Trademark Suites, Kathini Road, Nairobi, Kenya</t>
  </si>
  <si>
    <t>Nov 6, 2025, 9:14:17 PM</t>
  </si>
  <si>
    <t>Nov 6, 2025, 8:23:00 PM</t>
  </si>
  <si>
    <t>CHARITY</t>
  </si>
  <si>
    <t>0704333154</t>
  </si>
  <si>
    <t>Ruaka Ridge Apartments, Limuru Road, Ruaka, Kenya</t>
  </si>
  <si>
    <t>Nov 6, 2025, 9:03:33 PM</t>
  </si>
  <si>
    <t>0d2f0</t>
  </si>
  <si>
    <t>Nov 6, 2025, 6:41:22 PM</t>
  </si>
  <si>
    <t>giles l</t>
  </si>
  <si>
    <t>0728999990</t>
  </si>
  <si>
    <t>Fredrik Lerneryd Photographer, Njathaini Road, Kenya</t>
  </si>
  <si>
    <t>13.4</t>
  </si>
  <si>
    <t>Nov 6, 2025, 7:40:34 PM</t>
  </si>
  <si>
    <t>Nov 6, 2025, 6:08:21 PM</t>
  </si>
  <si>
    <t>ALISON O</t>
  </si>
  <si>
    <t>0768703832</t>
  </si>
  <si>
    <t>Rosslyn Grove, Magnolia Close, Nairobi, Kenya</t>
  </si>
  <si>
    <t>Nov 6, 2025, 6:45:19 PM</t>
  </si>
  <si>
    <t>Nov 6, 2025, 4:55:05 PM</t>
  </si>
  <si>
    <t>MICHIEL W</t>
  </si>
  <si>
    <t>0794962509</t>
  </si>
  <si>
    <t>10.1</t>
  </si>
  <si>
    <t>Nov 6, 2025, 5:23:55 PM</t>
  </si>
  <si>
    <t>3db03</t>
  </si>
  <si>
    <t>Nov 6, 2025, 3:04:40 PM</t>
  </si>
  <si>
    <t>marriane v</t>
  </si>
  <si>
    <t>13 Runda Drive, Nairobi, Kenya</t>
  </si>
  <si>
    <t>Nov 6, 2025, 3:06:13 PM</t>
  </si>
  <si>
    <t>eb358</t>
  </si>
  <si>
    <t>Nov 6, 2025, 3:03:00 PM</t>
  </si>
  <si>
    <t>gisela s</t>
  </si>
  <si>
    <t>Embassy of Switzerland, Red Hill Road, Nairobi, Kenya</t>
  </si>
  <si>
    <t>Nov 6, 2025, 3:04:23 PM</t>
  </si>
  <si>
    <t>24d4d</t>
  </si>
  <si>
    <t>Nov 6, 2025, 2:57:05 PM</t>
  </si>
  <si>
    <t>joanne m</t>
  </si>
  <si>
    <t>0714157500</t>
  </si>
  <si>
    <t>Pentagon gardens, Brookside Drive, Nairobi, Kenya</t>
  </si>
  <si>
    <t>Nov 6, 2025, 3:01:53 PM</t>
  </si>
  <si>
    <t>masala-6-11-25</t>
  </si>
  <si>
    <t>Nov 6, 2025, 2:53:32 PM</t>
  </si>
  <si>
    <t>Village Market</t>
  </si>
  <si>
    <t>Nov 6, 2025, 2:55:04 PM</t>
  </si>
  <si>
    <t>39e8a</t>
  </si>
  <si>
    <t>Nov 6, 2025, 12:45:59 PM</t>
  </si>
  <si>
    <t>kinya i</t>
  </si>
  <si>
    <t>0723838241</t>
  </si>
  <si>
    <t>Grafions Apartments, Lane 26, Ruaka, Kenya</t>
  </si>
  <si>
    <t>Nov 6, 2025, 1:10:37 PM</t>
  </si>
  <si>
    <t>Nov 5, 2025, 8:28:00 PM</t>
  </si>
  <si>
    <t>anna c</t>
  </si>
  <si>
    <t>Palm Valley Estate, Nairobi, Kenya</t>
  </si>
  <si>
    <t>Nov 5, 2025, 8:35:44 PM</t>
  </si>
  <si>
    <t>Nov 5, 2025, 6:31:52 PM</t>
  </si>
  <si>
    <t>Nov 5, 2025, 6:51:05 PM</t>
  </si>
  <si>
    <t>Nov 5, 2025, 5:35:21 PM</t>
  </si>
  <si>
    <t>CORINNA H</t>
  </si>
  <si>
    <t>0794718166</t>
  </si>
  <si>
    <t>Mango Manor, Mandera Road, Nairobi, Kenya</t>
  </si>
  <si>
    <t>10.7</t>
  </si>
  <si>
    <t>Nov 5, 2025, 5:50:54 PM</t>
  </si>
  <si>
    <t>23ddb</t>
  </si>
  <si>
    <t>Nov 5, 2025, 3:04:37 PM</t>
  </si>
  <si>
    <t>emmah b</t>
  </si>
  <si>
    <t>0112027022</t>
  </si>
  <si>
    <t>Leeds Engineering Company Ltd., Mugumo-Ini Street, Nairobi, Kenya</t>
  </si>
  <si>
    <t>Nov 5, 2025, 3:39:43 PM</t>
  </si>
  <si>
    <t>Nov 5, 2025, 1:07:33 PM</t>
  </si>
  <si>
    <t>CHRIS E</t>
  </si>
  <si>
    <t>0705000908</t>
  </si>
  <si>
    <t>Australian High Commission, Limuru Road, Nairobi, Kenya</t>
  </si>
  <si>
    <t>Nov 5, 2025, 1:29:26 PM</t>
  </si>
  <si>
    <t>Nov 5, 2025, 12:22:19 PM</t>
  </si>
  <si>
    <t>7.8</t>
  </si>
  <si>
    <t>Nov 5, 2025, 1:25:58 PM</t>
  </si>
  <si>
    <t>MASALA-PICKUP-GJ</t>
  </si>
  <si>
    <t>Nov 5, 2025, 11:45:01 AM</t>
  </si>
  <si>
    <t>VM</t>
  </si>
  <si>
    <t>Nov 5, 2025, 1:56:02 PM</t>
  </si>
  <si>
    <t>Nov 4, 2025, 5:10:47 PM</t>
  </si>
  <si>
    <t>IVY M</t>
  </si>
  <si>
    <t>0728305511</t>
  </si>
  <si>
    <t>WillMary Estate, Nairobi, Kenya</t>
  </si>
  <si>
    <t>Nov 4, 2025, 5:27:48 PM</t>
  </si>
  <si>
    <t>Nov 4, 2025, 3:56:12 PM</t>
  </si>
  <si>
    <t>GITAU M</t>
  </si>
  <si>
    <t>0719728236</t>
  </si>
  <si>
    <t>Runda Court Apartments - Thindigua, Kiambu, Kenya</t>
  </si>
  <si>
    <t>9.3</t>
  </si>
  <si>
    <t>Nov 4, 2025, 4:14:09 PM</t>
  </si>
  <si>
    <t>Nov 4, 2025, 1:24:47 PM</t>
  </si>
  <si>
    <t>CK</t>
  </si>
  <si>
    <t>0708598909</t>
  </si>
  <si>
    <t>Epic Brownstone - Phase 4, Kirawa Road, Nairobi, Kenya</t>
  </si>
  <si>
    <t>Nov 4, 2025, 1:49:51 PM</t>
  </si>
  <si>
    <t>+254725330521</t>
  </si>
  <si>
    <t xml:space="preserve">Godfrey  Kayugira </t>
  </si>
  <si>
    <t>Nov 6, 2025, 8:47:10 PM</t>
  </si>
  <si>
    <t>ANTOINNE</t>
  </si>
  <si>
    <t>0791249359</t>
  </si>
  <si>
    <t>Santonia Court, Nairobi, Kenya</t>
  </si>
  <si>
    <t>Nov 6, 2025, 9:21:25 PM</t>
  </si>
  <si>
    <t>Nov 6, 2025, 7:31:21 PM</t>
  </si>
  <si>
    <t>CHRIS J.</t>
  </si>
  <si>
    <t>0722242131</t>
  </si>
  <si>
    <t>Ngumo Nera, Nairobi, Kenya</t>
  </si>
  <si>
    <t>Nov 6, 2025, 8:17:39 PM</t>
  </si>
  <si>
    <t>Nov 6, 2025, 7:24:26 PM</t>
  </si>
  <si>
    <t>STEVEN Y.</t>
  </si>
  <si>
    <t>0794879775</t>
  </si>
  <si>
    <t>Nov 6, 2025, 8:19:10 PM</t>
  </si>
  <si>
    <t>Nov 6, 2025, 6:18:52 PM</t>
  </si>
  <si>
    <t>KATHLEEN.</t>
  </si>
  <si>
    <t>0768119854</t>
  </si>
  <si>
    <t>Cedar Springs Apartments, Riara Road, North, Kenya</t>
  </si>
  <si>
    <t>Nov 6, 2025, 7:07:52 PM</t>
  </si>
  <si>
    <t>Nov 6, 2025, 4:58:43 PM</t>
  </si>
  <si>
    <t>SALLY K</t>
  </si>
  <si>
    <t>0725203307</t>
  </si>
  <si>
    <t>Ceramica Africa, Ngong Road, Ngong, Kenya</t>
  </si>
  <si>
    <t>Nov 6, 2025, 5:12:23 PM</t>
  </si>
  <si>
    <t>Nov 6, 2025, 3:21:44 PM</t>
  </si>
  <si>
    <t>tero</t>
  </si>
  <si>
    <t>Gitanga Duplexes, Nairobi, Kenya</t>
  </si>
  <si>
    <t>3.1</t>
  </si>
  <si>
    <t>Nov 6, 2025, 3:40:49 PM</t>
  </si>
  <si>
    <t>bec95</t>
  </si>
  <si>
    <t>Nov 6, 2025, 2:35:12 PM</t>
  </si>
  <si>
    <t>KEVIN C.</t>
  </si>
  <si>
    <t>0799893138</t>
  </si>
  <si>
    <t>Nov 6, 2025, 2:44:48 PM</t>
  </si>
  <si>
    <t>Nov 6, 2025, 1:00:27 PM</t>
  </si>
  <si>
    <t>PETER D.</t>
  </si>
  <si>
    <t>Nov 6, 2025, 1:32:50 PM</t>
  </si>
  <si>
    <t>Nov 6, 2025, 12:23:37 PM</t>
  </si>
  <si>
    <t>DEBRA A L.</t>
  </si>
  <si>
    <t>Nov 6, 2025, 1:19:58 PM</t>
  </si>
  <si>
    <t>+254790653954</t>
  </si>
  <si>
    <t xml:space="preserve">Harylinsen  Mukhavani </t>
  </si>
  <si>
    <t>Nov 6, 2025, 8:41:00 PM</t>
  </si>
  <si>
    <t>JACKIE</t>
  </si>
  <si>
    <t>0720252417</t>
  </si>
  <si>
    <t>Elina Residences, Mandera Road, Nairobi, Kenya</t>
  </si>
  <si>
    <t>Nov 6, 2025, 8:56:54 PM</t>
  </si>
  <si>
    <t>Nov 6, 2025, 7:55:00 PM</t>
  </si>
  <si>
    <t>Jobe C</t>
  </si>
  <si>
    <t>0727809189</t>
  </si>
  <si>
    <t>Panorama Apartment, Matumbato Road, Nairobi, Kenya</t>
  </si>
  <si>
    <t>Nov 6, 2025, 8:10:35 PM</t>
  </si>
  <si>
    <t>Nov 6, 2025, 7:03:33 PM</t>
  </si>
  <si>
    <t>JON B</t>
  </si>
  <si>
    <t>Nov 6, 2025, 7:19:32 PM</t>
  </si>
  <si>
    <t>Nov 6, 2025, 1:11:00 PM</t>
  </si>
  <si>
    <t>Sammy</t>
  </si>
  <si>
    <t>0725766457</t>
  </si>
  <si>
    <t>La casa Bendita, Murang'a Road, Nairobi, Kenya</t>
  </si>
  <si>
    <t>Nov 6, 2025, 1:35:51 PM</t>
  </si>
  <si>
    <t>7850.0</t>
  </si>
  <si>
    <t>Nov 6, 2025, 11:39:28 AM</t>
  </si>
  <si>
    <t>CAMILA D</t>
  </si>
  <si>
    <t>General Mathenge Gardens, Nairobi, Kenya</t>
  </si>
  <si>
    <t>Nov 6, 2025, 11:40:41 AM</t>
  </si>
  <si>
    <t>Nov 6, 2025, 1:24:00 AM</t>
  </si>
  <si>
    <t>Irfan</t>
  </si>
  <si>
    <t>0785985024</t>
  </si>
  <si>
    <t>Hotel southern blue, Hotel Southern Blue, Musindi Road, Nairobi, Kenya</t>
  </si>
  <si>
    <t>Nov 6, 2025, 6:41:03 PM</t>
  </si>
  <si>
    <t>Nov 5, 2025, 9:20:12 PM</t>
  </si>
  <si>
    <t>0794417210</t>
  </si>
  <si>
    <t>Honey Court, &amp; honey dr, Riverside Drive, Nairobi, Kenya</t>
  </si>
  <si>
    <t>Nov 5, 2025, 9:21:10 PM</t>
  </si>
  <si>
    <t>Nov 6, 2025, 1:31:54 PM</t>
  </si>
  <si>
    <t>Nov 5, 2025, 6:57:38 PM</t>
  </si>
  <si>
    <t>RICHARD JOHN</t>
  </si>
  <si>
    <t>0797542021</t>
  </si>
  <si>
    <t>33 Bendera Lane, Nairobi, Kenya</t>
  </si>
  <si>
    <t>Nov 5, 2025, 7:06:57 PM</t>
  </si>
  <si>
    <t>Nov 5, 2025, 6:00:00 PM</t>
  </si>
  <si>
    <t>Nov 5, 2025, 6:21:38 PM</t>
  </si>
  <si>
    <t>Nov 5, 2025, 3:16:10 PM</t>
  </si>
  <si>
    <t>Nov 5, 2025, 2:13:00 PM</t>
  </si>
  <si>
    <t>Edwin</t>
  </si>
  <si>
    <t>0748576946</t>
  </si>
  <si>
    <t>Nov 5, 2025, 2:42:44 PM</t>
  </si>
  <si>
    <t>Nov 5, 2025, 1:00:28 PM</t>
  </si>
  <si>
    <t>ALIS</t>
  </si>
  <si>
    <t>0721351045</t>
  </si>
  <si>
    <t>River Road Beauty Centre, River Road, Nairobi, Kenya</t>
  </si>
  <si>
    <t>Nov 5, 2025, 1:09:17 PM</t>
  </si>
  <si>
    <t>Nov 5, 2025, 12:48:00 PM</t>
  </si>
  <si>
    <t>miss</t>
  </si>
  <si>
    <t>0712947791</t>
  </si>
  <si>
    <t>Mshale Ln, Nairobi, Kenya</t>
  </si>
  <si>
    <t>Nov 5, 2025, 1:01:11 PM</t>
  </si>
  <si>
    <t>Nov 5, 2025, 11:58:00 AM</t>
  </si>
  <si>
    <t>Avere</t>
  </si>
  <si>
    <t>0706638163</t>
  </si>
  <si>
    <t>Sydney Residence, Batubatu Gardens, Nairobi, Kenya</t>
  </si>
  <si>
    <t>Nov 5, 2025, 12:18:51 PM</t>
  </si>
  <si>
    <t>Nov 5, 2025, 11:20:00 AM</t>
  </si>
  <si>
    <t>ABDI D</t>
  </si>
  <si>
    <t>0798336477</t>
  </si>
  <si>
    <t>Border Point Apartments, Stima Lane, Nairobi, Kenya</t>
  </si>
  <si>
    <t>Nov 5, 2025, 11:45:52 AM</t>
  </si>
  <si>
    <t>Nov 4, 2025, 8:59:42 PM</t>
  </si>
  <si>
    <t>MIGUEL T.</t>
  </si>
  <si>
    <t>Royal Offices, Mogotio Road, Nairobi, Kenya</t>
  </si>
  <si>
    <t>Nov 4, 2025, 9:25:32 PM</t>
  </si>
  <si>
    <t>Nov 4, 2025, 8:13:00 PM</t>
  </si>
  <si>
    <t>AMIRIT</t>
  </si>
  <si>
    <t>0713720161</t>
  </si>
  <si>
    <t>Glory Palace Hotel, Murang'a Road, Nairobi, Kenya</t>
  </si>
  <si>
    <t>Nov 4, 2025, 8:43:56 PM</t>
  </si>
  <si>
    <t>Nov 4, 2025, 7:45:26 PM</t>
  </si>
  <si>
    <t>Nov 4, 2025, 8:01:40 PM</t>
  </si>
  <si>
    <t>Nov 4, 2025, 6:42:23 PM</t>
  </si>
  <si>
    <t>ELIZABETH</t>
  </si>
  <si>
    <t>0113380557</t>
  </si>
  <si>
    <t>Nov 4, 2025, 7:47:57 PM</t>
  </si>
  <si>
    <t>Nov 4, 2025, 6:41:43 PM</t>
  </si>
  <si>
    <t>Catherine M</t>
  </si>
  <si>
    <t>0728039972</t>
  </si>
  <si>
    <t>Viraj Millenium Apartments, Githunguri Road, Nairobi, Kenya</t>
  </si>
  <si>
    <t>Nov 4, 2025, 7:11:07 PM</t>
  </si>
  <si>
    <t>Nov 4, 2025, 5:23:55 PM</t>
  </si>
  <si>
    <t>0113805557</t>
  </si>
  <si>
    <t>Nov 4, 2025, 5:49:08 PM</t>
  </si>
  <si>
    <t>3CO10</t>
  </si>
  <si>
    <t>Nov 4, 2025, 5:08:38 PM</t>
  </si>
  <si>
    <t>MAYKAL</t>
  </si>
  <si>
    <t>0707042943</t>
  </si>
  <si>
    <t>Nov 4, 2025, 5:27:16 PM</t>
  </si>
  <si>
    <t>+2540700267432</t>
  </si>
  <si>
    <t>Henry  Wesonga</t>
  </si>
  <si>
    <t>Nov 6, 2025, 7:20:32 PM</t>
  </si>
  <si>
    <t>BRENDA ANYANGO</t>
  </si>
  <si>
    <t>0714750078</t>
  </si>
  <si>
    <t>Amani Homes, Nairobi, Kenya</t>
  </si>
  <si>
    <t>18.8</t>
  </si>
  <si>
    <t>Nov 6, 2025, 7:44:59 PM</t>
  </si>
  <si>
    <t>Nov 6, 2025, 2:25:14 PM</t>
  </si>
  <si>
    <t>JEREMY K.</t>
  </si>
  <si>
    <t>0710240409</t>
  </si>
  <si>
    <t>Avenue 5, Rose Avenue, Nairobi, Kenya</t>
  </si>
  <si>
    <t>Nov 6, 2025, 2:36:51 PM</t>
  </si>
  <si>
    <t>Nov 6, 2025, 1:28:57 PM</t>
  </si>
  <si>
    <t>Nov 6, 2025, 11:37:00 AM</t>
  </si>
  <si>
    <t>NOORI</t>
  </si>
  <si>
    <t>0720301943</t>
  </si>
  <si>
    <t>Crown Paints Kenya PLC -Kenya's #1 Paint Manufacturer, Likoni Road, Nairobi, Kenya</t>
  </si>
  <si>
    <t>Nov 6, 2025, 11:58:00 AM</t>
  </si>
  <si>
    <t>Nov 6, 2025, 8:48:06 AM</t>
  </si>
  <si>
    <t>Brianna S.</t>
  </si>
  <si>
    <t>30 Rosslyn Lone Tree Estate Road, Nairobi, Kenya</t>
  </si>
  <si>
    <t>Nov 6, 2025, 8:50:00 AM</t>
  </si>
  <si>
    <t>Nov 4, 2025, 8:45:27 PM</t>
  </si>
  <si>
    <t>Victoria T</t>
  </si>
  <si>
    <t>0745452731</t>
  </si>
  <si>
    <t>Diamond Ivy Residence, Mandera Road, Nairobi, Kenya</t>
  </si>
  <si>
    <t>Nov 4, 2025, 9:05:59 PM</t>
  </si>
  <si>
    <t>Test</t>
  </si>
  <si>
    <t>Nov 4, 2025, 7:25:01 PM</t>
  </si>
  <si>
    <t>Igecha Kamami</t>
  </si>
  <si>
    <t>+254724131367</t>
  </si>
  <si>
    <t>QVJP+H83, Nairobi, Kenya, Bezalel Castle</t>
  </si>
  <si>
    <t>13.1</t>
  </si>
  <si>
    <t>Nov 4, 2025, 7:45:00 PM</t>
  </si>
  <si>
    <t>Nov 4, 2025, 11:10:33 AM</t>
  </si>
  <si>
    <t>KALI B</t>
  </si>
  <si>
    <t>Daykio Plaza, Ngong Road, Ngong, Kenya</t>
  </si>
  <si>
    <t>Nov 4, 2025, 8:30:08 PM</t>
  </si>
  <si>
    <t>+254114574219</t>
  </si>
  <si>
    <t>Jack Mutua</t>
  </si>
  <si>
    <t>Nov 6, 2025, 8:19:00 PM</t>
  </si>
  <si>
    <t>ALICE T.</t>
  </si>
  <si>
    <t>0720259743</t>
  </si>
  <si>
    <t>5 Points Apartments, Ruaka, Kenya</t>
  </si>
  <si>
    <t>Nov 6, 2025, 8:46:40 PM</t>
  </si>
  <si>
    <t>c6ad2</t>
  </si>
  <si>
    <t>Nov 6, 2025, 7:27:42 PM</t>
  </si>
  <si>
    <t>laura m</t>
  </si>
  <si>
    <t>0706663961</t>
  </si>
  <si>
    <t>Graceline Villas, Pan African Insurance Ln, Nairobi, Kenya</t>
  </si>
  <si>
    <t>Nov 6, 2025, 7:48:06 PM</t>
  </si>
  <si>
    <t>d28ee</t>
  </si>
  <si>
    <t>Nov 6, 2025, 6:16:06 PM</t>
  </si>
  <si>
    <t>bridget a</t>
  </si>
  <si>
    <t>Spring Garden Apartments, Nairobi, Kenya</t>
  </si>
  <si>
    <t>10.8</t>
  </si>
  <si>
    <t>Nov 6, 2025, 6:28:00 PM</t>
  </si>
  <si>
    <t>Nov 6, 2025, 5:05:00 PM</t>
  </si>
  <si>
    <t>SARAH B.</t>
  </si>
  <si>
    <t>0794785673</t>
  </si>
  <si>
    <t>Mango Manor, Nairobi, Kenya</t>
  </si>
  <si>
    <t>Nov 6, 2025, 5:32:16 PM</t>
  </si>
  <si>
    <t>Nov 5, 2025, 7:11:23 PM</t>
  </si>
  <si>
    <t>LINDA O</t>
  </si>
  <si>
    <t>Hotani Apartments by Residency, Kirawa Road, Nairobi, Kenya</t>
  </si>
  <si>
    <t>Nov 5, 2025, 7:24:12 PM</t>
  </si>
  <si>
    <t>Nov 5, 2025, 4:16:18 PM</t>
  </si>
  <si>
    <t>JASON D</t>
  </si>
  <si>
    <t>Global Trade Center Office Tower, Chiromo Lane, Nairobi, Kenya</t>
  </si>
  <si>
    <t>Nov 5, 2025, 4:24:41 PM</t>
  </si>
  <si>
    <t>Nov 5, 2025, 3:58:28 PM</t>
  </si>
  <si>
    <t>MARI M</t>
  </si>
  <si>
    <t>Krishna Pride Apartments, General Mathenge Road, Nairobi, Kenya</t>
  </si>
  <si>
    <t>Nov 5, 2025, 4:22:45 PM</t>
  </si>
  <si>
    <t>Nov 5, 2025, 1:56:27 PM</t>
  </si>
  <si>
    <t>PERSONAL</t>
  </si>
  <si>
    <t>0700873439</t>
  </si>
  <si>
    <t>TRM Drive, Nairobi, Kenya</t>
  </si>
  <si>
    <t>Nov 5, 2025, 1:58:00 PM</t>
  </si>
  <si>
    <t>Nov 5, 2025, 1:18:58 PM</t>
  </si>
  <si>
    <t>NJERAI G</t>
  </si>
  <si>
    <t>0717519136</t>
  </si>
  <si>
    <t>Mushroom Gardens Estate, Mushroom Gardens, Kiambu, Kenya</t>
  </si>
  <si>
    <t>Nov 5, 2025, 1:54:31 PM</t>
  </si>
  <si>
    <t>Nov 5, 2025, 11:48:33 AM</t>
  </si>
  <si>
    <t>MURIUKI N</t>
  </si>
  <si>
    <t>0113037548</t>
  </si>
  <si>
    <t>Suswa Estate, Ngao Road, Nairobi City, Kenya</t>
  </si>
  <si>
    <t>Nov 5, 2025, 12:24:47 PM</t>
  </si>
  <si>
    <t>Nov 4, 2025, 8:32:09 PM</t>
  </si>
  <si>
    <t>GLORIA N</t>
  </si>
  <si>
    <t>0758862241</t>
  </si>
  <si>
    <t>Muchiri Heights, Ruaka, Kenya</t>
  </si>
  <si>
    <t>Nov 4, 2025, 8:45:04 PM</t>
  </si>
  <si>
    <t>Nov 4, 2025, 8:17:24 PM</t>
  </si>
  <si>
    <t>AMOS</t>
  </si>
  <si>
    <t>0714809552</t>
  </si>
  <si>
    <t>Nov 4, 2025, 8:41:41 PM</t>
  </si>
  <si>
    <t>Nov 4, 2025, 6:28:07 PM</t>
  </si>
  <si>
    <t>MELISSA W</t>
  </si>
  <si>
    <t>0703642413</t>
  </si>
  <si>
    <t>Gracious Gardens, Lower Kabete, Kenya</t>
  </si>
  <si>
    <t>13.9</t>
  </si>
  <si>
    <t>Nov 4, 2025, 6:49:41 PM</t>
  </si>
  <si>
    <t>Nov 4, 2025, 4:38:37 PM</t>
  </si>
  <si>
    <t>ALEXANDER L</t>
  </si>
  <si>
    <t>0792940594</t>
  </si>
  <si>
    <t>Lavender House, Nyathuna, Kenya</t>
  </si>
  <si>
    <t>Nov 4, 2025, 4:52:53 PM</t>
  </si>
  <si>
    <t>Nov 4, 2025, 4:25:54 PM</t>
  </si>
  <si>
    <t>PETER W</t>
  </si>
  <si>
    <t>0704089802</t>
  </si>
  <si>
    <t>Nov 4, 2025, 4:56:47 PM</t>
  </si>
  <si>
    <t>Nov 4, 2025, 12:50:16 PM</t>
  </si>
  <si>
    <t>ELENA G</t>
  </si>
  <si>
    <t>0793877423</t>
  </si>
  <si>
    <t>Embassy of Italy, United Nations Crescent, Nairobi, Kenya</t>
  </si>
  <si>
    <t>Nov 4, 2025, 6:12:50 PM</t>
  </si>
  <si>
    <t>+254113586734</t>
  </si>
  <si>
    <t xml:space="preserve">Jackson  Mahila </t>
  </si>
  <si>
    <t>Nov 6, 2025, 8:56:24 PM</t>
  </si>
  <si>
    <t>Jackline</t>
  </si>
  <si>
    <t>0769292679</t>
  </si>
  <si>
    <t>Claycity gardens, Nairobi, Kenya</t>
  </si>
  <si>
    <t>17.8</t>
  </si>
  <si>
    <t>Nov 6, 2025, 9:10:51 PM</t>
  </si>
  <si>
    <t>Nov 6, 2025, 7:39:50 PM</t>
  </si>
  <si>
    <t>NICHOLAS D</t>
  </si>
  <si>
    <t>0703282123</t>
  </si>
  <si>
    <t>Victory Suite, Gachichio Road, Nairobi, Kenya</t>
  </si>
  <si>
    <t>16.7</t>
  </si>
  <si>
    <t>Nov 6, 2025, 7:40:55 PM</t>
  </si>
  <si>
    <t>Nov 6, 2025, 6:39:00 PM</t>
  </si>
  <si>
    <t>JON J</t>
  </si>
  <si>
    <t>0704443618</t>
  </si>
  <si>
    <t>Nov 6, 2025, 6:52:22 PM</t>
  </si>
  <si>
    <t>Nov 6, 2025, 4:32:28 PM</t>
  </si>
  <si>
    <t>NOELANGE H</t>
  </si>
  <si>
    <t>0116094231</t>
  </si>
  <si>
    <t>Qwetu | Student Residences | Chiromo, Riverside Drive, Nairobi, Kenya</t>
  </si>
  <si>
    <t>Nov 6, 2025, 4:53:38 PM</t>
  </si>
  <si>
    <t>Nov 6, 2025, 3:08:00 PM</t>
  </si>
  <si>
    <t>Nasra</t>
  </si>
  <si>
    <t>0711175863</t>
  </si>
  <si>
    <t>Viking House, Waiyaki Way, Nairobi, Kenya</t>
  </si>
  <si>
    <t>Nov 6, 2025, 3:24:12 PM</t>
  </si>
  <si>
    <t>MARJORIE S</t>
  </si>
  <si>
    <t>0703757904</t>
  </si>
  <si>
    <t>Nov 6, 2025, 1:58:25 PM</t>
  </si>
  <si>
    <t>Nov 5, 2025, 9:03:27 PM</t>
  </si>
  <si>
    <t>+336129212760</t>
  </si>
  <si>
    <t>Nov 5, 2025, 9:27:03 PM</t>
  </si>
  <si>
    <t>Nov 5, 2025, 8:20:04 PM</t>
  </si>
  <si>
    <t>CARMEN M</t>
  </si>
  <si>
    <t>0745476903</t>
  </si>
  <si>
    <t>Nov 5, 2025, 8:39:49 PM</t>
  </si>
  <si>
    <t>Nov 5, 2025, 8:08:54 PM</t>
  </si>
  <si>
    <t>KARIMA</t>
  </si>
  <si>
    <t>0798402747</t>
  </si>
  <si>
    <t>Mwambao Road, Nairobi, Kenya</t>
  </si>
  <si>
    <t>Nov 5, 2025, 8:30:40 PM</t>
  </si>
  <si>
    <t>Nov 5, 2025, 6:22:09 PM</t>
  </si>
  <si>
    <t>Federic</t>
  </si>
  <si>
    <t>0790869248</t>
  </si>
  <si>
    <t>Craig Apartments, Nairobi, Kenya</t>
  </si>
  <si>
    <t>Nov 5, 2025, 6:23:40 PM</t>
  </si>
  <si>
    <t>Nov 5, 2025, 2:18:23 PM</t>
  </si>
  <si>
    <t>Mitchelle (3rd floor, apt.I3-3)</t>
  </si>
  <si>
    <t>0745547065</t>
  </si>
  <si>
    <t>Ecocraft Construction Limited, Katani, Kenya</t>
  </si>
  <si>
    <t>51.0</t>
  </si>
  <si>
    <t>33.3</t>
  </si>
  <si>
    <t>Nov 5, 2025, 2:20:58 PM</t>
  </si>
  <si>
    <t>Nov 5, 2025, 12:50:00 PM</t>
  </si>
  <si>
    <t>B K</t>
  </si>
  <si>
    <t>0716918224</t>
  </si>
  <si>
    <t>Nov 5, 2025, 1:08:07 PM</t>
  </si>
  <si>
    <t>28e1d</t>
  </si>
  <si>
    <t>Nov 5, 2025, 12:06:00 PM</t>
  </si>
  <si>
    <t>avere</t>
  </si>
  <si>
    <t>Nov 5, 2025, 12:23:13 PM</t>
  </si>
  <si>
    <t>+2540704887599</t>
  </si>
  <si>
    <t xml:space="preserve">Jackston  Akenga </t>
  </si>
  <si>
    <t>UBERFARAZPICKUP</t>
  </si>
  <si>
    <t>Nov 6, 2025, 9:20:54 PM</t>
  </si>
  <si>
    <t>FARAZ</t>
  </si>
  <si>
    <t>Radisson Blu Hotel &amp; Residence, Nairobi Arboretum, Arboretum Drive, Nairobi, Kenya</t>
  </si>
  <si>
    <t>Nov 6, 2025, 9:22:02 PM</t>
  </si>
  <si>
    <t>Nov 6, 2025, 8:35:00 PM</t>
  </si>
  <si>
    <t>Karen</t>
  </si>
  <si>
    <t>0722355677</t>
  </si>
  <si>
    <t>Nov 6, 2025, 8:50:18 PM</t>
  </si>
  <si>
    <t>Nov 6, 2025, 8:04:00 PM</t>
  </si>
  <si>
    <t>Lena</t>
  </si>
  <si>
    <t>0746874023</t>
  </si>
  <si>
    <t>Nov 6, 2025, 8:23:20 PM</t>
  </si>
  <si>
    <t>8E51B</t>
  </si>
  <si>
    <t>Nov 6, 2025, 6:41:43 PM</t>
  </si>
  <si>
    <t>FARAZ U</t>
  </si>
  <si>
    <t>Radisson Blu Hotel, Nairobi Upper Hill, Elgon Road, Nairobi, Kenya</t>
  </si>
  <si>
    <t>Nov 6, 2025, 7:06:36 PM</t>
  </si>
  <si>
    <t>Nov 5, 2025, 8:29:25 PM</t>
  </si>
  <si>
    <t>Mrs Awele A.</t>
  </si>
  <si>
    <t>0720287793</t>
  </si>
  <si>
    <t>Sandalwood Riverside, Riverside Drive, Nairobi, Kenya</t>
  </si>
  <si>
    <t>Nov 5, 2025, 8:37:43 PM</t>
  </si>
  <si>
    <t>Nov 5, 2025, 7:18:58 PM</t>
  </si>
  <si>
    <t>IRFAN</t>
  </si>
  <si>
    <t>Nov 5, 2025, 7:25:51 PM</t>
  </si>
  <si>
    <t>Nov 5, 2025, 7:03:37 PM</t>
  </si>
  <si>
    <t>LENA K</t>
  </si>
  <si>
    <t>Nov 5, 2025, 8:12:55 PM</t>
  </si>
  <si>
    <t>Nov 4, 2025, 7:58:13 PM</t>
  </si>
  <si>
    <t>BERYL H.</t>
  </si>
  <si>
    <t>0746585606</t>
  </si>
  <si>
    <t>UMOJA 3 mowlem, Nairobi, Kenya</t>
  </si>
  <si>
    <t>15.7</t>
  </si>
  <si>
    <t>Nov 4, 2025, 8:17:19 PM</t>
  </si>
  <si>
    <t>IRENE N.</t>
  </si>
  <si>
    <t>0722294685</t>
  </si>
  <si>
    <t>Mua Park Estate, Nairobi, Kenya</t>
  </si>
  <si>
    <t>Nov 4, 2025, 7:11:11 PM</t>
  </si>
  <si>
    <t>Nov 4, 2025, 7:05:02 PM</t>
  </si>
  <si>
    <t>+254743638725</t>
  </si>
  <si>
    <t>Jason Psalms</t>
  </si>
  <si>
    <t>STEF.</t>
  </si>
  <si>
    <t>0713232219</t>
  </si>
  <si>
    <t>Tivody Apartments, Nairobi, Kenya</t>
  </si>
  <si>
    <t>Nov 6, 2025, 7:37:53 PM</t>
  </si>
  <si>
    <t>Nov 6, 2025, 6:32:28 PM</t>
  </si>
  <si>
    <t>Nov 6, 2025, 6:52:17 PM</t>
  </si>
  <si>
    <t>Nov 6, 2025, 4:53:40 PM</t>
  </si>
  <si>
    <t>0725705758</t>
  </si>
  <si>
    <t>Absa | Branch | Absa Bank Kenya PLC Headquarters, Nairobi, Kenya</t>
  </si>
  <si>
    <t>Nov 6, 2025, 5:14:18 PM</t>
  </si>
  <si>
    <t>Nov 6, 2025, 3:18:45 PM</t>
  </si>
  <si>
    <t>NDANU M.</t>
  </si>
  <si>
    <t>0727944236</t>
  </si>
  <si>
    <t>The Gateway Apartments, Nairobi, Kenya</t>
  </si>
  <si>
    <t>Nov 6, 2025, 3:39:25 PM</t>
  </si>
  <si>
    <t>Nov 6, 2025, 2:16:04 PM</t>
  </si>
  <si>
    <t>0115193603</t>
  </si>
  <si>
    <t>Zahra Heights, Menelik Road, Nairobi, Kenya</t>
  </si>
  <si>
    <t>Nov 6, 2025, 2:30:59 PM</t>
  </si>
  <si>
    <t>Nov 6, 2025, 1:11:03 PM</t>
  </si>
  <si>
    <t>FOZAH O</t>
  </si>
  <si>
    <t>0711494911</t>
  </si>
  <si>
    <t>ADAK HOUSE, Milimani Road, Nairobi, Kenya</t>
  </si>
  <si>
    <t>Nov 6, 2025, 1:20:56 PM</t>
  </si>
  <si>
    <t>Nov 5, 2025, 4:24:19 PM</t>
  </si>
  <si>
    <t>SHEILA K.</t>
  </si>
  <si>
    <t>0723547149</t>
  </si>
  <si>
    <t>Nov 5, 2025, 4:37:07 PM</t>
  </si>
  <si>
    <t>Nov 5, 2025, 2:27:53 PM</t>
  </si>
  <si>
    <t>ALLEY</t>
  </si>
  <si>
    <t>0717136500</t>
  </si>
  <si>
    <t>Lavington Brooks, Kingara Cl, Nairobi, Kenya</t>
  </si>
  <si>
    <t>Nov 5, 2025, 2:48:26 PM</t>
  </si>
  <si>
    <t>Nov 5, 2025, 1:19:56 PM</t>
  </si>
  <si>
    <t>MAGGIE</t>
  </si>
  <si>
    <t>0719557082</t>
  </si>
  <si>
    <t>ACK Garden House, 1St Ngong Avenue, Nairobi, Kenya</t>
  </si>
  <si>
    <t>Nov 5, 2025, 1:52:16 PM</t>
  </si>
  <si>
    <t>Nov 5, 2025, 12:49:12 PM</t>
  </si>
  <si>
    <t>JAZ</t>
  </si>
  <si>
    <t>0712825095</t>
  </si>
  <si>
    <t>73 Kirinyaga Road, Nairobi, Kenya</t>
  </si>
  <si>
    <t>Nov 5, 2025, 12:59:24 PM</t>
  </si>
  <si>
    <t>Nov 4, 2025, 4:55:58 PM</t>
  </si>
  <si>
    <t>JOSHUA M.</t>
  </si>
  <si>
    <t>0113913689</t>
  </si>
  <si>
    <t>41 Ndege Rd, Nairobi, Kenya</t>
  </si>
  <si>
    <t>Nov 4, 2025, 5:29:15 PM</t>
  </si>
  <si>
    <t>RECEIPTS04:11</t>
  </si>
  <si>
    <t>Nov 4, 2025, 3:19:28 PM</t>
  </si>
  <si>
    <t>NOAH</t>
  </si>
  <si>
    <t>Nov 4, 2025, 3:20:03 PM</t>
  </si>
  <si>
    <t>Nov 4, 2025, 2:04:51 PM</t>
  </si>
  <si>
    <t>SONALI S.</t>
  </si>
  <si>
    <t>0798201402</t>
  </si>
  <si>
    <t>Galana Suites, Galana Road, Nairobi, Kenya</t>
  </si>
  <si>
    <t>Nov 4, 2025, 2:28:21 PM</t>
  </si>
  <si>
    <t>Nov 4, 2025, 11:54:11 AM</t>
  </si>
  <si>
    <t>HILDA</t>
  </si>
  <si>
    <t>0115587007</t>
  </si>
  <si>
    <t>Nov 4, 2025, 12:12:55 PM</t>
  </si>
  <si>
    <t>+2540726879042</t>
  </si>
  <si>
    <t>Joash Akombe</t>
  </si>
  <si>
    <t>Nov 4, 2025, 10:22:00 AM</t>
  </si>
  <si>
    <t>BRIAN K.</t>
  </si>
  <si>
    <t>0722997999</t>
  </si>
  <si>
    <t>Civil Servants Housing Estate - Kiambu, Nairobi, Kenya</t>
  </si>
  <si>
    <t>12.5</t>
  </si>
  <si>
    <t>Nov 4, 2025, 10:55:18 AM</t>
  </si>
  <si>
    <t>+254799569525</t>
  </si>
  <si>
    <t>John Adedi</t>
  </si>
  <si>
    <t>Nov 6, 2025, 6:04:43 PM</t>
  </si>
  <si>
    <t>ISS P</t>
  </si>
  <si>
    <t>0713056986</t>
  </si>
  <si>
    <t>C&amp;A Apartment kirigiti, Kiambu, Kenya</t>
  </si>
  <si>
    <t>Nov 6, 2025, 6:22:38 PM</t>
  </si>
  <si>
    <t>Nov 6, 2025, 3:49:00 PM</t>
  </si>
  <si>
    <t>Faisai</t>
  </si>
  <si>
    <t>Nov 6, 2025, 3:59:51 PM</t>
  </si>
  <si>
    <t>Nov 6, 2025, 1:17:17 PM</t>
  </si>
  <si>
    <t>Jack R</t>
  </si>
  <si>
    <t>0743379551</t>
  </si>
  <si>
    <t>QQG7+2WJ Nairobi, Kenya</t>
  </si>
  <si>
    <t>Nov 6, 2025, 1:40:38 PM</t>
  </si>
  <si>
    <t>20682.0</t>
  </si>
  <si>
    <t>Nov 6, 2025, 12:07:36 PM</t>
  </si>
  <si>
    <t>Shritesh N.</t>
  </si>
  <si>
    <t>0733976486</t>
  </si>
  <si>
    <t>Sanlam Investment East Africa (Formerly Pinebridge Investments), Hospital Road, Nairobi, Kenya</t>
  </si>
  <si>
    <t>Nov 6, 2025, 12:11:15 PM</t>
  </si>
  <si>
    <t>+254708588262</t>
  </si>
  <si>
    <t xml:space="preserve">John Kambona ebikes </t>
  </si>
  <si>
    <t>Nov 6, 2025, 9:07:11 PM</t>
  </si>
  <si>
    <t>MICHAEL M.</t>
  </si>
  <si>
    <t>0769717432</t>
  </si>
  <si>
    <t>NML Towers, Nairobi, Kenya</t>
  </si>
  <si>
    <t>Nov 6, 2025, 9:37:32 PM</t>
  </si>
  <si>
    <t xml:space="preserve"> C123B</t>
  </si>
  <si>
    <t>Nov 6, 2025, 8:05:01 PM</t>
  </si>
  <si>
    <t>MUNENE</t>
  </si>
  <si>
    <t>Nov 6, 2025, 9:00:31 PM</t>
  </si>
  <si>
    <t>Nov 6, 2025, 7:37:41 PM</t>
  </si>
  <si>
    <t>NJERI M</t>
  </si>
  <si>
    <t>0717515834</t>
  </si>
  <si>
    <t>Corridor, Ngotho Road, Nairobi, Kenya</t>
  </si>
  <si>
    <t>Nov 6, 2025, 7:56:22 PM</t>
  </si>
  <si>
    <t>Nov 6, 2025, 6:21:34 PM</t>
  </si>
  <si>
    <t>STEPH</t>
  </si>
  <si>
    <t>0796989769</t>
  </si>
  <si>
    <t>Lavington West Estate, Phs 1#19, Serenity Lane, Nairobi, Kenya</t>
  </si>
  <si>
    <t>Nov 6, 2025, 6:26:02 PM</t>
  </si>
  <si>
    <t>Nov 6, 2025, 4:31:13 PM</t>
  </si>
  <si>
    <t>ALICE N.</t>
  </si>
  <si>
    <t>0721732761</t>
  </si>
  <si>
    <t>Mararo Court, Mararo Road, Nairobi, Kenya</t>
  </si>
  <si>
    <t>Nov 6, 2025, 4:52:51 PM</t>
  </si>
  <si>
    <t>Nov 6, 2025, 2:01:45 PM</t>
  </si>
  <si>
    <t>SHARON K.</t>
  </si>
  <si>
    <t>Nov 6, 2025, 2:21:42 PM</t>
  </si>
  <si>
    <t>Nov 6, 2025, 1:20:25 PM</t>
  </si>
  <si>
    <t>TIMOTHY W.</t>
  </si>
  <si>
    <t>Nov 6, 2025, 1:34:00 PM</t>
  </si>
  <si>
    <t>Nov 6, 2025, 12:20:08 PM</t>
  </si>
  <si>
    <t>BRENDA R</t>
  </si>
  <si>
    <t>0708672029</t>
  </si>
  <si>
    <t>Langata NHC Court, Nairobi, Kenya</t>
  </si>
  <si>
    <t>Nov 6, 2025, 12:31:15 PM</t>
  </si>
  <si>
    <t>Nov 5, 2025, 6:03:12 PM</t>
  </si>
  <si>
    <t>ANDRIUS</t>
  </si>
  <si>
    <t>0116485858</t>
  </si>
  <si>
    <t>Urban Oasis Apartments, Nairobi, Kenya</t>
  </si>
  <si>
    <t>Nov 5, 2025, 6:34:37 PM</t>
  </si>
  <si>
    <t>Nov 5, 2025, 3:09:58 PM</t>
  </si>
  <si>
    <t>Nov 5, 2025, 3:26:16 PM</t>
  </si>
  <si>
    <t>Nov 5, 2025, 1:58:18 PM</t>
  </si>
  <si>
    <t>SORAYA</t>
  </si>
  <si>
    <t>0705370575</t>
  </si>
  <si>
    <t>Maanzoni 680 Hotel, HOTEL BLDG Starehe, Muindi Mbingu Street, Nairobi, Kenya</t>
  </si>
  <si>
    <t>Nov 5, 2025, 2:22:04 PM</t>
  </si>
  <si>
    <t>Nov 5, 2025, 1:18:10 PM</t>
  </si>
  <si>
    <t>MANDEEP J.</t>
  </si>
  <si>
    <t>0768511110</t>
  </si>
  <si>
    <t>Nov 5, 2025, 1:46:57 PM</t>
  </si>
  <si>
    <t>Nov 4, 2025, 5:46:33 PM</t>
  </si>
  <si>
    <t>LOTTE V.</t>
  </si>
  <si>
    <t>Nov 4, 2025, 6:00:58 PM</t>
  </si>
  <si>
    <t>Nov 4, 2025, 4:17:33 PM</t>
  </si>
  <si>
    <t>CLINTON</t>
  </si>
  <si>
    <t>0715286404</t>
  </si>
  <si>
    <t>Nov 4, 2025, 4:31:25 PM</t>
  </si>
  <si>
    <t>Nov 4, 2025, 2:35:59 PM</t>
  </si>
  <si>
    <t>0710771100</t>
  </si>
  <si>
    <t>Lap Pension Towers, Loita Street, Nairobi, Kenya</t>
  </si>
  <si>
    <t>Nov 4, 2025, 2:58:49 PM</t>
  </si>
  <si>
    <t>Nov 4, 2025, 11:41:33 AM</t>
  </si>
  <si>
    <t>MARIA</t>
  </si>
  <si>
    <t>Kenya Investment Authority, Upper Hill Road, Nairobi, Kenya</t>
  </si>
  <si>
    <t>Nov 4, 2025, 12:05:27 PM</t>
  </si>
  <si>
    <t>+254700461848</t>
  </si>
  <si>
    <t>John Muiruri</t>
  </si>
  <si>
    <t>Nov 6, 2025, 8:14:01 PM</t>
  </si>
  <si>
    <t>D.od</t>
  </si>
  <si>
    <t>+254788644468</t>
  </si>
  <si>
    <t>Mai Mahiu Road, Kogo Star Plaza</t>
  </si>
  <si>
    <t>Nov 6, 2025, 8:33:54 PM</t>
  </si>
  <si>
    <t>Nov 6, 2025, 7:59:35 PM</t>
  </si>
  <si>
    <t>STEFANIE G</t>
  </si>
  <si>
    <t>Waterhole Bar, Nairobi, Kenya</t>
  </si>
  <si>
    <t>Nov 6, 2025, 8:35:56 PM</t>
  </si>
  <si>
    <t>Nov 6, 2025, 7:47:00 PM</t>
  </si>
  <si>
    <t>Aymeric</t>
  </si>
  <si>
    <t>011945417</t>
  </si>
  <si>
    <t>Skyline Apartments-Kilimani, Marcus Garvey Road, Nairobi, Kenya</t>
  </si>
  <si>
    <t>Nov 6, 2025, 8:00:19 PM</t>
  </si>
  <si>
    <t>Nov 6, 2025, 6:35:03 PM</t>
  </si>
  <si>
    <t>George C</t>
  </si>
  <si>
    <t>Serene Valley Apartments &amp; Spa, Kiambere Road, Nairobi, Kenya</t>
  </si>
  <si>
    <t>Nov 6, 2025, 6:36:18 PM</t>
  </si>
  <si>
    <t>GeorgePickUp6</t>
  </si>
  <si>
    <t>TANDOORI PATIO, Petrocity, Limuru Road, Nairobi, Kenya</t>
  </si>
  <si>
    <t>Nov 6, 2025, 6:05:59 PM</t>
  </si>
  <si>
    <t>Zer N</t>
  </si>
  <si>
    <t>Nov 6, 2025, 6:34:50 PM</t>
  </si>
  <si>
    <t>Nov 6, 2025, 5:16:15 PM</t>
  </si>
  <si>
    <t>Eric M</t>
  </si>
  <si>
    <t>0796943244</t>
  </si>
  <si>
    <t>Canaan Apartments, Nairobi, Kenya</t>
  </si>
  <si>
    <t>Nov 6, 2025, 5:24:50 PM</t>
  </si>
  <si>
    <t>Nov 6, 2025, 2:14:32 PM</t>
  </si>
  <si>
    <t>Sean W</t>
  </si>
  <si>
    <t>0704425981</t>
  </si>
  <si>
    <t>Nov 6, 2025, 2:24:05 PM</t>
  </si>
  <si>
    <t>Nov 6, 2025, 12:51:02 PM</t>
  </si>
  <si>
    <t>0700351661</t>
  </si>
  <si>
    <t>KEZA Laika by Mi Vida Homes, Banana Raini Road, Ruaka, Kenya</t>
  </si>
  <si>
    <t>Nov 6, 2025, 12:52:51 PM</t>
  </si>
  <si>
    <t>Nov 5, 2025, 8:16:06 PM</t>
  </si>
  <si>
    <t>PURNIMA K</t>
  </si>
  <si>
    <t>Tanga Heights Apartments, Bamboo Lane, Nairobi, Kenya</t>
  </si>
  <si>
    <t>Nov 5, 2025, 8:26:25 PM</t>
  </si>
  <si>
    <t>Nov 5, 2025, 7:20:45 PM</t>
  </si>
  <si>
    <t>SANDER S</t>
  </si>
  <si>
    <t>Nov 5, 2025, 7:23:35 PM</t>
  </si>
  <si>
    <t>Nov 5, 2025, 5:34:41 PM</t>
  </si>
  <si>
    <t>LIZIE</t>
  </si>
  <si>
    <t>0721890465</t>
  </si>
  <si>
    <t>Ngumo Central Estate, Nairobi City, Kenya</t>
  </si>
  <si>
    <t>Nov 5, 2025, 5:49:14 PM</t>
  </si>
  <si>
    <t>Nov 5, 2025, 3:14:00 PM</t>
  </si>
  <si>
    <t>SOSPETER</t>
  </si>
  <si>
    <t>0792604144</t>
  </si>
  <si>
    <t>565 Gitanga Road, Nairobi, Kenya</t>
  </si>
  <si>
    <t>Nov 5, 2025, 3:30:39 PM</t>
  </si>
  <si>
    <t>5DDS2</t>
  </si>
  <si>
    <t>Nov 4, 2025, 9:45:30 PM</t>
  </si>
  <si>
    <t>Alpha court, Nairobi, Kenya</t>
  </si>
  <si>
    <t>24.5</t>
  </si>
  <si>
    <t>Nov 4, 2025, 10:08:24 PM</t>
  </si>
  <si>
    <t>Nov 4, 2025, 9:45:10 PM</t>
  </si>
  <si>
    <t>Yvonne W. (The arc apartments Door number A3)</t>
  </si>
  <si>
    <t>0704804898</t>
  </si>
  <si>
    <t>The Arc - Kitisuru, Rungiri, Kenya</t>
  </si>
  <si>
    <t>Nov 4, 2025, 9:49:18 PM</t>
  </si>
  <si>
    <t>pickupyvonne</t>
  </si>
  <si>
    <t>Yvonne W.</t>
  </si>
  <si>
    <t>Nov 4, 2025, 7:45:41 PM</t>
  </si>
  <si>
    <t>TINA L</t>
  </si>
  <si>
    <t>Hansvir Court, Nairobi, Kenya</t>
  </si>
  <si>
    <t>Nov 4, 2025, 7:50:42 PM</t>
  </si>
  <si>
    <t>Nov 4, 2025, 7:24:29 PM</t>
  </si>
  <si>
    <t>8.4</t>
  </si>
  <si>
    <t>Nov 4, 2025, 7:48:02 PM</t>
  </si>
  <si>
    <t>Nov 4, 2025, 7:21:41 PM</t>
  </si>
  <si>
    <t>GEORGE</t>
  </si>
  <si>
    <t>Nov 4, 2025, 10:06:16 PM</t>
  </si>
  <si>
    <t>Nov 4, 2025, 4:48:35 PM</t>
  </si>
  <si>
    <t>Emily N.</t>
  </si>
  <si>
    <t>0700413787</t>
  </si>
  <si>
    <t>Shimmers Apartments, Nairobi, Kenya</t>
  </si>
  <si>
    <t>Nov 4, 2025, 5:00:32 PM</t>
  </si>
  <si>
    <t>Nov 4, 2025, 1:56:06 PM</t>
  </si>
  <si>
    <t>John F</t>
  </si>
  <si>
    <t>+004747613324</t>
  </si>
  <si>
    <t>Kenya, Ruaka, The Loftel - Ruaka</t>
  </si>
  <si>
    <t>Nov 4, 2025, 3:35:07 PM</t>
  </si>
  <si>
    <t>+254720770213</t>
  </si>
  <si>
    <t xml:space="preserve">Joseph  Okado </t>
  </si>
  <si>
    <t>Nov 6, 2025, 8:40:00 PM</t>
  </si>
  <si>
    <t>pan</t>
  </si>
  <si>
    <t>0733993972</t>
  </si>
  <si>
    <t>Bellevue Estate, Nairobi, Kenya</t>
  </si>
  <si>
    <t>Nov 6, 2025, 8:51:53 PM</t>
  </si>
  <si>
    <t>Nov 6, 2025, 7:28:00 PM</t>
  </si>
  <si>
    <t>Nov 6, 2025, 7:55:09 PM</t>
  </si>
  <si>
    <t>Nov 6, 2025, 5:12:47 PM</t>
  </si>
  <si>
    <t>Scott C</t>
  </si>
  <si>
    <t>0757703771</t>
  </si>
  <si>
    <t>259 Runda Grove, Nairobi, Kenya</t>
  </si>
  <si>
    <t>Nov 6, 2025, 5:24:33 PM</t>
  </si>
  <si>
    <t>Nov 6, 2025, 3:15:00 PM</t>
  </si>
  <si>
    <t>Mahad</t>
  </si>
  <si>
    <t>0740606775</t>
  </si>
  <si>
    <t>Nov 6, 2025, 3:41:13 PM</t>
  </si>
  <si>
    <t>Nov 6, 2025, 1:49:00 PM</t>
  </si>
  <si>
    <t>0717549168</t>
  </si>
  <si>
    <t>Ikigai Nairobi (Lower Kabete), Lower Kabete, Nairobi, Kenya</t>
  </si>
  <si>
    <t>Nov 6, 2025, 2:06:46 PM</t>
  </si>
  <si>
    <t>Nov 5, 2025, 8:26:29 PM</t>
  </si>
  <si>
    <t>Getrude</t>
  </si>
  <si>
    <t>+254722615582</t>
  </si>
  <si>
    <t>Laxma apartment, Block B</t>
  </si>
  <si>
    <t>Nov 5, 2025, 8:27:10 PM</t>
  </si>
  <si>
    <t>Nov 5, 2025, 6:21:16 PM</t>
  </si>
  <si>
    <t>AMRAN ALALE</t>
  </si>
  <si>
    <t>0701952255</t>
  </si>
  <si>
    <t>Runda Paradise 2, Nairobi, Kenya</t>
  </si>
  <si>
    <t>Nov 5, 2025, 6:44:24 PM</t>
  </si>
  <si>
    <t>Nov 5, 2025, 4:40:06 PM</t>
  </si>
  <si>
    <t>ANDEYO</t>
  </si>
  <si>
    <t>0799059146</t>
  </si>
  <si>
    <t>Mountain View School, Mountain View School, USIU Road, Nairobi, Kenya</t>
  </si>
  <si>
    <t>Nov 5, 2025, 4:44:59 PM</t>
  </si>
  <si>
    <t>Nov 5, 2025, 3:06:00 PM</t>
  </si>
  <si>
    <t>La Dolce Vita, Limuru Road, Nairobi, Kenya</t>
  </si>
  <si>
    <t>Nov 5, 2025, 3:33:00 PM</t>
  </si>
  <si>
    <t>JACQUELINE</t>
  </si>
  <si>
    <t>0722175266</t>
  </si>
  <si>
    <t>Rainbow Tower, Muthithi Road, Nairobi, Kenya</t>
  </si>
  <si>
    <t>Nov 5, 2025, 2:34:11 PM</t>
  </si>
  <si>
    <t>Nov 5, 2025, 11:59:00 AM</t>
  </si>
  <si>
    <t>Kevin</t>
  </si>
  <si>
    <t>Nov 5, 2025, 12:27:07 PM</t>
  </si>
  <si>
    <t>Nov 4, 2025, 5:26:50 PM</t>
  </si>
  <si>
    <t>DAHMI</t>
  </si>
  <si>
    <t>0725245213</t>
  </si>
  <si>
    <t>Melissa Court Apartment, Nairobi, Kenya</t>
  </si>
  <si>
    <t>Nov 4, 2025, 5:45:19 PM</t>
  </si>
  <si>
    <t>Nov 4, 2025, 4:36:00 PM</t>
  </si>
  <si>
    <t>DOREEN</t>
  </si>
  <si>
    <t>0716839362</t>
  </si>
  <si>
    <t>Nov 4, 2025, 5:10:56 PM</t>
  </si>
  <si>
    <t>AndyPickUp</t>
  </si>
  <si>
    <t>Nov 4, 2025, 3:26:24 PM</t>
  </si>
  <si>
    <t>Andy R</t>
  </si>
  <si>
    <t>0787528151</t>
  </si>
  <si>
    <t>Nov 4, 2025, 3:27:58 PM</t>
  </si>
  <si>
    <t>#139535</t>
  </si>
  <si>
    <t>Nov 4, 2025, 2:14:29 PM</t>
  </si>
  <si>
    <t>Vineet N.</t>
  </si>
  <si>
    <t>0758407982</t>
  </si>
  <si>
    <t>Woodvale Grove, Nairobi, Kenya</t>
  </si>
  <si>
    <t>Nov 4, 2025, 3:19:30 PM</t>
  </si>
  <si>
    <t>Nov 4, 2025, 1:35:00 PM</t>
  </si>
  <si>
    <t>Vineet</t>
  </si>
  <si>
    <t>+254758407982</t>
  </si>
  <si>
    <t>Purvi House</t>
  </si>
  <si>
    <t>Nov 4, 2025, 3:21:02 PM</t>
  </si>
  <si>
    <t>Nov 4, 2025, 12:45:16 PM</t>
  </si>
  <si>
    <t>Antant</t>
  </si>
  <si>
    <t>+015104329299</t>
  </si>
  <si>
    <t>Riverbank Apartments at Two Rivers, Two Rivers, Nairobi, Kenya</t>
  </si>
  <si>
    <t>16.2</t>
  </si>
  <si>
    <t>Nov 4, 2025, 1:14:34 PM</t>
  </si>
  <si>
    <t>Nov 4, 2025, 12:46:25 PM</t>
  </si>
  <si>
    <t>pickupAntant</t>
  </si>
  <si>
    <t>Nov 4, 2025, 12:44:19 PM</t>
  </si>
  <si>
    <t>Nov 4, 2025, 12:45:12 PM</t>
  </si>
  <si>
    <t>+254745423824</t>
  </si>
  <si>
    <t>Joseph Karimi</t>
  </si>
  <si>
    <t>Nov 5, 2025, 4:30:21 PM</t>
  </si>
  <si>
    <t>WISLAY K.</t>
  </si>
  <si>
    <t>0706891843</t>
  </si>
  <si>
    <t>Pinetree Plaza Kaburu Drive, Kamburu Drive, Nairobi, Kenya</t>
  </si>
  <si>
    <t>Nov 5, 2025, 4:44:43 PM</t>
  </si>
  <si>
    <t>PICKUP,SPANISH,PARPRIKA.</t>
  </si>
  <si>
    <t>Nov 5, 2025, 3:01:39 PM</t>
  </si>
  <si>
    <t>Nov 5, 2025, 3:03:22 PM</t>
  </si>
  <si>
    <t>Nov 5, 2025, 2:50:32 PM</t>
  </si>
  <si>
    <t>NICOLA B.</t>
  </si>
  <si>
    <t>0728567442</t>
  </si>
  <si>
    <t>Faddville Estate, Oloitokitok Road, Likoni Lane, Nairobi, Kenya</t>
  </si>
  <si>
    <t>Nov 5, 2025, 3:12:37 PM</t>
  </si>
  <si>
    <t>Nov 5, 2025, 1:14:24 PM</t>
  </si>
  <si>
    <t>AUGUSTE N.</t>
  </si>
  <si>
    <t>Nov 5, 2025, 1:31:58 PM</t>
  </si>
  <si>
    <t>Nov 5, 2025, 11:48:06 AM</t>
  </si>
  <si>
    <t>FREDDIE T.</t>
  </si>
  <si>
    <t>Nov 5, 2025, 12:04:39 PM</t>
  </si>
  <si>
    <t>Nov 4, 2025, 8:14:32 PM</t>
  </si>
  <si>
    <t>KWESI C</t>
  </si>
  <si>
    <t>+017707133649</t>
  </si>
  <si>
    <t>Sandalwood garden, Argwings kodhek road, Argwings Kodhek Road, Nairobi, Kenya</t>
  </si>
  <si>
    <t>Nov 4, 2025, 8:15:41 PM</t>
  </si>
  <si>
    <t>Nov 4, 2025, 8:09:55 PM</t>
  </si>
  <si>
    <t>ABD EL RAOUF H.</t>
  </si>
  <si>
    <t>Nov 4, 2025, 8:45:03 PM</t>
  </si>
  <si>
    <t>Nov 4, 2025, 6:57:03 PM</t>
  </si>
  <si>
    <t>Nov 4, 2025, 7:12:03 PM</t>
  </si>
  <si>
    <t>Nov 4, 2025, 5:26:34 PM</t>
  </si>
  <si>
    <t>ALEXANDER H.</t>
  </si>
  <si>
    <t>0711679869</t>
  </si>
  <si>
    <t>Tabere Heights Apartments - Kileleshwa, Tabere Crescent, Nairobi, Kenya</t>
  </si>
  <si>
    <t>Nov 4, 2025, 5:38:35 PM</t>
  </si>
  <si>
    <t>Nov 4, 2025, 4:20:13 PM</t>
  </si>
  <si>
    <t>DEE N.</t>
  </si>
  <si>
    <t>0722664804</t>
  </si>
  <si>
    <t>Kenton College Preparatory School, Gichugu Road, Nairobi, Kenya</t>
  </si>
  <si>
    <t>Nov 4, 2025, 6:33:37 PM</t>
  </si>
  <si>
    <t>Nov 4, 2025, 3:29:12 PM</t>
  </si>
  <si>
    <t>CLARE N.</t>
  </si>
  <si>
    <t>0722509612</t>
  </si>
  <si>
    <t>The Arch Place, Nyangumi Road, Nairobi, Kenya</t>
  </si>
  <si>
    <t>Nov 4, 2025, 3:46:40 PM</t>
  </si>
  <si>
    <t>Nov 4, 2025, 1:56:29 PM</t>
  </si>
  <si>
    <t>Nov 4, 2025, 2:28:02 PM</t>
  </si>
  <si>
    <t>Nov 4, 2025, 1:25:10 PM</t>
  </si>
  <si>
    <t>YOGESH P.</t>
  </si>
  <si>
    <t>0750898871</t>
  </si>
  <si>
    <t>Gemina Court, George Padmore Road, Nairobi, Kenya</t>
  </si>
  <si>
    <t>Nov 4, 2025, 1:46:51 PM</t>
  </si>
  <si>
    <t>Nov 4, 2025, 12:27:24 PM</t>
  </si>
  <si>
    <t>PAULINE R.</t>
  </si>
  <si>
    <t>0769375828</t>
  </si>
  <si>
    <t>Samuel Hall East Africa Ltd, Nairobi, Kenya</t>
  </si>
  <si>
    <t>Nov 4, 2025, 12:42:44 PM</t>
  </si>
  <si>
    <t>+254743566505</t>
  </si>
  <si>
    <t xml:space="preserve">Justine  Mukoto </t>
  </si>
  <si>
    <t>Nov 6, 2025, 8:39:00 PM</t>
  </si>
  <si>
    <t>JEMIMAH</t>
  </si>
  <si>
    <t>0728817629</t>
  </si>
  <si>
    <t>Ajaz Apartments, Kilimani Road, Nairobi, Kenya</t>
  </si>
  <si>
    <t>Nov 6, 2025, 8:53:27 PM</t>
  </si>
  <si>
    <t>Nov 6, 2025, 7:33:04 PM</t>
  </si>
  <si>
    <t>SOLOMON</t>
  </si>
  <si>
    <t>0702787930</t>
  </si>
  <si>
    <t>Epco Village, Nairobi, Kenya</t>
  </si>
  <si>
    <t>Nov 6, 2025, 7:47:58 PM</t>
  </si>
  <si>
    <t>Nov 6, 2025, 6:22:25 PM</t>
  </si>
  <si>
    <t>SARRAH M</t>
  </si>
  <si>
    <t>0748940244</t>
  </si>
  <si>
    <t>Shree Swaminarayan Hospital(Langata), Nairobi, Kenya</t>
  </si>
  <si>
    <t>Nov 6, 2025, 6:39:19 PM</t>
  </si>
  <si>
    <t>Nov 6, 2025, 5:50:26 PM</t>
  </si>
  <si>
    <t>IVORY K</t>
  </si>
  <si>
    <t>0713389790</t>
  </si>
  <si>
    <t>Kidgrove Court, Chania Avenue, Nairobi, Kenya</t>
  </si>
  <si>
    <t>Nov 6, 2025, 5:08:41 PM</t>
  </si>
  <si>
    <t>Nov 6, 2025, 2:00:11 PM</t>
  </si>
  <si>
    <t>AMAN T</t>
  </si>
  <si>
    <t>0104695950</t>
  </si>
  <si>
    <t>Ram Residency, Nairobi, Kenya</t>
  </si>
  <si>
    <t>Nov 6, 2025, 2:19:32 PM</t>
  </si>
  <si>
    <t>Nov 6, 2025, 1:36:00 PM</t>
  </si>
  <si>
    <t>Catherine</t>
  </si>
  <si>
    <t>0728417707</t>
  </si>
  <si>
    <t>Lion Place, Waiyaki Way, Nairobi, Kenya</t>
  </si>
  <si>
    <t>Nov 6, 2025, 1:43:21 PM</t>
  </si>
  <si>
    <t>Nov 5, 2025, 8:55:46 PM</t>
  </si>
  <si>
    <t>ANIKKA</t>
  </si>
  <si>
    <t>0790133663</t>
  </si>
  <si>
    <t>TSAVO Sunset, Nairobi, Kenya</t>
  </si>
  <si>
    <t>Nov 5, 2025, 8:56:58 PM</t>
  </si>
  <si>
    <t>Nov 5, 2025, 6:38:14 PM</t>
  </si>
  <si>
    <t>CAROL</t>
  </si>
  <si>
    <t>0718079828</t>
  </si>
  <si>
    <t>Nov 5, 2025, 6:48:18 PM</t>
  </si>
  <si>
    <t>Nov 5, 2025, 5:19:24 PM</t>
  </si>
  <si>
    <t>TEJA</t>
  </si>
  <si>
    <t>0715878997</t>
  </si>
  <si>
    <t>Chandaria Industries, Nairobi, Kenya</t>
  </si>
  <si>
    <t>Nov 5, 2025, 5:37:58 PM</t>
  </si>
  <si>
    <t>Nov 5, 2025, 1:05:15 PM</t>
  </si>
  <si>
    <t>Sheila Rema</t>
  </si>
  <si>
    <t>0114560071</t>
  </si>
  <si>
    <t>Chapel Hill, Ngong Road, Ngong, Kenya</t>
  </si>
  <si>
    <t>40.0</t>
  </si>
  <si>
    <t>21.3</t>
  </si>
  <si>
    <t>Nov 5, 2025, 1:29:51 PM</t>
  </si>
  <si>
    <t xml:space="preserve"> 4A156</t>
  </si>
  <si>
    <t>Nov 4, 2025, 9:00:04 PM</t>
  </si>
  <si>
    <t>ELVIS K.</t>
  </si>
  <si>
    <t>0717012699</t>
  </si>
  <si>
    <t>Crest View Park, Rungiri, Kenya</t>
  </si>
  <si>
    <t>Nov 4, 2025, 9:23:29 PM</t>
  </si>
  <si>
    <t>Nov 4, 2025, 7:30:02 PM</t>
  </si>
  <si>
    <t>Moh</t>
  </si>
  <si>
    <t>+254718556125</t>
  </si>
  <si>
    <t>Gabro Heights, on the new Ruaka Highway. Next underpass after Total Petrol Station,  Gacharage.</t>
  </si>
  <si>
    <t>Nov 4, 2025, 7:42:13 PM</t>
  </si>
  <si>
    <t>TESTORDERKyoheiDirector...</t>
  </si>
  <si>
    <t>Nov 4, 2025, 6:16:29 PM</t>
  </si>
  <si>
    <t>Kyohei (house no.6)</t>
  </si>
  <si>
    <t>0717112233</t>
  </si>
  <si>
    <t>El Molo Gardens, Naushad Merali Drive, Nairobi, Kenya</t>
  </si>
  <si>
    <t>Nov 4, 2025, 6:18:25 PM</t>
  </si>
  <si>
    <t>Nov 4, 2025, 3:34:31 PM</t>
  </si>
  <si>
    <t>Zoumana (floor 6. apt.13)</t>
  </si>
  <si>
    <t>0793310138</t>
  </si>
  <si>
    <t>Signature Residence Nairobi, Nairobi, Kenya</t>
  </si>
  <si>
    <t>Nov 4, 2025, 3:36:26 PM</t>
  </si>
  <si>
    <t>PICKUPOMOLLOJUSTIN</t>
  </si>
  <si>
    <t>Nov 4, 2025, 1:56:51 PM</t>
  </si>
  <si>
    <t>OMOLLO</t>
  </si>
  <si>
    <t>Phoenix Interiors Ltd, Daraja, Kenya</t>
  </si>
  <si>
    <t>Nov 4, 2025, 1:58:06 PM</t>
  </si>
  <si>
    <t>Nov 4, 2025, 1:04:17 PM</t>
  </si>
  <si>
    <t>ROMAIN J</t>
  </si>
  <si>
    <t>0795811362</t>
  </si>
  <si>
    <t>Nov 4, 2025, 1:29:03 PM</t>
  </si>
  <si>
    <t>+2540746291485</t>
  </si>
  <si>
    <t xml:space="preserve">Kelvin  Wakaba </t>
  </si>
  <si>
    <t>Nov 6, 2025, 6:21:33 PM</t>
  </si>
  <si>
    <t>CYNTHIA K</t>
  </si>
  <si>
    <t>0726239333</t>
  </si>
  <si>
    <t>Karuri Valley Apartments, Ruaka, Kenya</t>
  </si>
  <si>
    <t>Nov 6, 2025, 6:47:32 PM</t>
  </si>
  <si>
    <t>Nov 6, 2025, 4:40:00 PM</t>
  </si>
  <si>
    <t>EMILY F.</t>
  </si>
  <si>
    <t>0759726813</t>
  </si>
  <si>
    <t>Kahawa Gardens, Nairobi, Kenya</t>
  </si>
  <si>
    <t>Nov 6, 2025, 5:30:25 PM</t>
  </si>
  <si>
    <t>Nov 6, 2025, 2:00:40 PM</t>
  </si>
  <si>
    <t>tino m</t>
  </si>
  <si>
    <t>0791991773</t>
  </si>
  <si>
    <t>Jasmine Avenue, Mumwe Drive, Kenya</t>
  </si>
  <si>
    <t>Nov 6, 2025, 2:16:46 PM</t>
  </si>
  <si>
    <t>Nov 6, 2025, 1:46:16 PM</t>
  </si>
  <si>
    <t>evalyn w</t>
  </si>
  <si>
    <t>0722433212</t>
  </si>
  <si>
    <t>Eaton Place, United Nations Crescent, Nairobi, Kenya</t>
  </si>
  <si>
    <t>Nov 6, 2025, 2:06:29 PM</t>
  </si>
  <si>
    <t>SUPERCUT-MUTTON-KW</t>
  </si>
  <si>
    <t>Nov 5, 2025, 11:00:58 AM</t>
  </si>
  <si>
    <t>Sports Road, Nairobi, Kenya</t>
  </si>
  <si>
    <t>Nov 5, 2025, 11:46:08 AM</t>
  </si>
  <si>
    <t>+254710669816</t>
  </si>
  <si>
    <t>Keneth Kirui</t>
  </si>
  <si>
    <t>d45dc</t>
  </si>
  <si>
    <t>Nov 6, 2025, 6:09:25 PM</t>
  </si>
  <si>
    <t>alexander w</t>
  </si>
  <si>
    <t>0702069579</t>
  </si>
  <si>
    <t>Nov 6, 2025, 6:38:20 PM</t>
  </si>
  <si>
    <t>f7098</t>
  </si>
  <si>
    <t>Nov 6, 2025, 2:28:46 PM</t>
  </si>
  <si>
    <t>madukaibe</t>
  </si>
  <si>
    <t>Kikuyu Road, Rungiri, Kenya</t>
  </si>
  <si>
    <t>36.0</t>
  </si>
  <si>
    <t>Nov 6, 2025, 2:44:03 PM</t>
  </si>
  <si>
    <t>Nov 5, 2025, 6:47:13 PM</t>
  </si>
  <si>
    <t>JOOST M</t>
  </si>
  <si>
    <t>0721738116</t>
  </si>
  <si>
    <t>16f Bendera Lane, Nairobi, Kenya</t>
  </si>
  <si>
    <t>Nov 6, 2025, 2:39:41 PM</t>
  </si>
  <si>
    <t>Nov 5, 2025, 6:12:02 PM</t>
  </si>
  <si>
    <t>KELLY F</t>
  </si>
  <si>
    <t>Sandalwood Kitisuru, Nairobi, Kenya, Ngecha Road, Nairobi, Kenya</t>
  </si>
  <si>
    <t>Nov 5, 2025, 6:41:56 PM</t>
  </si>
  <si>
    <t>Nov 5, 2025, 4:16:49 PM</t>
  </si>
  <si>
    <t>SARA M</t>
  </si>
  <si>
    <t>0740716691</t>
  </si>
  <si>
    <t>Windsor Park, Kigwa Ridge, Nairobi, Kenya</t>
  </si>
  <si>
    <t>11.8</t>
  </si>
  <si>
    <t>Nov 5, 2025, 4:44:13 PM</t>
  </si>
  <si>
    <t>a63fd</t>
  </si>
  <si>
    <t>Nov 5, 2025, 2:31:59 PM</t>
  </si>
  <si>
    <t>diana l</t>
  </si>
  <si>
    <t>13 Crossroads, Nairobi, Kenya</t>
  </si>
  <si>
    <t>Nov 6, 2025, 2:33:42 PM</t>
  </si>
  <si>
    <t>Nov 5, 2025, 2:05:58 PM</t>
  </si>
  <si>
    <t>ADELINE M</t>
  </si>
  <si>
    <t>0722955679</t>
  </si>
  <si>
    <t>The United Nations Office for Project Services, United Nations Avenue, Nairobi City, Kenya</t>
  </si>
  <si>
    <t>Nov 5, 2025, 2:31:00 PM</t>
  </si>
  <si>
    <t>Nov 5, 2025, 12:14:51 PM</t>
  </si>
  <si>
    <t>NICKY V</t>
  </si>
  <si>
    <t>0114225572</t>
  </si>
  <si>
    <t>120 Thigiri Ridge Road, Nairobi, Kenya</t>
  </si>
  <si>
    <t>Nov 5, 2025, 1:10:53 PM</t>
  </si>
  <si>
    <t>Nov 4, 2025, 9:02:22 PM</t>
  </si>
  <si>
    <t>WHLIED C</t>
  </si>
  <si>
    <t>Villa Leone Boutique Hotel, Daisy Drive, Nairobi, Kenya</t>
  </si>
  <si>
    <t>Nov 4, 2025, 9:28:57 PM</t>
  </si>
  <si>
    <t>Nov 4, 2025, 8:56:39 PM</t>
  </si>
  <si>
    <t>JOHN</t>
  </si>
  <si>
    <t>0722630910</t>
  </si>
  <si>
    <t>Royal Suburbs by TSAVO, Nairobi, Kenya</t>
  </si>
  <si>
    <t>Nov 4, 2025, 9:34:32 PM</t>
  </si>
  <si>
    <t xml:space="preserve"> CEF0A</t>
  </si>
  <si>
    <t>Nov 4, 2025, 8:38:52 PM</t>
  </si>
  <si>
    <t>ROMINA B</t>
  </si>
  <si>
    <t>Nov 4, 2025, 8:59:23 PM</t>
  </si>
  <si>
    <t>Nov 4, 2025, 6:47:51 PM</t>
  </si>
  <si>
    <t>KEZIAH N</t>
  </si>
  <si>
    <t>0726804829</t>
  </si>
  <si>
    <t>Runda Royale Apartments, Kiambu, Kenya</t>
  </si>
  <si>
    <t>Nov 4, 2025, 7:17:42 PM</t>
  </si>
  <si>
    <t>Nov 4, 2025, 5:00:26 PM</t>
  </si>
  <si>
    <t>ALI ABBASS K</t>
  </si>
  <si>
    <t>Holiday Inn Nairobi Two Rivers Mall, an IHG Hotel, Two Rivers Mall, Limuru Road, Nairobi, Kenya</t>
  </si>
  <si>
    <t>Nov 4, 2025, 5:16:29 PM</t>
  </si>
  <si>
    <t>Nov 4, 2025, 4:54:37 PM</t>
  </si>
  <si>
    <t>DAISY M</t>
  </si>
  <si>
    <t>0724292982</t>
  </si>
  <si>
    <t>Bogani Gardens, Koitobos Road, Nairobi, Kenya</t>
  </si>
  <si>
    <t>44.0</t>
  </si>
  <si>
    <t>28.6</t>
  </si>
  <si>
    <t>Nov 4, 2025, 5:26:12 PM</t>
  </si>
  <si>
    <t>MOHINDER LOCK SYSTEMS L</t>
  </si>
  <si>
    <t>0733907730</t>
  </si>
  <si>
    <t>Spring Valley Lane, Nairobi, Kenya</t>
  </si>
  <si>
    <t>Nov 4, 2025, 2:04:13 PM</t>
  </si>
  <si>
    <t>+254758380544</t>
  </si>
  <si>
    <t>Kenneth Nginga</t>
  </si>
  <si>
    <t>CESAR ENRIQUE P.</t>
  </si>
  <si>
    <t>0725834472</t>
  </si>
  <si>
    <t>938 Glory Rd, Nairobi, Kenya</t>
  </si>
  <si>
    <t>Nov 6, 2025, 9:15:43 PM</t>
  </si>
  <si>
    <t>Nov 6, 2025, 8:37:00 PM</t>
  </si>
  <si>
    <t>Nov 6, 2025, 9:17:33 PM</t>
  </si>
  <si>
    <t>Nov 6, 2025, 8:26:00 PM</t>
  </si>
  <si>
    <t>TONI W.</t>
  </si>
  <si>
    <t>0705850642</t>
  </si>
  <si>
    <t>103 Baobab St, Nairobi, Kenya</t>
  </si>
  <si>
    <t>Nov 6, 2025, 9:19:16 PM</t>
  </si>
  <si>
    <t>005ec</t>
  </si>
  <si>
    <t>Nov 6, 2025, 7:44:06 PM</t>
  </si>
  <si>
    <t>wahlied c</t>
  </si>
  <si>
    <t>Nov 6, 2025, 8:00:02 PM</t>
  </si>
  <si>
    <t>c8505</t>
  </si>
  <si>
    <t>Nov 6, 2025, 6:53:03 PM</t>
  </si>
  <si>
    <t>joost m</t>
  </si>
  <si>
    <t>0714888966</t>
  </si>
  <si>
    <t>Nov 6, 2025, 7:16:10 PM</t>
  </si>
  <si>
    <t>Nov 6, 2025, 6:50:50 PM</t>
  </si>
  <si>
    <t>LORIAN</t>
  </si>
  <si>
    <t>0112293888</t>
  </si>
  <si>
    <t>Spring Valley Road, Nairobi, Kenya</t>
  </si>
  <si>
    <t>Nov 6, 2025, 7:11:55 PM</t>
  </si>
  <si>
    <t>7a670</t>
  </si>
  <si>
    <t>Nov 6, 2025, 5:48:10 PM</t>
  </si>
  <si>
    <t>barney b</t>
  </si>
  <si>
    <t>0769900083</t>
  </si>
  <si>
    <t>Clanson Court., Clanson Ct Rd, Nairobi, Kenya</t>
  </si>
  <si>
    <t>Nov 6, 2025, 6:16:48 PM</t>
  </si>
  <si>
    <t>TAMARIND-PASTE.</t>
  </si>
  <si>
    <t>Nov 6, 2025, 5:32:47 PM</t>
  </si>
  <si>
    <t>VILLAGE MARKET</t>
  </si>
  <si>
    <t>Nov 6, 2025, 5:35:09 PM</t>
  </si>
  <si>
    <t>TAMARINDRETURNPICKUP</t>
  </si>
  <si>
    <t>Nov 6, 2025, 4:56:09 PM</t>
  </si>
  <si>
    <t>SIAM-VM</t>
  </si>
  <si>
    <t>Nov 6, 2025, 4:57:46 PM</t>
  </si>
  <si>
    <t>Nov 6, 2025, 3:52:56 PM</t>
  </si>
  <si>
    <t>BLANCHE</t>
  </si>
  <si>
    <t>Nov 6, 2025, 3:54:54 PM</t>
  </si>
  <si>
    <t>9c652</t>
  </si>
  <si>
    <t>Nov 6, 2025, 3:07:52 PM</t>
  </si>
  <si>
    <t>King'eero Shopping Centre, Rungiri, Kenya</t>
  </si>
  <si>
    <t>13.5</t>
  </si>
  <si>
    <t>Nov 6, 2025, 3:58:22 PM</t>
  </si>
  <si>
    <t>Nov 5, 2025, 7:35:43 PM</t>
  </si>
  <si>
    <t>Bogani villas, Nairobi, Kenya</t>
  </si>
  <si>
    <t>23.5</t>
  </si>
  <si>
    <t>Nov 5, 2025, 7:53:08 PM</t>
  </si>
  <si>
    <t>Nov 5, 2025, 7:02:42 PM</t>
  </si>
  <si>
    <t>JOCELYN S</t>
  </si>
  <si>
    <t>Edenville Phase 2, Kiambu, Kenya</t>
  </si>
  <si>
    <t>12.1</t>
  </si>
  <si>
    <t>Nov 5, 2025, 7:28:52 PM</t>
  </si>
  <si>
    <t>Nov 5, 2025, 5:59:14 PM</t>
  </si>
  <si>
    <t>NATHAN P</t>
  </si>
  <si>
    <t>0746064040</t>
  </si>
  <si>
    <t>144 Mimosa Ridge, Nairobi, Kenya</t>
  </si>
  <si>
    <t>Nov 5, 2025, 5:19:04 PM</t>
  </si>
  <si>
    <t>Nov 5, 2025, 4:44:07 PM</t>
  </si>
  <si>
    <t>TERRY G</t>
  </si>
  <si>
    <t>0721203717</t>
  </si>
  <si>
    <t>Fourways Junction Estate, Kiambu Road, Kenya</t>
  </si>
  <si>
    <t>Nov 5, 2025, 6:52:52 PM</t>
  </si>
  <si>
    <t>Nov 5, 2025, 12:05:38 PM</t>
  </si>
  <si>
    <t>DELSIE M</t>
  </si>
  <si>
    <t>0745651784</t>
  </si>
  <si>
    <t>Kenya Forest Service HeadQuarters, Olo Kiambu Rd, Nairobi, Kenya</t>
  </si>
  <si>
    <t>Nov 5, 2025, 12:35:39 PM</t>
  </si>
  <si>
    <t>PICKUP-FISHSAUCE</t>
  </si>
  <si>
    <t>Nov 4, 2025, 1:47:34 PM</t>
  </si>
  <si>
    <t>Nov 4, 2025, 3:02:26 PM</t>
  </si>
  <si>
    <t>tamu-tamu-dishes-westlands</t>
  </si>
  <si>
    <t>Nov 4, 2025, 1:14:43 PM</t>
  </si>
  <si>
    <t>PURITY M</t>
  </si>
  <si>
    <t>0722583609</t>
  </si>
  <si>
    <t>Rivunia Apartments, Ruaka, Kenya</t>
  </si>
  <si>
    <t>Nov 4, 2025, 1:44:19 PM</t>
  </si>
  <si>
    <t>Nov 4, 2025, 12:10:00 PM</t>
  </si>
  <si>
    <t>MUJIN L.</t>
  </si>
  <si>
    <t>0713568049</t>
  </si>
  <si>
    <t>Gachie, Kenya</t>
  </si>
  <si>
    <t>Nov 4, 2025, 12:25:02 PM</t>
  </si>
  <si>
    <t>Nov 4, 2025, 12:09:00 PM</t>
  </si>
  <si>
    <t>BEA E.</t>
  </si>
  <si>
    <t>0748459451</t>
  </si>
  <si>
    <t>Enaki Town, Red Hill Road, Nairobi, Kenya</t>
  </si>
  <si>
    <t>Nov 4, 2025, 12:23:29 PM</t>
  </si>
  <si>
    <t>Nov 4, 2025, 11:49:00 AM</t>
  </si>
  <si>
    <t>HANNES B.</t>
  </si>
  <si>
    <t>+017078187070</t>
  </si>
  <si>
    <t>Nov 4, 2025, 12:21:11 PM</t>
  </si>
  <si>
    <t>Nov 4, 2025, 10:50:00 AM</t>
  </si>
  <si>
    <t>MUTHONI K.</t>
  </si>
  <si>
    <t>0719346939</t>
  </si>
  <si>
    <t>17 Thigiri Road, Nairobi, Kenya</t>
  </si>
  <si>
    <t>Nov 4, 2025, 11:08:53 AM</t>
  </si>
  <si>
    <t>INVOICES(VM-PURVI).</t>
  </si>
  <si>
    <t>Nov 3, 2025, 3:34:19 PM</t>
  </si>
  <si>
    <t>Nov 4, 2025, 2:47:04 PM</t>
  </si>
  <si>
    <t>+254791301548</t>
  </si>
  <si>
    <t>Kevin Aloo</t>
  </si>
  <si>
    <t>Nov 6, 2025, 9:15:13 PM</t>
  </si>
  <si>
    <t>SAMIRA O.</t>
  </si>
  <si>
    <t>0758319732</t>
  </si>
  <si>
    <t>Nov 6, 2025, 9:25:21 PM</t>
  </si>
  <si>
    <t>Nov 6, 2025, 8:02:03 PM</t>
  </si>
  <si>
    <t>NAHIA A.</t>
  </si>
  <si>
    <t>0787664748</t>
  </si>
  <si>
    <t>Nov 6, 2025, 8:37:29 PM</t>
  </si>
  <si>
    <t>Nov 6, 2025, 7:29:57 PM</t>
  </si>
  <si>
    <t>SHIWEI L.</t>
  </si>
  <si>
    <t>0704339615</t>
  </si>
  <si>
    <t>Nov 6, 2025, 7:51:18 PM</t>
  </si>
  <si>
    <t>Nov 6, 2025, 6:40:40 PM</t>
  </si>
  <si>
    <t>0713726607</t>
  </si>
  <si>
    <t>The CUBE-Riverside, Nairobi, Kenya</t>
  </si>
  <si>
    <t>Nov 6, 2025, 7:11:10 PM</t>
  </si>
  <si>
    <t>Nov 6, 2025, 4:48:00 PM</t>
  </si>
  <si>
    <t>YUKI K</t>
  </si>
  <si>
    <t>0710687912</t>
  </si>
  <si>
    <t>Kenya, Nairobi, GTC Apartment</t>
  </si>
  <si>
    <t>Nov 6, 2025, 5:20:43 PM</t>
  </si>
  <si>
    <t>Nov 6, 2025, 2:49:56 PM</t>
  </si>
  <si>
    <t>Mwas K</t>
  </si>
  <si>
    <t>Nov 6, 2025, 2:07:48 PM</t>
  </si>
  <si>
    <t>Tamara M</t>
  </si>
  <si>
    <t>0769186611</t>
  </si>
  <si>
    <t>Phoenix Aviation, Langata Road, Nairobi, Kenya</t>
  </si>
  <si>
    <t>Nov 6, 2025, 2:08:35 PM</t>
  </si>
  <si>
    <t>pot-of-jollof</t>
  </si>
  <si>
    <t>Nov 6, 2025, 1:16:15 PM</t>
  </si>
  <si>
    <t>Folosade O</t>
  </si>
  <si>
    <t>Myra Residences, Kindaruma Road, Nairobi, Kenya</t>
  </si>
  <si>
    <t>Nov 6, 2025, 1:16:54 PM</t>
  </si>
  <si>
    <t>Nov 6, 2025, 12:42:48 PM</t>
  </si>
  <si>
    <t>ZANGOSE T</t>
  </si>
  <si>
    <t>0741898352</t>
  </si>
  <si>
    <t>Nov 6, 2025, 1:02:30 PM</t>
  </si>
  <si>
    <t>Nov 6, 2025, 12:31:57 PM</t>
  </si>
  <si>
    <t>Esua B</t>
  </si>
  <si>
    <t>Nov 6, 2025, 1:13:48 PM</t>
  </si>
  <si>
    <t>Nov 6, 2025, 12:05:34 PM</t>
  </si>
  <si>
    <t>AUSTINE A</t>
  </si>
  <si>
    <t>0724436623</t>
  </si>
  <si>
    <t>Nov 6, 2025, 12:26:50 PM</t>
  </si>
  <si>
    <t>Nov 5, 2025, 9:30:48 PM</t>
  </si>
  <si>
    <t>Nov 5, 2025, 9:42:52 PM</t>
  </si>
  <si>
    <t>Nov 5, 2025, 8:02:36 PM</t>
  </si>
  <si>
    <t>DOLPHIN</t>
  </si>
  <si>
    <t>0740780566</t>
  </si>
  <si>
    <t>Kan Apartments - Kileleshwa, Nairobi, Kenya</t>
  </si>
  <si>
    <t>Nov 5, 2025, 8:32:16 PM</t>
  </si>
  <si>
    <t>Nov 5, 2025, 7:55:13 PM</t>
  </si>
  <si>
    <t>CARMELLA M.</t>
  </si>
  <si>
    <t>0110590919</t>
  </si>
  <si>
    <t>Nov 5, 2025, 8:08:50 PM</t>
  </si>
  <si>
    <t>Nov 5, 2025, 7:35:32 PM</t>
  </si>
  <si>
    <t>LEAH M.</t>
  </si>
  <si>
    <t>0790869418</t>
  </si>
  <si>
    <t>Jade Residency, Kindaruma Road, Nairobi, Kenya</t>
  </si>
  <si>
    <t>Nov 5, 2025, 8:06:36 PM</t>
  </si>
  <si>
    <t>Nov 5, 2025, 7:15:37 PM</t>
  </si>
  <si>
    <t>NOREEN K.</t>
  </si>
  <si>
    <t>The Crescent Apartments, Gatundu Crescent, Nairobi, Kenya</t>
  </si>
  <si>
    <t>Nov 5, 2025, 7:27:13 PM</t>
  </si>
  <si>
    <t>Nov 5, 2025, 7:00:27 PM</t>
  </si>
  <si>
    <t>MAZZA L.</t>
  </si>
  <si>
    <t>0721634124</t>
  </si>
  <si>
    <t>Oloitoktok Court - Kileleshwa, Nairobi, Kenya</t>
  </si>
  <si>
    <t>Nov 5, 2025, 7:28:44 PM</t>
  </si>
  <si>
    <t>Nov 5, 2025, 5:08:52 PM</t>
  </si>
  <si>
    <t>Suleiman</t>
  </si>
  <si>
    <t>Nov 5, 2025, 5:33:27 PM</t>
  </si>
  <si>
    <t>Nov 5, 2025, 3:19:04 PM</t>
  </si>
  <si>
    <t>IMAN E</t>
  </si>
  <si>
    <t>0726885529</t>
  </si>
  <si>
    <t>Nov 5, 2025, 3:32:43 PM</t>
  </si>
  <si>
    <t>Nov 5, 2025, 12:58:44 PM</t>
  </si>
  <si>
    <t>Elma Kajuju K</t>
  </si>
  <si>
    <t>0714117685</t>
  </si>
  <si>
    <t>Epic Brownstone - Phase 1, Kirawa Road, Nairobi, Kenya</t>
  </si>
  <si>
    <t>Nov 5, 2025, 1:37:00 PM</t>
  </si>
  <si>
    <t>Nov 5, 2025, 12:47:07 PM</t>
  </si>
  <si>
    <t>JACK A.</t>
  </si>
  <si>
    <t>0727089013</t>
  </si>
  <si>
    <t>Watu - Headquarters, Lower Hill Road, Nairobi, Kenya</t>
  </si>
  <si>
    <t>Nov 5, 2025, 12:59:34 PM</t>
  </si>
  <si>
    <t>Nov 5, 2025, 11:27:09 AM</t>
  </si>
  <si>
    <t>CLAIRE K.</t>
  </si>
  <si>
    <t>0722906999</t>
  </si>
  <si>
    <t>Mayfair Centre, Ralph Bunche Road, Nairobi, Kenya</t>
  </si>
  <si>
    <t>Nov 5, 2025, 11:27:51 AM</t>
  </si>
  <si>
    <t>Nov 4, 2025, 8:52:34 PM</t>
  </si>
  <si>
    <t>Nov 4, 2025, 9:33:20 PM</t>
  </si>
  <si>
    <t>Nov 4, 2025, 8:09:52 PM</t>
  </si>
  <si>
    <t>KUL</t>
  </si>
  <si>
    <t>0711436435</t>
  </si>
  <si>
    <t>Savannah Sands Executive Apartments, Ngong Road, Nairobi, Kenya</t>
  </si>
  <si>
    <t>Nov 4, 2025, 8:41:51 PM</t>
  </si>
  <si>
    <t>Nov 4, 2025, 7:35:21 PM</t>
  </si>
  <si>
    <t>SHARON M.</t>
  </si>
  <si>
    <t>0793552740</t>
  </si>
  <si>
    <t>Kristy Homes Apartments, Langata Road, Nairobi, Kenya</t>
  </si>
  <si>
    <t>Nov 4, 2025, 7:59:28 PM</t>
  </si>
  <si>
    <t>Nov 4, 2025, 6:43:57 PM</t>
  </si>
  <si>
    <t>CELINE J.</t>
  </si>
  <si>
    <t>Nov 4, 2025, 7:05:25 PM</t>
  </si>
  <si>
    <t>Nov 4, 2025, 5:51:03 PM</t>
  </si>
  <si>
    <t>MARY L</t>
  </si>
  <si>
    <t>0113161443</t>
  </si>
  <si>
    <t>Makongeni Police Station., Nairobi, Kenya</t>
  </si>
  <si>
    <t>Nov 4, 2025, 5:59:54 PM</t>
  </si>
  <si>
    <t>Nov 4, 2025, 5:17:29 PM</t>
  </si>
  <si>
    <t>DANIEL J</t>
  </si>
  <si>
    <t>0759120311</t>
  </si>
  <si>
    <t>14 Mbaazi Road, Nairobi, Kenya</t>
  </si>
  <si>
    <t>Nov 4, 2025, 5:27:11 PM</t>
  </si>
  <si>
    <t>Nov 4, 2025, 5:20:22 PM</t>
  </si>
  <si>
    <t>Nov 4, 2025, 3:55:24 PM</t>
  </si>
  <si>
    <t>TROY G.</t>
  </si>
  <si>
    <t>+141578618750</t>
  </si>
  <si>
    <t>Nov 4, 2025, 4:11:31 PM</t>
  </si>
  <si>
    <t>+254799956687</t>
  </si>
  <si>
    <t>Kevin Auko</t>
  </si>
  <si>
    <t>Nov 6, 2025, 8:17:00 PM</t>
  </si>
  <si>
    <t>SHEILA C.</t>
  </si>
  <si>
    <t>0712895566</t>
  </si>
  <si>
    <t>Ikigai Nairobi (Brookside), The Piano, Brookside Drive, Nairobi, Kenya</t>
  </si>
  <si>
    <t>Nov 6, 2025, 6:31:05 PM</t>
  </si>
  <si>
    <t>ryan c</t>
  </si>
  <si>
    <t>Nov 6, 2025, 7:31:52 PM</t>
  </si>
  <si>
    <t>a5c44</t>
  </si>
  <si>
    <t>Nov 6, 2025, 6:20:24 PM</t>
  </si>
  <si>
    <t>maxence</t>
  </si>
  <si>
    <t>0115293493</t>
  </si>
  <si>
    <t>High View Lane, Nairobi, Kenya</t>
  </si>
  <si>
    <t>Nov 6, 2025, 6:02:55 PM</t>
  </si>
  <si>
    <t>Nov 5, 2025, 7:42:17 PM</t>
  </si>
  <si>
    <t>ANNE C</t>
  </si>
  <si>
    <t>0711106094</t>
  </si>
  <si>
    <t>Kamiti Ridge Estate, Tatu City, Kenya</t>
  </si>
  <si>
    <t>Nov 5, 2025, 7:44:08 PM</t>
  </si>
  <si>
    <t>Nov 5, 2025, 6:47:06 PM</t>
  </si>
  <si>
    <t>DOREEN N</t>
  </si>
  <si>
    <t>0715220400</t>
  </si>
  <si>
    <t>Natasha Avenue, Kiambu, Kenya</t>
  </si>
  <si>
    <t>Nov 5, 2025, 7:06:58 PM</t>
  </si>
  <si>
    <t>Nov 5, 2025, 5:51:09 PM</t>
  </si>
  <si>
    <t>ALEXIS L</t>
  </si>
  <si>
    <t>The Alma by Cytonn, Ruaka, Kenya</t>
  </si>
  <si>
    <t>Nov 5, 2025, 6:10:06 PM</t>
  </si>
  <si>
    <t>Nov 5, 2025, 5:23:48 PM</t>
  </si>
  <si>
    <t>ANDY F</t>
  </si>
  <si>
    <t>53 Magnolia Close, Nairobi, Kenya</t>
  </si>
  <si>
    <t>Nov 5, 2025, 5:36:42 PM</t>
  </si>
  <si>
    <t>PICKUP-COOCKINGCREAM-KA</t>
  </si>
  <si>
    <t>Nov 5, 2025, 3:00:37 PM</t>
  </si>
  <si>
    <t>Nov 5, 2025, 3:57:25 PM</t>
  </si>
  <si>
    <t>PICKUP-RECIEPTS-KA</t>
  </si>
  <si>
    <t>Nov 5, 2025, 2:50:55 PM</t>
  </si>
  <si>
    <t>Nov 5, 2025, 3:52:59 PM</t>
  </si>
  <si>
    <t>Nov 5, 2025, 2:01:41 PM</t>
  </si>
  <si>
    <t>KEVIN M</t>
  </si>
  <si>
    <t>0728860932</t>
  </si>
  <si>
    <t>Nov 5, 2025, 4:02:05 PM</t>
  </si>
  <si>
    <t>PICKUP-SPICES-KA</t>
  </si>
  <si>
    <t>Nov 5, 2025, 2:00:03 PM</t>
  </si>
  <si>
    <t>Nov 5, 2025, 3:54:23 PM</t>
  </si>
  <si>
    <t>Nov 5, 2025, 1:17:38 PM</t>
  </si>
  <si>
    <t>GILLES R</t>
  </si>
  <si>
    <t>0113604349</t>
  </si>
  <si>
    <t>Mbugani Villas, Garden Dr, Nairobi, Kenya</t>
  </si>
  <si>
    <t>Nov 5, 2025, 1:43:41 PM</t>
  </si>
  <si>
    <t>Nov 5, 2025, 12:20:39 PM</t>
  </si>
  <si>
    <t>ANNE M</t>
  </si>
  <si>
    <t>0733246603</t>
  </si>
  <si>
    <t>Ruaka valley apartments, James Drive, Ruaka, Kenya</t>
  </si>
  <si>
    <t>Nov 5, 2025, 12:29:52 PM</t>
  </si>
  <si>
    <t>09UY6</t>
  </si>
  <si>
    <t>Nov 4, 2025, 6:42:46 PM</t>
  </si>
  <si>
    <t>SHARON M</t>
  </si>
  <si>
    <t>Kihingo Village, Ngecha Road, Nairobi, Kenya</t>
  </si>
  <si>
    <t>Nov 4, 2025, 7:07:13 PM</t>
  </si>
  <si>
    <t>Nov 4, 2025, 5:34:35 PM</t>
  </si>
  <si>
    <t>NADILA A</t>
  </si>
  <si>
    <t>129 Acacia Dr, Nairobi, Kenya</t>
  </si>
  <si>
    <t>Nov 4, 2025, 5:52:06 PM</t>
  </si>
  <si>
    <t>Nov 4, 2025, 3:59:24 PM</t>
  </si>
  <si>
    <t>NEHA P</t>
  </si>
  <si>
    <t>Kifaru Drive, Nairobi, Kenya</t>
  </si>
  <si>
    <t>Nov 4, 2025, 5:36:45 PM</t>
  </si>
  <si>
    <t>Nov 4, 2025, 1:24:16 PM</t>
  </si>
  <si>
    <t>RODNEY</t>
  </si>
  <si>
    <t>0116497842</t>
  </si>
  <si>
    <t>11.9</t>
  </si>
  <si>
    <t>Nov 4, 2025, 1:27:41 PM</t>
  </si>
  <si>
    <t>+254748520866</t>
  </si>
  <si>
    <t>Luice Levy</t>
  </si>
  <si>
    <t>PICKUPLUICEALEX</t>
  </si>
  <si>
    <t>Nov 6, 2025, 9:51:04 PM</t>
  </si>
  <si>
    <t>ALEX</t>
  </si>
  <si>
    <t>Naivas Westlands Branch, Waiyaki Way, Nairobi, Kenya</t>
  </si>
  <si>
    <t>Nov 6, 2025, 9:52:11 PM</t>
  </si>
  <si>
    <t>PICKUPLUICELEON</t>
  </si>
  <si>
    <t>Nov 6, 2025, 9:47:42 PM</t>
  </si>
  <si>
    <t>LEON</t>
  </si>
  <si>
    <t>Nov 6, 2025, 9:48:57 PM</t>
  </si>
  <si>
    <t>Nov 6, 2025, 9:01:27 PM</t>
  </si>
  <si>
    <t>TY L</t>
  </si>
  <si>
    <t>0743309336</t>
  </si>
  <si>
    <t>Kenya, Nairobi, Laikipia Road, Avic Park Apartments</t>
  </si>
  <si>
    <t>Nov 6, 2025, 9:12:40 PM</t>
  </si>
  <si>
    <t>Nov 6, 2025, 8:22:08 PM</t>
  </si>
  <si>
    <t>RAJANI</t>
  </si>
  <si>
    <t>0113063350</t>
  </si>
  <si>
    <t>PrideInn Azure Hotel Nairobi, Westlands, Lantana Road, Nairobi, Kenya</t>
  </si>
  <si>
    <t>Nov 6, 2025, 8:46:10 PM</t>
  </si>
  <si>
    <t>Nov 6, 2025, 8:20:23 PM</t>
  </si>
  <si>
    <t>MICHAEL C</t>
  </si>
  <si>
    <t>+103022133157</t>
  </si>
  <si>
    <t>Nov 6, 2025, 9:59:00 PM</t>
  </si>
  <si>
    <t>Nov 6, 2025, 8:05:44 PM</t>
  </si>
  <si>
    <t>MARVIN</t>
  </si>
  <si>
    <t>0769086597</t>
  </si>
  <si>
    <t>Nov 6, 2025, 8:20:43 PM</t>
  </si>
  <si>
    <t>Shereen</t>
  </si>
  <si>
    <t>Volaire, Matundu Lane, Nairobi, Kenya</t>
  </si>
  <si>
    <t>Nov 6, 2025, 8:06:22 PM</t>
  </si>
  <si>
    <t>Nov 6, 2025, 7:19:50 PM</t>
  </si>
  <si>
    <t>ROSS P</t>
  </si>
  <si>
    <t>0798374047</t>
  </si>
  <si>
    <t>Nov 6, 2025, 7:21:15 PM</t>
  </si>
  <si>
    <t>Nov 6, 2025, 6:22:09 PM</t>
  </si>
  <si>
    <t>FRANK R</t>
  </si>
  <si>
    <t>0705217282</t>
  </si>
  <si>
    <t>Spencer West Kenya LLP, Brookside Grove, Nairobi, Kenya</t>
  </si>
  <si>
    <t>Nov 6, 2025, 6:26:51 PM</t>
  </si>
  <si>
    <t>Nov 6, 2025, 5:57:11 PM</t>
  </si>
  <si>
    <t>LINA T</t>
  </si>
  <si>
    <t>+324707415680</t>
  </si>
  <si>
    <t>PRIMO PARK, Fourth Parklands Avenue, Nairobi, Kenya</t>
  </si>
  <si>
    <t>Nov 6, 2025, 5:58:32 PM</t>
  </si>
  <si>
    <t>Nov 6, 2025, 4:11:08 PM</t>
  </si>
  <si>
    <t>DINO M</t>
  </si>
  <si>
    <t>0110176234</t>
  </si>
  <si>
    <t>The Grove, Brookside Gardens, Nairobi, Kenya</t>
  </si>
  <si>
    <t>Nov 6, 2025, 4:31:24 PM</t>
  </si>
  <si>
    <t>Nov 6, 2025, 3:09:00 PM</t>
  </si>
  <si>
    <t>ASA</t>
  </si>
  <si>
    <t>0718778304</t>
  </si>
  <si>
    <t>One Riverside Drive, Nairobi, Kenya</t>
  </si>
  <si>
    <t>Nov 6, 2025, 3:28:21 PM</t>
  </si>
  <si>
    <t>Nov 6, 2025, 2:50:43 PM</t>
  </si>
  <si>
    <t>Carol</t>
  </si>
  <si>
    <t>0726696984</t>
  </si>
  <si>
    <t>The Pavilion, Lower Kabete Road, Nairobi, Kenya</t>
  </si>
  <si>
    <t>Nov 6, 2025, 3:04:28 PM</t>
  </si>
  <si>
    <t>Nov 6, 2025, 1:42:00 PM</t>
  </si>
  <si>
    <t>Latifah</t>
  </si>
  <si>
    <t>0768631537</t>
  </si>
  <si>
    <t>SWAROVSKI, Karuna Road, Nairobi, Kenya</t>
  </si>
  <si>
    <t>Nov 6, 2025, 2:01:49 PM</t>
  </si>
  <si>
    <t>Nov 6, 2025, 1:40:21 PM</t>
  </si>
  <si>
    <t>WARINGA W</t>
  </si>
  <si>
    <t>0727336904</t>
  </si>
  <si>
    <t>Daphton Court Apartments, Riverside Drive, Nairobi, Kenya</t>
  </si>
  <si>
    <t>Nov 6, 2025, 1:42:49 PM</t>
  </si>
  <si>
    <t>Nov 6, 2025, 12:42:49 PM</t>
  </si>
  <si>
    <t>MBUYA K</t>
  </si>
  <si>
    <t>0743156598</t>
  </si>
  <si>
    <t>Jenga Leo Coworking Offices Nairobi (Westlands), Mpesi Lane, Nairobi, Kenya</t>
  </si>
  <si>
    <t>Nov 6, 2025, 1:06:04 PM</t>
  </si>
  <si>
    <t>Nov 6, 2025, 11:57:24 AM</t>
  </si>
  <si>
    <t>peter k</t>
  </si>
  <si>
    <t>Nov 6, 2025, 12:12:20 PM</t>
  </si>
  <si>
    <t>NAIVAS(MILK&amp;YORGHUT)</t>
  </si>
  <si>
    <t>Nov 5, 2025, 9:40:06 PM</t>
  </si>
  <si>
    <t>KITCHEN</t>
  </si>
  <si>
    <t>Nov 5, 2025, 9:42:28 PM</t>
  </si>
  <si>
    <t>PICKUP(CHEQUE.)</t>
  </si>
  <si>
    <t>Nov 5, 2025, 9:39:00 PM</t>
  </si>
  <si>
    <t>BANK</t>
  </si>
  <si>
    <t>Nov 5, 2025, 9:39:55 PM</t>
  </si>
  <si>
    <t>Nov 5, 2025, 9:43:43 PM</t>
  </si>
  <si>
    <t>Nov 5, 2025, 8:42:09 PM</t>
  </si>
  <si>
    <t>Calvin</t>
  </si>
  <si>
    <t>Nov 5, 2025, 9:05:18 PM</t>
  </si>
  <si>
    <t>Nov 5, 2025, 8:32:26 PM</t>
  </si>
  <si>
    <t>Nov 5, 2025, 8:33:27 PM</t>
  </si>
  <si>
    <t>Nov 5, 2025, 8:07:36 PM</t>
  </si>
  <si>
    <t>JEANNE M</t>
  </si>
  <si>
    <t>Nov 5, 2025, 8:22:01 PM</t>
  </si>
  <si>
    <t>Nov 5, 2025, 7:53:19 PM</t>
  </si>
  <si>
    <t>CYNTHIA M</t>
  </si>
  <si>
    <t>0757036393</t>
  </si>
  <si>
    <t>Nov 5, 2025, 8:07:01 PM</t>
  </si>
  <si>
    <t>Nov 5, 2025, 7:14:11 PM</t>
  </si>
  <si>
    <t>EMILY B</t>
  </si>
  <si>
    <t>0712933034</t>
  </si>
  <si>
    <t>1028 Kandara Road, Nairobi, Kenya</t>
  </si>
  <si>
    <t>Nov 5, 2025, 7:21:37 PM</t>
  </si>
  <si>
    <t>Nov 5, 2025, 4:55:32 PM</t>
  </si>
  <si>
    <t>Brandon G.</t>
  </si>
  <si>
    <t>0795719018</t>
  </si>
  <si>
    <t>Peponi Rise, Nairobi, Kenya</t>
  </si>
  <si>
    <t>Nov 5, 2025, 4:57:12 PM</t>
  </si>
  <si>
    <t>Nov 5, 2025, 2:10:00 PM</t>
  </si>
  <si>
    <t>Heni</t>
  </si>
  <si>
    <t>0796906558</t>
  </si>
  <si>
    <t>Nov 5, 2025, 2:41:06 PM</t>
  </si>
  <si>
    <t>Nov 5, 2025, 1:37:26 PM</t>
  </si>
  <si>
    <t>BRIAN M</t>
  </si>
  <si>
    <t>0722290389</t>
  </si>
  <si>
    <t>The Promenade, General Mathenge Road, Nairobi, Kenya</t>
  </si>
  <si>
    <t>Nov 5, 2025, 1:39:45 PM</t>
  </si>
  <si>
    <t>Nov 5, 2025, 12:22:45 PM</t>
  </si>
  <si>
    <t>Christina D</t>
  </si>
  <si>
    <t>0743272861</t>
  </si>
  <si>
    <t>Embassy of Germany, Nairobi, Kenya</t>
  </si>
  <si>
    <t>Nov 5, 2025, 12:51:45 PM</t>
  </si>
  <si>
    <t>Nov 5, 2025, 12:20:22 PM</t>
  </si>
  <si>
    <t>SIMON L</t>
  </si>
  <si>
    <t>0792003739</t>
  </si>
  <si>
    <t>Nov 5, 2025, 12:45:05 PM</t>
  </si>
  <si>
    <t>Nov 4, 2025, 8:47:36 PM</t>
  </si>
  <si>
    <t>FAWAZ</t>
  </si>
  <si>
    <t>0759108598</t>
  </si>
  <si>
    <t>Hyatt Regency Nairobi Westlands, Muthithi Road, Nairobi, Kenya</t>
  </si>
  <si>
    <t>Nov 4, 2025, 9:06:43 PM</t>
  </si>
  <si>
    <t>c7183</t>
  </si>
  <si>
    <t>Nov 4, 2025, 8:32:05 PM</t>
  </si>
  <si>
    <t>dave m</t>
  </si>
  <si>
    <t>0700253416</t>
  </si>
  <si>
    <t>37 Peponi Road, Nairobi, Kenya</t>
  </si>
  <si>
    <t>Nov 4, 2025, 8:37:33 PM</t>
  </si>
  <si>
    <t>Nov 4, 2025, 7:45:36 PM</t>
  </si>
  <si>
    <t>GADI G.</t>
  </si>
  <si>
    <t>0112652533</t>
  </si>
  <si>
    <t>Nov 4, 2025, 8:20:11 PM</t>
  </si>
  <si>
    <t>PICKUPSAUCES76000</t>
  </si>
  <si>
    <t>Nov 4, 2025, 7:33:32 PM</t>
  </si>
  <si>
    <t>Nov 4, 2025, 7:34:42 PM</t>
  </si>
  <si>
    <t>PICKUPPASTAS1o000</t>
  </si>
  <si>
    <t>Nov 4, 2025, 7:32:13 PM</t>
  </si>
  <si>
    <t>Nov 4, 2025, 7:33:22 PM</t>
  </si>
  <si>
    <t>PICKUPSAUCES7690</t>
  </si>
  <si>
    <t>Nov 4, 2025, 7:28:09 PM</t>
  </si>
  <si>
    <t>Nov 4, 2025, 7:29:20 PM</t>
  </si>
  <si>
    <t>SHAMYA J</t>
  </si>
  <si>
    <t>0702488766</t>
  </si>
  <si>
    <t>Glam Hotel, Nairobi, Kenya</t>
  </si>
  <si>
    <t>Nov 4, 2025, 7:37:51 PM</t>
  </si>
  <si>
    <t>Nov 4, 2025, 7:23:23 PM</t>
  </si>
  <si>
    <t>ANDREW</t>
  </si>
  <si>
    <t>0757592882</t>
  </si>
  <si>
    <t>Cerenata Gardens Apartments, Brookside Gardens, Nairobi, Kenya</t>
  </si>
  <si>
    <t>Nov 4, 2025, 7:25:32 PM</t>
  </si>
  <si>
    <t>#139536</t>
  </si>
  <si>
    <t>Nov 4, 2025, 6:34:26 PM</t>
  </si>
  <si>
    <t>Nov 4, 2025, 6:36:27 PM</t>
  </si>
  <si>
    <t>Nov 4, 2025, 6:19:52 PM</t>
  </si>
  <si>
    <t>ANNA H.</t>
  </si>
  <si>
    <t>0702033699</t>
  </si>
  <si>
    <t>Nov 4, 2025, 6:45:10 PM</t>
  </si>
  <si>
    <t>Nov 4, 2025, 5:40:46 PM</t>
  </si>
  <si>
    <t>NYAWIRA N.</t>
  </si>
  <si>
    <t>0703214503</t>
  </si>
  <si>
    <t>Almond Park, Rhapta Road, Nairobi, Kenya</t>
  </si>
  <si>
    <t>Nov 4, 2025, 7:03:08 PM</t>
  </si>
  <si>
    <t>Nov 4, 2025, 2:00:10 PM</t>
  </si>
  <si>
    <t>MORRIS N</t>
  </si>
  <si>
    <t>0708082922</t>
  </si>
  <si>
    <t>House Of Leather &amp; Gifts-Adams Kilimani, Kilimani Road, Nairobi, Kenya</t>
  </si>
  <si>
    <t>Nov 4, 2025, 2:12:43 PM</t>
  </si>
  <si>
    <t>Nov 4, 2025, 7:01:09 PM</t>
  </si>
  <si>
    <t>Nov 4, 2025, 1:25:02 PM</t>
  </si>
  <si>
    <t>Supriya</t>
  </si>
  <si>
    <t>0114666999</t>
  </si>
  <si>
    <t>Maratha Road, Nairobi, Kenya</t>
  </si>
  <si>
    <t>Nov 4, 2025, 6:41:18 PM</t>
  </si>
  <si>
    <t>Naivas(dairy)04.11</t>
  </si>
  <si>
    <t>Nov 4, 2025, 12:49:30 PM</t>
  </si>
  <si>
    <t>Nov 4, 2025, 12:50:55 PM</t>
  </si>
  <si>
    <t>Nov 4, 2025, 12:30:45 PM</t>
  </si>
  <si>
    <t>0715977986</t>
  </si>
  <si>
    <t>Ambra Heights - Kileleshwa, Kikambala Road, Nairobi, Kenya</t>
  </si>
  <si>
    <t>Nov 4, 2025, 12:53:10 PM</t>
  </si>
  <si>
    <t>PICKUPCHEESE89</t>
  </si>
  <si>
    <t>Nov 3, 2025, 7:29:31 PM</t>
  </si>
  <si>
    <t>Nov 4, 2025, 7:32:08 PM</t>
  </si>
  <si>
    <t>PICKUPPASTAS1509</t>
  </si>
  <si>
    <t>Nov 3, 2025, 7:26:57 PM</t>
  </si>
  <si>
    <t>Nov 4, 2025, 7:28:04 PM</t>
  </si>
  <si>
    <t>+254701079017</t>
  </si>
  <si>
    <t xml:space="preserve">Mark  Omong'in </t>
  </si>
  <si>
    <t>Nov 6, 2025, 10:14:01 PM</t>
  </si>
  <si>
    <t>niko k</t>
  </si>
  <si>
    <t>0744486761</t>
  </si>
  <si>
    <t>Nov 6, 2025, 10:30:39 PM</t>
  </si>
  <si>
    <t>Nov 6, 2025, 9:05:24 PM</t>
  </si>
  <si>
    <t>0724939689</t>
  </si>
  <si>
    <t>Palm Breeze Residences, Nyangumi Road, Nairobi, Kenya</t>
  </si>
  <si>
    <t>Nov 6, 2025, 9:33:25 PM</t>
  </si>
  <si>
    <t>Nov 6, 2025, 9:00:34 PM</t>
  </si>
  <si>
    <t>EMRAN</t>
  </si>
  <si>
    <t>0794928248</t>
  </si>
  <si>
    <t>Nov 6, 2025, 9:31:17 PM</t>
  </si>
  <si>
    <t>Nov 6, 2025, 8:28:01 PM</t>
  </si>
  <si>
    <t>KALEAB</t>
  </si>
  <si>
    <t>0757671774</t>
  </si>
  <si>
    <t>Mitco Apartments, Okoth Aura Road, Nairobi, Kenya</t>
  </si>
  <si>
    <t>Nov 6, 2025, 8:40:05 PM</t>
  </si>
  <si>
    <t>Nov 6, 2025, 6:27:12 PM</t>
  </si>
  <si>
    <t>IMPACC G</t>
  </si>
  <si>
    <t>+4915735699544</t>
  </si>
  <si>
    <t>TNR Trust Nairobi, Nairobi, Kenya</t>
  </si>
  <si>
    <t>Nov 6, 2025, 6:31:23 PM</t>
  </si>
  <si>
    <t>Nov 6, 2025, 5:02:33 PM</t>
  </si>
  <si>
    <t>PAUL</t>
  </si>
  <si>
    <t>0768405570</t>
  </si>
  <si>
    <t>French Embassy, Peponi Gardens, Nairobi, Kenya</t>
  </si>
  <si>
    <t>Nov 6, 2025, 6:18:22 PM</t>
  </si>
  <si>
    <t>Nov 6, 2025, 5:01:00 PM</t>
  </si>
  <si>
    <t>RAMZI A</t>
  </si>
  <si>
    <t>Nov 6, 2025, 6:17:19 PM</t>
  </si>
  <si>
    <t>Nov 6, 2025, 4:34:05 PM</t>
  </si>
  <si>
    <t>NEVILLE O</t>
  </si>
  <si>
    <t>0799244265</t>
  </si>
  <si>
    <t>Twin Block Apartment - Kiambu, Ruiru Kamiti Road, Nairobi, Kenya</t>
  </si>
  <si>
    <t>Nov 6, 2025, 4:47:12 PM</t>
  </si>
  <si>
    <t>Nov 6, 2025, 1:25:04 PM</t>
  </si>
  <si>
    <t>JOVAN</t>
  </si>
  <si>
    <t>0746123850</t>
  </si>
  <si>
    <t>Nov 6, 2025, 1:35:41 PM</t>
  </si>
  <si>
    <t>Nov 5, 2025, 8:55:27 PM</t>
  </si>
  <si>
    <t>ANTONY D</t>
  </si>
  <si>
    <t>0751421394</t>
  </si>
  <si>
    <t>Nov 5, 2025, 9:23:17 PM</t>
  </si>
  <si>
    <t>Nov 5, 2025, 7:58:45 PM</t>
  </si>
  <si>
    <t>CARLOS</t>
  </si>
  <si>
    <t>0757451159</t>
  </si>
  <si>
    <t>Nov 5, 2025, 8:09:43 PM</t>
  </si>
  <si>
    <t>Nov 5, 2025, 6:51:19 PM</t>
  </si>
  <si>
    <t>DENIS N</t>
  </si>
  <si>
    <t>0714166212</t>
  </si>
  <si>
    <t>HD60 Apartments - Ruaka, Ndenderu, Kenya</t>
  </si>
  <si>
    <t>Nov 5, 2025, 6:52:25 PM</t>
  </si>
  <si>
    <t>Nov 5, 2025, 5:12:26 PM</t>
  </si>
  <si>
    <t>ABDULLA</t>
  </si>
  <si>
    <t>0797631411</t>
  </si>
  <si>
    <t>Nov 5, 2025, 5:33:38 PM</t>
  </si>
  <si>
    <t>Nov 5, 2025, 5:02:49 PM</t>
  </si>
  <si>
    <t>DINAH N</t>
  </si>
  <si>
    <t>0723767993</t>
  </si>
  <si>
    <t>Nov 5, 2025, 5:24:56 PM</t>
  </si>
  <si>
    <t>Nov 5, 2025, 3:47:31 PM</t>
  </si>
  <si>
    <t>VERRA C</t>
  </si>
  <si>
    <t>0708179217</t>
  </si>
  <si>
    <t>Elite View, Githunguri Road, Nairobi, Kenya</t>
  </si>
  <si>
    <t>Nov 5, 2025, 4:03:26 PM</t>
  </si>
  <si>
    <t>+254799188801</t>
  </si>
  <si>
    <t>Naman Wandera</t>
  </si>
  <si>
    <t>Nov 6, 2025, 8:47:23 PM</t>
  </si>
  <si>
    <t>KURIAS M.</t>
  </si>
  <si>
    <t>+917025974293</t>
  </si>
  <si>
    <t>Podium Heights Apartments, Plainsview, Likoni Road, Nairobi, Kenya</t>
  </si>
  <si>
    <t>Nov 6, 2025, 8:50:09 PM</t>
  </si>
  <si>
    <t>Nov 6, 2025, 7:39:15 PM</t>
  </si>
  <si>
    <t>KAY S.</t>
  </si>
  <si>
    <t>0769190420</t>
  </si>
  <si>
    <t>The Enclave, Kitale Lane, Nairobi, Kenya</t>
  </si>
  <si>
    <t>Nov 6, 2025, 8:44:14 PM</t>
  </si>
  <si>
    <t>Nov 6, 2025, 7:13:02 PM</t>
  </si>
  <si>
    <t>Eric Gathuma</t>
  </si>
  <si>
    <t>+254733785111</t>
  </si>
  <si>
    <t>Sunrise Park Estate, Mbuni Court, C4</t>
  </si>
  <si>
    <t>Nov 6, 2025, 7:32:56 PM</t>
  </si>
  <si>
    <t>Nov 6, 2025, 6:23:32 PM</t>
  </si>
  <si>
    <t>Naima</t>
  </si>
  <si>
    <t>0721444765</t>
  </si>
  <si>
    <t>Pearl Towers, Gatundu Close, Othaya Road, Nairobi, Kenya</t>
  </si>
  <si>
    <t>Nov 6, 2025, 6:38:22 PM</t>
  </si>
  <si>
    <t>Nov 6, 2025, 4:51:52 PM</t>
  </si>
  <si>
    <t>LENI M.</t>
  </si>
  <si>
    <t>0790990915</t>
  </si>
  <si>
    <t>The Courtyard at Vanga Road, Nairobi, Kenya</t>
  </si>
  <si>
    <t>Nov 6, 2025, 5:17:41 PM</t>
  </si>
  <si>
    <t>Nov 6, 2025, 3:48:19 PM</t>
  </si>
  <si>
    <t>LYONS K.</t>
  </si>
  <si>
    <t>0715185263</t>
  </si>
  <si>
    <t>Nov 6, 2025, 4:07:18 PM</t>
  </si>
  <si>
    <t>Nov 6, 2025, 2:51:08 PM</t>
  </si>
  <si>
    <t>EDNA</t>
  </si>
  <si>
    <t>Nov 6, 2025, 3:03:54 PM</t>
  </si>
  <si>
    <t>Nov 6, 2025, 1:35:48 PM</t>
  </si>
  <si>
    <t>AISHA W</t>
  </si>
  <si>
    <t>0715297603</t>
  </si>
  <si>
    <t>Koibatek Apartments, Oloitoktok Road, Nairobi, Kenya</t>
  </si>
  <si>
    <t>Nov 6, 2025, 1:48:30 PM</t>
  </si>
  <si>
    <t>Nov 6, 2025, 12:56:17 PM</t>
  </si>
  <si>
    <t>NATE N.</t>
  </si>
  <si>
    <t>0713065503</t>
  </si>
  <si>
    <t>Nov 6, 2025, 1:13:10 PM</t>
  </si>
  <si>
    <t>Nov 5, 2025, 4:19:59 PM</t>
  </si>
  <si>
    <t>Nov 5, 2025, 4:34:13 PM</t>
  </si>
  <si>
    <t>Nov 5, 2025, 2:48:05 PM</t>
  </si>
  <si>
    <t>SITEIYA S.</t>
  </si>
  <si>
    <t>0721395229</t>
  </si>
  <si>
    <t>Nyumbani Restaurant, Diani Road, Nairobi, Kenya</t>
  </si>
  <si>
    <t>Nov 5, 2025, 3:18:28 PM</t>
  </si>
  <si>
    <t>1:39PICKUP</t>
  </si>
  <si>
    <t>Nov 5, 2025, 1:39:35 PM</t>
  </si>
  <si>
    <t>Nov 5, 2025, 1:40:31 PM</t>
  </si>
  <si>
    <t>Nov 5, 2025, 1:26:54 PM</t>
  </si>
  <si>
    <t>Nov 5, 2025, 1:41:06 PM</t>
  </si>
  <si>
    <t>Nov 5, 2025, 12:25:00 PM</t>
  </si>
  <si>
    <t>Nes Njuguna</t>
  </si>
  <si>
    <t>+254799762795</t>
  </si>
  <si>
    <t>Qwetu Wilsonview, Madaraka</t>
  </si>
  <si>
    <t>Nov 5, 2025, 12:43:04 PM</t>
  </si>
  <si>
    <t>DISPATCH05:11</t>
  </si>
  <si>
    <t>Nov 5, 2025, 11:28:25 AM</t>
  </si>
  <si>
    <t>Nov 5, 2025, 11:29:32 AM</t>
  </si>
  <si>
    <t>SUPERCUTS04:11</t>
  </si>
  <si>
    <t>Nov 4, 2025, 3:58:49 PM</t>
  </si>
  <si>
    <t>Nov 4, 2025, 4:01:19 PM</t>
  </si>
  <si>
    <t>Nov 4, 2025, 3:13:59 PM</t>
  </si>
  <si>
    <t>MORGAN K.</t>
  </si>
  <si>
    <t>0792782337</t>
  </si>
  <si>
    <t>Nov 4, 2025, 3:27:49 PM</t>
  </si>
  <si>
    <t>Nov 4, 2025, 2:08:22 PM</t>
  </si>
  <si>
    <t>ABDIRAHMAN H.</t>
  </si>
  <si>
    <t>0702235747</t>
  </si>
  <si>
    <t>Kamiti Court, Fifth Ngong Avenue, Nairobi, Kenya</t>
  </si>
  <si>
    <t>Nov 4, 2025, 2:18:21 PM</t>
  </si>
  <si>
    <t>Nov 4, 2025, 12:59:25 PM</t>
  </si>
  <si>
    <t>ERIC C.</t>
  </si>
  <si>
    <t>Roma Courts Serviced Apartments, Argwings Kodhek Road, Nairobi, Kenya</t>
  </si>
  <si>
    <t>Nov 4, 2025, 1:30:00 PM</t>
  </si>
  <si>
    <t>Nov 4, 2025, 10:58:05 AM</t>
  </si>
  <si>
    <t>KATHARINA V.</t>
  </si>
  <si>
    <t>0740561701</t>
  </si>
  <si>
    <t>IOM REGIONAL &amp; KENYA COUNTRY OFFICE KENYA, Mzima Spring Road, Nairobi, Kenya</t>
  </si>
  <si>
    <t>Nov 4, 2025, 11:10:39 AM</t>
  </si>
  <si>
    <t>Nov 4, 2025, 10:04:07 AM</t>
  </si>
  <si>
    <t>0700789767</t>
  </si>
  <si>
    <t>Yaya Centre, Argwings Kodhek Road, Nairobi, Kenya</t>
  </si>
  <si>
    <t>Nov 4, 2025, 10:25:37 AM</t>
  </si>
  <si>
    <t>+254793649984</t>
  </si>
  <si>
    <t xml:space="preserve">NELSON  NJERI </t>
  </si>
  <si>
    <t>Nov 6, 2025, 7:34:34 PM</t>
  </si>
  <si>
    <t>KOLBIE</t>
  </si>
  <si>
    <t>Magnolia Close, Nairobi, Kenya</t>
  </si>
  <si>
    <t>Nov 6, 2025, 7:27:40 PM</t>
  </si>
  <si>
    <t>2b27a</t>
  </si>
  <si>
    <t>Nov 6, 2025, 6:12:44 PM</t>
  </si>
  <si>
    <t>nadila a</t>
  </si>
  <si>
    <t>Nov 6, 2025, 7:35:50 PM</t>
  </si>
  <si>
    <t>Nov 6, 2025, 5:42:18 PM</t>
  </si>
  <si>
    <t>sarah p</t>
  </si>
  <si>
    <t>0113145515</t>
  </si>
  <si>
    <t>1 Peponi Crescent, Peponi Road, Nairobi, Kenya</t>
  </si>
  <si>
    <t>Nov 6, 2025, 6:03:48 PM</t>
  </si>
  <si>
    <t>Nov 6, 2025, 2:33:07 PM</t>
  </si>
  <si>
    <t>peter n</t>
  </si>
  <si>
    <t>670 Faith Avenue, Nairobi, Kenya</t>
  </si>
  <si>
    <t>Nov 6, 2025, 2:53:16 PM</t>
  </si>
  <si>
    <t>Nov 6, 2025, 2:27:55 PM</t>
  </si>
  <si>
    <t>rishabh</t>
  </si>
  <si>
    <t>Nov 6, 2025, 2:28:53 PM</t>
  </si>
  <si>
    <t>ad19e</t>
  </si>
  <si>
    <t>Nov 6, 2025, 2:26:49 PM</t>
  </si>
  <si>
    <t>liam f</t>
  </si>
  <si>
    <t>0113888446</t>
  </si>
  <si>
    <t>47 Mimosa Road, Nairobi, Kenya</t>
  </si>
  <si>
    <t>Nov 6, 2025, 2:27:49 PM</t>
  </si>
  <si>
    <t>79e36</t>
  </si>
  <si>
    <t>Nov 6, 2025, 1:10:34 PM</t>
  </si>
  <si>
    <t>rikke h</t>
  </si>
  <si>
    <t>0726854221</t>
  </si>
  <si>
    <t>Nyari South Estate, Ngecha Road, Nairobi, Kenya</t>
  </si>
  <si>
    <t>Nov 6, 2025, 2:31:44 PM</t>
  </si>
  <si>
    <t>Nov 4, 2025, 7:32:53 PM</t>
  </si>
  <si>
    <t>Nov 4, 2025, 7:51:59 PM</t>
  </si>
  <si>
    <t>Nov 4, 2025, 6:20:21 PM</t>
  </si>
  <si>
    <t>ANAIS</t>
  </si>
  <si>
    <t>0708385414</t>
  </si>
  <si>
    <t>Nov 4, 2025, 6:45:58 PM</t>
  </si>
  <si>
    <t>Nov 4, 2025, 5:35:29 PM</t>
  </si>
  <si>
    <t>FRANCESCO G</t>
  </si>
  <si>
    <t>Nyari West Drive, Nairobi, Kenya</t>
  </si>
  <si>
    <t>Nov 4, 2025, 5:59:04 PM</t>
  </si>
  <si>
    <t>Nov 4, 2025, 4:08:08 PM</t>
  </si>
  <si>
    <t>SASHA-ANN S</t>
  </si>
  <si>
    <t>Nov 4, 2025, 4:28:57 PM</t>
  </si>
  <si>
    <t>595.0</t>
  </si>
  <si>
    <t>Nov 4, 2025, 2:35:33 PM</t>
  </si>
  <si>
    <t>MARGARET I</t>
  </si>
  <si>
    <t>Rosslyn Close, Nairobi, Kenya</t>
  </si>
  <si>
    <t>Nov 4, 2025, 2:52:56 PM</t>
  </si>
  <si>
    <t>Nov 4, 2025, 1:10:46 PM</t>
  </si>
  <si>
    <t>GARRETT S</t>
  </si>
  <si>
    <t>0741578565</t>
  </si>
  <si>
    <t>3 Thigiri Road, Nairobi, Kenya</t>
  </si>
  <si>
    <t>Nov 4, 2025, 2:17:52 PM</t>
  </si>
  <si>
    <t>Nov 4, 2025, 11:13:00 AM</t>
  </si>
  <si>
    <t>ANGELA O.</t>
  </si>
  <si>
    <t>0741261641</t>
  </si>
  <si>
    <t>Haven Park Apartments - Ruaka, Ruaka, Kenya</t>
  </si>
  <si>
    <t>Nov 4, 2025, 12:09:25 PM</t>
  </si>
  <si>
    <t>+254729893262</t>
  </si>
  <si>
    <t xml:space="preserve">Nicolas  Imbeywa </t>
  </si>
  <si>
    <t>Nov 6, 2025, 9:56:05 PM</t>
  </si>
  <si>
    <t>ANTONY M</t>
  </si>
  <si>
    <t>0706514283</t>
  </si>
  <si>
    <t>47 Ndege Road, Nairobi, Kenya</t>
  </si>
  <si>
    <t>Nov 6, 2025, 10:10:32 PM</t>
  </si>
  <si>
    <t>Nov 6, 2025, 9:10:57 PM</t>
  </si>
  <si>
    <t>LEONIE S</t>
  </si>
  <si>
    <t>Nov 6, 2025, 9:26:39 PM</t>
  </si>
  <si>
    <t>Nov 6, 2025, 8:01:36 PM</t>
  </si>
  <si>
    <t>Denis R</t>
  </si>
  <si>
    <t>0745877327</t>
  </si>
  <si>
    <t>Nov 6, 2025, 8:19:18 PM</t>
  </si>
  <si>
    <t>Nov 6, 2025, 7:52:37 PM</t>
  </si>
  <si>
    <t>A</t>
  </si>
  <si>
    <t>0759261613</t>
  </si>
  <si>
    <t>Nov 6, 2025, 8:18:25 PM</t>
  </si>
  <si>
    <t>Nov 6, 2025, 6:46:00 PM</t>
  </si>
  <si>
    <t>Brian</t>
  </si>
  <si>
    <t>48 School Lane, Nairobi, Kenya</t>
  </si>
  <si>
    <t>Nov 6, 2025, 8:54:26 PM</t>
  </si>
  <si>
    <t>SIAMDISPATCH(jasminrice)06.11</t>
  </si>
  <si>
    <t>Nov 6, 2025, 4:47:54 PM</t>
  </si>
  <si>
    <t>Nov 6, 2025, 4:49:11 PM</t>
  </si>
  <si>
    <t>AryuvAgencies(jasminrice)16.11</t>
  </si>
  <si>
    <t>Nov 6, 2025, 4:44:56 PM</t>
  </si>
  <si>
    <t>Aryuv Agencies Ltd, Kenyatta Ave, Nairobi, Kenya</t>
  </si>
  <si>
    <t>Nov 6, 2025, 4:46:32 PM</t>
  </si>
  <si>
    <t>BLUEWAVE(sugar)06.11</t>
  </si>
  <si>
    <t>Nov 6, 2025, 4:42:55 PM</t>
  </si>
  <si>
    <t>Bluewave Multisupplies Limited, turn to Roto Moulders LTD, Enterprise Road, Nairobi, Kenya</t>
  </si>
  <si>
    <t>Nov 6, 2025, 4:44:51 PM</t>
  </si>
  <si>
    <t>Nov 6, 2025, 1:45:27 PM</t>
  </si>
  <si>
    <t>LINDA L</t>
  </si>
  <si>
    <t>0719737148</t>
  </si>
  <si>
    <t>Springfalls lower kabete apartments, Road, Kenya</t>
  </si>
  <si>
    <t>Nov 6, 2025, 1:53:53 PM</t>
  </si>
  <si>
    <t>Monica</t>
  </si>
  <si>
    <t>0727844314</t>
  </si>
  <si>
    <t>Arborville Apartments, Arboretum Road, Nairobi, Kenya</t>
  </si>
  <si>
    <t>Nov 6, 2025, 1:25:36 PM</t>
  </si>
  <si>
    <t>Nov 6, 2025, 12:04:37 PM</t>
  </si>
  <si>
    <t>FLORENCE M</t>
  </si>
  <si>
    <t>0727756436</t>
  </si>
  <si>
    <t>Nov 6, 2025, 12:18:47 PM</t>
  </si>
  <si>
    <t>Nov 5, 2025, 8:01:15 PM</t>
  </si>
  <si>
    <t>Renata M.</t>
  </si>
  <si>
    <t>0748023199</t>
  </si>
  <si>
    <t>Shanzu Gardens, Shanzu Road, Nairobi, Kenya</t>
  </si>
  <si>
    <t>Nov 5, 2025, 8:31:53 PM</t>
  </si>
  <si>
    <t>Nov 5, 2025, 7:22:06 PM</t>
  </si>
  <si>
    <t>EVER G</t>
  </si>
  <si>
    <t>0729891157</t>
  </si>
  <si>
    <t>Tower of Peace Apartments, Kenya</t>
  </si>
  <si>
    <t>Nov 5, 2025, 7:23:04 PM</t>
  </si>
  <si>
    <t>Nov 5, 2025, 4:01:40 PM</t>
  </si>
  <si>
    <t>wako...</t>
  </si>
  <si>
    <t>0721554007</t>
  </si>
  <si>
    <t>Kedong House, Lenana Road, Nairobi City, Kenya</t>
  </si>
  <si>
    <t>Nov 5, 2025, 4:02:41 PM</t>
  </si>
  <si>
    <t>Nov 5, 2025, 1:10:00 PM</t>
  </si>
  <si>
    <t>LULU</t>
  </si>
  <si>
    <t>0724419991</t>
  </si>
  <si>
    <t>Papino Apartments, Nairobi, Kenya</t>
  </si>
  <si>
    <t>Nov 5, 2025, 1:29:32 PM</t>
  </si>
  <si>
    <t>PICKUPSAUCES76UY</t>
  </si>
  <si>
    <t>Nov 5, 2025, 1:03:54 PM</t>
  </si>
  <si>
    <t>Nov 5, 2025, 1:05:23 PM</t>
  </si>
  <si>
    <t>PICKUPPASTAS15UY</t>
  </si>
  <si>
    <t>Nov 5, 2025, 1:02:35 PM</t>
  </si>
  <si>
    <t>Nov 5, 2025, 1:03:47 PM</t>
  </si>
  <si>
    <t>Nov 4, 2025, 8:58:02 PM</t>
  </si>
  <si>
    <t>KAMA U</t>
  </si>
  <si>
    <t>0794108549</t>
  </si>
  <si>
    <t>Primax Pearl Apartments, Mwambao Road, Nairobi, Kenya</t>
  </si>
  <si>
    <t>Nov 4, 2025, 8:59:10 PM</t>
  </si>
  <si>
    <t>Nov 4, 2025, 8:10:15 PM</t>
  </si>
  <si>
    <t>CHIGOZIE</t>
  </si>
  <si>
    <t>+2348060563776</t>
  </si>
  <si>
    <t>Kates Apartments, School Lane, Nairobi, Kenya</t>
  </si>
  <si>
    <t>Nov 4, 2025, 8:21:51 PM</t>
  </si>
  <si>
    <t>Nov 4, 2025, 7:21:59 PM</t>
  </si>
  <si>
    <t>Nov 4, 2025, 7:37:35 PM</t>
  </si>
  <si>
    <t>Nov 4, 2025, 6:32:02 PM</t>
  </si>
  <si>
    <t>TINNIE</t>
  </si>
  <si>
    <t>071944440</t>
  </si>
  <si>
    <t>Tabere Crescent Apartments, Tabere Crescent, Nairobi, Kenya</t>
  </si>
  <si>
    <t>Nov 4, 2025, 6:46:40 PM</t>
  </si>
  <si>
    <t>5:50PICKUP</t>
  </si>
  <si>
    <t>Nov 4, 2025, 5:50:15 PM</t>
  </si>
  <si>
    <t>Nov 4, 2025, 5:52:17 PM</t>
  </si>
  <si>
    <t>Nov 4, 2025, 4:44:58 PM</t>
  </si>
  <si>
    <t>JEREMY G.</t>
  </si>
  <si>
    <t>0741703225</t>
  </si>
  <si>
    <t>Nov 4, 2025, 5:18:11 PM</t>
  </si>
  <si>
    <t>Nov 4, 2025, 3:18:53 PM</t>
  </si>
  <si>
    <t>JUSTIN P.</t>
  </si>
  <si>
    <t>Glenbrooks Apartments, Chaka Road, Nairobi, Kenya</t>
  </si>
  <si>
    <t>Nov 4, 2025, 3:40:19 PM</t>
  </si>
  <si>
    <t>Nov 4, 2025, 1:40:07 PM</t>
  </si>
  <si>
    <t>IMANI O</t>
  </si>
  <si>
    <t>0713645979</t>
  </si>
  <si>
    <t>Pioneer Estate, Nairobi, Kenya</t>
  </si>
  <si>
    <t>Nov 4, 2025, 1:44:31 PM</t>
  </si>
  <si>
    <t>Nov 4, 2025, 1:13:13 PM</t>
  </si>
  <si>
    <t>SURAJIT D</t>
  </si>
  <si>
    <t>0701585640</t>
  </si>
  <si>
    <t>Queens Hostel, USIU Road, Nairobi, Kenya</t>
  </si>
  <si>
    <t>Nov 4, 2025, 1:32:59 PM</t>
  </si>
  <si>
    <t>Nov 4, 2025, 12:12:16 PM</t>
  </si>
  <si>
    <t>Maisha P</t>
  </si>
  <si>
    <t>0795688828</t>
  </si>
  <si>
    <t>Mitini Estate, Nairobi, Kenya</t>
  </si>
  <si>
    <t>Nov 4, 2025, 12:31:54 PM</t>
  </si>
  <si>
    <t>+250788597059</t>
  </si>
  <si>
    <t>Nsabimana Clement</t>
  </si>
  <si>
    <t>IN_PROGRESS</t>
  </si>
  <si>
    <t>Nov 4, 2025, 7:11:06 PM</t>
  </si>
  <si>
    <t>Nov 4, 2025, 8:03:21 PM</t>
  </si>
  <si>
    <t>afrinaija-pots-restaurant</t>
  </si>
  <si>
    <t>Nov 4, 2025, 6:26:00 PM</t>
  </si>
  <si>
    <t>Timothy Olaleke</t>
  </si>
  <si>
    <t>+250793147631</t>
  </si>
  <si>
    <t>KK208 St, Kigali, Rwanda, 3</t>
  </si>
  <si>
    <t>Nov 4, 2025, 6:42:13 PM</t>
  </si>
  <si>
    <t>+250785069721</t>
  </si>
  <si>
    <t>Nsekanabanga Ezira</t>
  </si>
  <si>
    <t>+254729267944</t>
  </si>
  <si>
    <t xml:space="preserve">Oliver  Ochieng </t>
  </si>
  <si>
    <t>Nov 5, 2025, 8:53:43 PM</t>
  </si>
  <si>
    <t>NATHAN O.</t>
  </si>
  <si>
    <t>Nov 5, 2025, 9:08:43 PM</t>
  </si>
  <si>
    <t>Nov 5, 2025, 8:43:26 PM</t>
  </si>
  <si>
    <t>Nov 5, 2025, 9:08:00 PM</t>
  </si>
  <si>
    <t>Nov 5, 2025, 7:33:43 PM</t>
  </si>
  <si>
    <t>NELLY J.</t>
  </si>
  <si>
    <t>0729028069</t>
  </si>
  <si>
    <t>Riverine Apartments, Riara Close, Nairobi, Kenya</t>
  </si>
  <si>
    <t>Nov 5, 2025, 7:21:31 PM</t>
  </si>
  <si>
    <t>JOSHUA OCHIENG O.</t>
  </si>
  <si>
    <t>0723035224</t>
  </si>
  <si>
    <t>ROBENDO BARBERS SHOP, Nairobi, Kenya</t>
  </si>
  <si>
    <t>Nov 5, 2025, 7:49:36 PM</t>
  </si>
  <si>
    <t>Nov 5, 2025, 3:36:00 PM</t>
  </si>
  <si>
    <t>MOHAMMED</t>
  </si>
  <si>
    <t>0728110110</t>
  </si>
  <si>
    <t>Amaiya by Mi Vida, Garden City, Thika Road, Nairobi, Kenya</t>
  </si>
  <si>
    <t>Nov 5, 2025, 3:54:05 PM</t>
  </si>
  <si>
    <t>Nov 4, 2025, 9:10:02 PM</t>
  </si>
  <si>
    <t>PEDRO</t>
  </si>
  <si>
    <t>+346921505470</t>
  </si>
  <si>
    <t>Nov 4, 2025, 9:22:15 PM</t>
  </si>
  <si>
    <t>Nov 4, 2025, 7:28:20 PM</t>
  </si>
  <si>
    <t>KEVIN</t>
  </si>
  <si>
    <t>0711921346</t>
  </si>
  <si>
    <t>Nula Homes, Nula Apartments, Nairobi, Kenya</t>
  </si>
  <si>
    <t>Nov 4, 2025, 7:52:56 PM</t>
  </si>
  <si>
    <t>Nov 4, 2025, 1:10:37 PM</t>
  </si>
  <si>
    <t>SKY</t>
  </si>
  <si>
    <t>0791745257</t>
  </si>
  <si>
    <t>9 West, Mkungu Close, Nairobi, Kenya</t>
  </si>
  <si>
    <t>Nov 4, 2025, 1:29:36 PM</t>
  </si>
  <si>
    <t>Nov 4, 2025, 1:05:49 PM</t>
  </si>
  <si>
    <t>RISHIL R</t>
  </si>
  <si>
    <t>0789588999</t>
  </si>
  <si>
    <t>Multiline Motors LTD, Baba Dogo Road, Nairobi, Kenya</t>
  </si>
  <si>
    <t>Nov 4, 2025, 1:30:50 PM</t>
  </si>
  <si>
    <t>+2540797642764</t>
  </si>
  <si>
    <t xml:space="preserve">Oriama  Harrison </t>
  </si>
  <si>
    <t>Nov 6, 2025, 7:33:00 PM</t>
  </si>
  <si>
    <t>JOY</t>
  </si>
  <si>
    <t>0740685488</t>
  </si>
  <si>
    <t>Jerusalem Court, Membly, Thika, Kenya</t>
  </si>
  <si>
    <t>23.6</t>
  </si>
  <si>
    <t>Nov 6, 2025, 7:56:34 PM</t>
  </si>
  <si>
    <t>Nov 6, 2025, 6:15:57 PM</t>
  </si>
  <si>
    <t>MARTA</t>
  </si>
  <si>
    <t>0702210024</t>
  </si>
  <si>
    <t>Tate Close, Nairobi, Kenya</t>
  </si>
  <si>
    <t>Nov 6, 2025, 6:34:15 PM</t>
  </si>
  <si>
    <t>Nov 6, 2025, 4:52:18 PM</t>
  </si>
  <si>
    <t>Nov 6, 2025, 2:47:03 PM</t>
  </si>
  <si>
    <t>AGNES</t>
  </si>
  <si>
    <t>0720146009</t>
  </si>
  <si>
    <t>Hill villas, Kayahwe Road, Nairobi, Kenya</t>
  </si>
  <si>
    <t>Nov 6, 2025, 3:07:12 PM</t>
  </si>
  <si>
    <t>FF-TRIAL</t>
  </si>
  <si>
    <t>Nov 6, 2025, 1:40:23 PM</t>
  </si>
  <si>
    <t>KD</t>
  </si>
  <si>
    <t>0723250372</t>
  </si>
  <si>
    <t>198 Ruaka Drive, Nairobi, Kenya</t>
  </si>
  <si>
    <t>Nov 6, 2025, 1:42:55 PM</t>
  </si>
  <si>
    <t>Nov 6, 2025, 1:39:00 PM</t>
  </si>
  <si>
    <t>Amy M</t>
  </si>
  <si>
    <t>0700817584</t>
  </si>
  <si>
    <t>Nov 6, 2025, 1:50:30 PM</t>
  </si>
  <si>
    <t>Nov 6, 2025, 1:00:44 PM</t>
  </si>
  <si>
    <t>NZAU</t>
  </si>
  <si>
    <t>0722805665</t>
  </si>
  <si>
    <t>Regus - Nairobi, Ushuru Pension Plaza, Muthangari Drive, Nairobi, Kenya</t>
  </si>
  <si>
    <t>Nov 6, 2025, 1:11:52 PM</t>
  </si>
  <si>
    <t>Nov 6, 2025, 11:36:24 AM</t>
  </si>
  <si>
    <t>George M.</t>
  </si>
  <si>
    <t>0701419001</t>
  </si>
  <si>
    <t>Royal Flats, Joseph Kangethe Road, Nairobi, Kenya</t>
  </si>
  <si>
    <t>Nov 6, 2025, 11:37:59 AM</t>
  </si>
  <si>
    <t>Nov 6, 2025, 11:39:01 AM</t>
  </si>
  <si>
    <t>Nov 5, 2025, 8:43:10 PM</t>
  </si>
  <si>
    <t>AYOTOLA</t>
  </si>
  <si>
    <t>Golden Tulip Westlands Nairobi, Muthithi Road, Nairobi, Kenya</t>
  </si>
  <si>
    <t>Nov 5, 2025, 8:43:57 PM</t>
  </si>
  <si>
    <t>SADIA(MISSINGITEM)</t>
  </si>
  <si>
    <t>Nov 5, 2025, 7:32:09 PM</t>
  </si>
  <si>
    <t>SADIA</t>
  </si>
  <si>
    <t>Lucky Summer SDA church, Nairobi, Kenya</t>
  </si>
  <si>
    <t>17.1</t>
  </si>
  <si>
    <t>Nov 5, 2025, 7:35:26 PM</t>
  </si>
  <si>
    <t>Nov 5, 2025, 5:54:00 PM</t>
  </si>
  <si>
    <t>0722523906</t>
  </si>
  <si>
    <t>The Cycads, Mimosa Gardens, Nairobi, Kenya</t>
  </si>
  <si>
    <t>Nov 5, 2025, 6:16:40 PM</t>
  </si>
  <si>
    <t>PICKUPnsk2</t>
  </si>
  <si>
    <t>Nov 5, 2025, 4:29:55 PM</t>
  </si>
  <si>
    <t>Nov 5, 2025, 4:34:23 PM</t>
  </si>
  <si>
    <t>pickupfay..</t>
  </si>
  <si>
    <t>Nov 5, 2025, 12:59:01 PM</t>
  </si>
  <si>
    <t>Fay</t>
  </si>
  <si>
    <t>Sarit Centre, Karuna Road, Nairobi, Kenya</t>
  </si>
  <si>
    <t>Nov 5, 2025, 1:00:00 PM</t>
  </si>
  <si>
    <t>#139328</t>
  </si>
  <si>
    <t>Nov 5, 2025, 12:55:43 PM</t>
  </si>
  <si>
    <t>0711718030</t>
  </si>
  <si>
    <t>Artesano Apartments Syokimau, Kivulini Road, Nairobi, Kenya</t>
  </si>
  <si>
    <t>20.8</t>
  </si>
  <si>
    <t>Nov 5, 2025, 1:02:03 PM</t>
  </si>
  <si>
    <t>Nov 5, 2025, 11:23:17 AM</t>
  </si>
  <si>
    <t>ROSS</t>
  </si>
  <si>
    <t>0722898942</t>
  </si>
  <si>
    <t>Specialised Fibreglass Ltd, Nairobi, Kenya</t>
  </si>
  <si>
    <t>Nov 5, 2025, 11:40:46 AM</t>
  </si>
  <si>
    <t>Nov 5, 2025, 10:20:00 AM</t>
  </si>
  <si>
    <t>MARIA CLAUDIA</t>
  </si>
  <si>
    <t>Nov 5, 2025, 10:34:43 AM</t>
  </si>
  <si>
    <t>+254713067342</t>
  </si>
  <si>
    <t>Oscar Ikwa</t>
  </si>
  <si>
    <t>Nov 6, 2025, 10:18:44 PM</t>
  </si>
  <si>
    <t>ULLY L</t>
  </si>
  <si>
    <t>0792340229</t>
  </si>
  <si>
    <t>Nov 6, 2025, 10:26:00 PM</t>
  </si>
  <si>
    <t>Nov 6, 2025, 10:17:30 PM</t>
  </si>
  <si>
    <t>JOSS N</t>
  </si>
  <si>
    <t>0716782468</t>
  </si>
  <si>
    <t>Falcon heights Apartments, Nairobi, Kenya</t>
  </si>
  <si>
    <t>Nov 6, 2025, 10:29:40 PM</t>
  </si>
  <si>
    <t>Nov 6, 2025, 8:11:42 PM</t>
  </si>
  <si>
    <t>JUDY N</t>
  </si>
  <si>
    <t>0711433098</t>
  </si>
  <si>
    <t>Rubis Garden Estate Service Station, Mbuni Drive, Nairobi, Kenya</t>
  </si>
  <si>
    <t>Nov 6, 2025, 8:14:18 PM</t>
  </si>
  <si>
    <t>Nov 6, 2025, 6:52:14 PM</t>
  </si>
  <si>
    <t>KATE D</t>
  </si>
  <si>
    <t>+447448154560</t>
  </si>
  <si>
    <t>Nov 6, 2025, 7:01:33 PM</t>
  </si>
  <si>
    <t>Nov 6, 2025, 5:01:07 PM</t>
  </si>
  <si>
    <t>EMMA C</t>
  </si>
  <si>
    <t>0714496893</t>
  </si>
  <si>
    <t>202 Mbagathi Ridge, Nairobi, Kenya</t>
  </si>
  <si>
    <t>18.6</t>
  </si>
  <si>
    <t>Nov 6, 2025, 5:07:50 PM</t>
  </si>
  <si>
    <t>Nov 6, 2025, 12:25:11 PM</t>
  </si>
  <si>
    <t>TRACY A</t>
  </si>
  <si>
    <t>0111838016</t>
  </si>
  <si>
    <t>Nov 6, 2025, 12:42:02 PM</t>
  </si>
  <si>
    <t>Nov 5, 2025, 1:27:15 PM</t>
  </si>
  <si>
    <t>0735808607</t>
  </si>
  <si>
    <t>Nov 5, 2025, 1:40:37 PM</t>
  </si>
  <si>
    <t>Nov 5, 2025, 12:18:32 PM</t>
  </si>
  <si>
    <t>ANITA D</t>
  </si>
  <si>
    <t>0793297018</t>
  </si>
  <si>
    <t>Farasi Close, Nairobi, Kenya</t>
  </si>
  <si>
    <t>Nov 5, 2025, 12:42:24 PM</t>
  </si>
  <si>
    <t>Nov 5, 2025, 11:48:41 AM</t>
  </si>
  <si>
    <t>SELENA G</t>
  </si>
  <si>
    <t>0114891871</t>
  </si>
  <si>
    <t>106 Thigiri Lane, Nairobi, Kenya</t>
  </si>
  <si>
    <t>Nov 5, 2025, 12:07:32 PM</t>
  </si>
  <si>
    <t>Nov 4, 2025, 6:32:03 PM</t>
  </si>
  <si>
    <t>SYLVIA N</t>
  </si>
  <si>
    <t>0714207742</t>
  </si>
  <si>
    <t>Greenspan Estate Phase 2, Nairobi, Kenya</t>
  </si>
  <si>
    <t>Nov 4, 2025, 6:38:27 PM</t>
  </si>
  <si>
    <t>EEBAE0</t>
  </si>
  <si>
    <t>Nov 4, 2025, 6:30:06 PM</t>
  </si>
  <si>
    <t>ANN M</t>
  </si>
  <si>
    <t>+456068783500</t>
  </si>
  <si>
    <t>Nov 4, 2025, 6:31:55 PM</t>
  </si>
  <si>
    <t>Nov 4, 2025, 4:42:09 PM</t>
  </si>
  <si>
    <t>samantha</t>
  </si>
  <si>
    <t>0790489522</t>
  </si>
  <si>
    <t>Kianderi Heights, Nairobi, Kenya</t>
  </si>
  <si>
    <t>Nov 4, 2025, 4:47:18 PM</t>
  </si>
  <si>
    <t>Nov 4, 2025, 3:01:00 PM</t>
  </si>
  <si>
    <t>Nov 4, 2025, 3:19:40 PM</t>
  </si>
  <si>
    <t>Nov 4, 2025, 11:55:22 AM</t>
  </si>
  <si>
    <t>KS B</t>
  </si>
  <si>
    <t>0738450597</t>
  </si>
  <si>
    <t>9.2</t>
  </si>
  <si>
    <t>Nov 4, 2025, 12:15:08 PM</t>
  </si>
  <si>
    <t>+2540725041299</t>
  </si>
  <si>
    <t>Randolph Onundu</t>
  </si>
  <si>
    <t>Nov 6, 2025, 7:31:59 PM</t>
  </si>
  <si>
    <t>WINNIE T</t>
  </si>
  <si>
    <t>0791471056</t>
  </si>
  <si>
    <t>Quick Mart Kikuyu Rd, Dagoretti Rd, Nairobi, Kenya</t>
  </si>
  <si>
    <t>Nov 6, 2025, 6:45:23 PM</t>
  </si>
  <si>
    <t>KELVIN B.</t>
  </si>
  <si>
    <t>0758913185</t>
  </si>
  <si>
    <t>TSAVO Skywalk, Wanyee Road, Nairobi, Kenya</t>
  </si>
  <si>
    <t>Nov 6, 2025, 6:53:40 PM</t>
  </si>
  <si>
    <t>Nov 6, 2025, 4:34:22 PM</t>
  </si>
  <si>
    <t>0716941819</t>
  </si>
  <si>
    <t>Nov 6, 2025, 4:51:54 PM</t>
  </si>
  <si>
    <t>Nov 6, 2025, 2:46:45 PM</t>
  </si>
  <si>
    <t>MESHACK O.</t>
  </si>
  <si>
    <t>0711650632</t>
  </si>
  <si>
    <t>Sunburst Court Langata, Langata Road, Nairobi, Kenya</t>
  </si>
  <si>
    <t>Nov 6, 2025, 3:03:07 PM</t>
  </si>
  <si>
    <t>3f115</t>
  </si>
  <si>
    <t>Nov 6, 2025, 1:53:17 PM</t>
  </si>
  <si>
    <t>PAUL G.</t>
  </si>
  <si>
    <t>0110903898</t>
  </si>
  <si>
    <t>CVS Plaza, Lenana Road, Nairobi City, Kenya</t>
  </si>
  <si>
    <t>Nov 6, 2025, 2:14:17 PM</t>
  </si>
  <si>
    <t>Nov 6, 2025, 12:58:47 PM</t>
  </si>
  <si>
    <t>ANYA E.</t>
  </si>
  <si>
    <t>0759192026</t>
  </si>
  <si>
    <t>Zutari Nairobi, James Gichuru Road, Nairobi, Kenya</t>
  </si>
  <si>
    <t>Nov 6, 2025, 1:17:02 PM</t>
  </si>
  <si>
    <t>Nov 6, 2025, 12:06:12 PM</t>
  </si>
  <si>
    <t>Nov 6, 2025, 12:23:36 PM</t>
  </si>
  <si>
    <t>Nov 4, 2025, 7:22:34 PM</t>
  </si>
  <si>
    <t>JANET M.</t>
  </si>
  <si>
    <t>0707738757</t>
  </si>
  <si>
    <t>Nov 4, 2025, 7:45:43 PM</t>
  </si>
  <si>
    <t>6:56PICKUP</t>
  </si>
  <si>
    <t>Nov 4, 2025, 6:56:10 PM</t>
  </si>
  <si>
    <t>Nov 4, 2025, 6:56:47 PM</t>
  </si>
  <si>
    <t>Nov 4, 2025, 6:40:35 PM</t>
  </si>
  <si>
    <t>Nov 4, 2025, 6:58:00 PM</t>
  </si>
  <si>
    <t>Nov 4, 2025, 5:42:19 PM</t>
  </si>
  <si>
    <t>ROSS F.</t>
  </si>
  <si>
    <t>Nov 4, 2025, 6:05:29 PM</t>
  </si>
  <si>
    <t>Nov 4, 2025, 4:46:46 PM</t>
  </si>
  <si>
    <t>Nov 4, 2025, 4:59:39 PM</t>
  </si>
  <si>
    <t>Nov 4, 2025, 2:23:08 PM</t>
  </si>
  <si>
    <t>MARCEL P.</t>
  </si>
  <si>
    <t>Woodmere Grand Hotel and Serviced Apartments, Rose Avenue, North, Kenya</t>
  </si>
  <si>
    <t>Nov 4, 2025, 2:43:18 PM</t>
  </si>
  <si>
    <t>Nov 4, 2025, 1:32:13 PM</t>
  </si>
  <si>
    <t>RICHARD K.</t>
  </si>
  <si>
    <t>0725792718</t>
  </si>
  <si>
    <t>Suguta lyne villas, Nairobi, Kenya</t>
  </si>
  <si>
    <t>Nov 4, 2025, 1:54:02 PM</t>
  </si>
  <si>
    <t>Nov 4, 2025, 12:55:00 PM</t>
  </si>
  <si>
    <t>+254720788796</t>
  </si>
  <si>
    <t>47 muchai drive, Spiceworks</t>
  </si>
  <si>
    <t>Nov 4, 2025, 12:56:18 PM</t>
  </si>
  <si>
    <t>Nov 4, 2025, 11:26:38 AM</t>
  </si>
  <si>
    <t>Nov 4, 2025, 11:48:03 AM</t>
  </si>
  <si>
    <t>Nov 4, 2025, 12:38:27 PM</t>
  </si>
  <si>
    <t>+254769638583</t>
  </si>
  <si>
    <t>Richard  Wena</t>
  </si>
  <si>
    <t>Nov 6, 2025, 9:40:52 PM</t>
  </si>
  <si>
    <t>ANGUS</t>
  </si>
  <si>
    <t>0768023969</t>
  </si>
  <si>
    <t>Royal Apartments, Mvuli Road, Nairobi, Kenya</t>
  </si>
  <si>
    <t>Nov 6, 2025, 9:53:35 PM</t>
  </si>
  <si>
    <t>Nov 6, 2025, 9:20:09 PM</t>
  </si>
  <si>
    <t>RAGHNHILD</t>
  </si>
  <si>
    <t>Nov 6, 2025, 9:44:35 PM</t>
  </si>
  <si>
    <t>Nov 6, 2025, 7:26:16 PM</t>
  </si>
  <si>
    <t>GURVEER S</t>
  </si>
  <si>
    <t>0790499242</t>
  </si>
  <si>
    <t>Mtama Road, Nairobi, Kenya</t>
  </si>
  <si>
    <t>Nov 6, 2025, 8:02:34 PM</t>
  </si>
  <si>
    <t>Nov 6, 2025, 6:49:35 PM</t>
  </si>
  <si>
    <t>ARNAUD S</t>
  </si>
  <si>
    <t>0740426754</t>
  </si>
  <si>
    <t>Gracious Gardens Apartments, Stima Lane, Nairobi, Kenya</t>
  </si>
  <si>
    <t>Nov 6, 2025, 7:00:48 PM</t>
  </si>
  <si>
    <t>PICKUPMILK,av90</t>
  </si>
  <si>
    <t>Nov 6, 2025, 6:37:32 PM</t>
  </si>
  <si>
    <t>Nov 6, 2025, 6:39:50 PM</t>
  </si>
  <si>
    <t>PICKUPDISPTCHFROMPURVI</t>
  </si>
  <si>
    <t>Nov 6, 2025, 6:31:14 PM</t>
  </si>
  <si>
    <t>SIAM</t>
  </si>
  <si>
    <t>Nov 6, 2025, 6:22:53 PM</t>
  </si>
  <si>
    <t>LEY</t>
  </si>
  <si>
    <t>Daylight apartment, Ngao Road, Nairobi, Kenya</t>
  </si>
  <si>
    <t>Nov 6, 2025, 6:24:02 PM</t>
  </si>
  <si>
    <t>Nov 6, 2025, 5:15:46 PM</t>
  </si>
  <si>
    <t>+479308370700</t>
  </si>
  <si>
    <t>Nov 6, 2025, 5:17:19 PM</t>
  </si>
  <si>
    <t>Nov 6, 2025, 5:11:00 PM</t>
  </si>
  <si>
    <t>OLI G</t>
  </si>
  <si>
    <t>Sanlam House, Nairobi, Kenya</t>
  </si>
  <si>
    <t>Nov 6, 2025, 6:19:47 PM</t>
  </si>
  <si>
    <t>Nov 6, 2025, 5:08:00 PM</t>
  </si>
  <si>
    <t>Palm Flats, Sports Road, Nairobi, Kenya</t>
  </si>
  <si>
    <t>Nov 6, 2025, 6:42:43 PM</t>
  </si>
  <si>
    <t>Nov 6, 2025, 5:07:00 PM</t>
  </si>
  <si>
    <t>MAEL R</t>
  </si>
  <si>
    <t>Nov 6, 2025, 6:31:08 PM</t>
  </si>
  <si>
    <t>Nov 6, 2025, 4:37:00 PM</t>
  </si>
  <si>
    <t>FARAH W</t>
  </si>
  <si>
    <t>Nov 6, 2025, 4:53:50 PM</t>
  </si>
  <si>
    <t>Nov 6, 2025, 2:17:32 PM</t>
  </si>
  <si>
    <t>MWANGI K</t>
  </si>
  <si>
    <t>0705452218</t>
  </si>
  <si>
    <t>Nov 6, 2025, 2:39:34 PM</t>
  </si>
  <si>
    <t>Nov 6, 2025, 2:13:04 PM</t>
  </si>
  <si>
    <t>REEM</t>
  </si>
  <si>
    <t>0791784671</t>
  </si>
  <si>
    <t>Brookside Drive, Nairobi, Kenya</t>
  </si>
  <si>
    <t>Nov 6, 2025, 2:55:50 PM</t>
  </si>
  <si>
    <t>Nov 6, 2025, 10:39:00 AM</t>
  </si>
  <si>
    <t>Nov 6, 2025, 10:58:59 AM</t>
  </si>
  <si>
    <t>PICKUP(RICESTICKS).</t>
  </si>
  <si>
    <t>Nov 5, 2025, 9:45:40 PM</t>
  </si>
  <si>
    <t>Nov 5, 2025, 9:18:42 PM</t>
  </si>
  <si>
    <t>Nov 5, 2025, 8:57:29 PM</t>
  </si>
  <si>
    <t>NIKO K</t>
  </si>
  <si>
    <t>+255744486761</t>
  </si>
  <si>
    <t>Nov 5, 2025, 9:27:15 PM</t>
  </si>
  <si>
    <t>Nov 5, 2025, 8:01:27 PM</t>
  </si>
  <si>
    <t>FATHIYA</t>
  </si>
  <si>
    <t>0789392981</t>
  </si>
  <si>
    <t>Othaya Road, Nairobi, Kenya</t>
  </si>
  <si>
    <t>Nov 5, 2025, 9:14:40 PM</t>
  </si>
  <si>
    <t>Nov 5, 2025, 7:34:46 PM</t>
  </si>
  <si>
    <t>REECE S</t>
  </si>
  <si>
    <t>0110899661</t>
  </si>
  <si>
    <t>Sunstone Apartments, General Mathenge Road, Nairobi, Kenya</t>
  </si>
  <si>
    <t>Nov 5, 2025, 7:51:10 PM</t>
  </si>
  <si>
    <t>Nov 5, 2025, 7:32:20 PM</t>
  </si>
  <si>
    <t>22 Brookside Drive, Nairobi, Kenya</t>
  </si>
  <si>
    <t>Nov 5, 2025, 7:49:39 PM</t>
  </si>
  <si>
    <t>Nov 5, 2025, 5:34:34 PM</t>
  </si>
  <si>
    <t>YUMA N</t>
  </si>
  <si>
    <t>+016072627544</t>
  </si>
  <si>
    <t>Nov 5, 2025, 6:08:48 PM</t>
  </si>
  <si>
    <t>Nov 5, 2025, 5:09:21 PM</t>
  </si>
  <si>
    <t>SHELLEY</t>
  </si>
  <si>
    <t>+2250704884986</t>
  </si>
  <si>
    <t>28 St Michael Rd, Nairobi, Kenya</t>
  </si>
  <si>
    <t>Nov 5, 2025, 5:24:31 PM</t>
  </si>
  <si>
    <t>PICKUPBUGGETS009</t>
  </si>
  <si>
    <t>Nov 5, 2025, 4:37:08 PM</t>
  </si>
  <si>
    <t>Chandarana Foodplus Supermarket Rhapta Rd, The Stop at Rhapta, Rhapta Road, Nairobi, Kenya</t>
  </si>
  <si>
    <t>Nov 5, 2025, 3:48:11 PM</t>
  </si>
  <si>
    <t>SHEILA C</t>
  </si>
  <si>
    <t>Nov 5, 2025, 4:04:09 PM</t>
  </si>
  <si>
    <t>PICKUPCARCASSSARIT</t>
  </si>
  <si>
    <t>Nov 5, 2025, 3:19:50 PM</t>
  </si>
  <si>
    <t>Nov 5, 2025, 3:26:38 PM</t>
  </si>
  <si>
    <t>Nov 5, 2025, 3:30:56 PM</t>
  </si>
  <si>
    <t>RAFI B</t>
  </si>
  <si>
    <t>0707151601</t>
  </si>
  <si>
    <t>Azalea Square, General Mathenge Road, Nairobi, Kenya</t>
  </si>
  <si>
    <t>Nov 5, 2025, 2:48:19 PM</t>
  </si>
  <si>
    <t>Nov 5, 2025, 1:35:12 PM</t>
  </si>
  <si>
    <t>KIMBERLY C</t>
  </si>
  <si>
    <t>0705061232</t>
  </si>
  <si>
    <t>Lee, Kwesiga &amp; Kiprono Advocates LLP, Nairobi, Kenya</t>
  </si>
  <si>
    <t>Nov 5, 2025, 1:54:35 PM</t>
  </si>
  <si>
    <t>Nov 5, 2025, 1:34:49 PM</t>
  </si>
  <si>
    <t>WINNIE N</t>
  </si>
  <si>
    <t>Nov 5, 2025, 1:56:06 PM</t>
  </si>
  <si>
    <t>1014762046</t>
  </si>
  <si>
    <t>Nov 5, 2025, 1:01:59 PM</t>
  </si>
  <si>
    <t>JACOB</t>
  </si>
  <si>
    <t>0728449293</t>
  </si>
  <si>
    <t>Nov 5, 2025, 1:19:06 PM</t>
  </si>
  <si>
    <t>Nov 5, 2025, 12:25:38 PM</t>
  </si>
  <si>
    <t>MAURICE C</t>
  </si>
  <si>
    <t>0716656726</t>
  </si>
  <si>
    <t>Peponi Gardens, Nairobi, Kenya</t>
  </si>
  <si>
    <t>Nov 5, 2025, 12:39:03 PM</t>
  </si>
  <si>
    <t>Nov 5, 2025, 12:25:34 PM</t>
  </si>
  <si>
    <t>JABRIL</t>
  </si>
  <si>
    <t>0722419477</t>
  </si>
  <si>
    <t>Somali Embassy Nairobi-Westlands, Brookside Drive, Nairobi, Kenya</t>
  </si>
  <si>
    <t>Nov 5, 2025, 12:41:12 PM</t>
  </si>
  <si>
    <t>Nov 5, 2025, 11:33:06 AM</t>
  </si>
  <si>
    <t>RUFARO S</t>
  </si>
  <si>
    <t>0715581539</t>
  </si>
  <si>
    <t>Nov 5, 2025, 11:41:12 AM</t>
  </si>
  <si>
    <t>Nov 4, 2025, 9:42:32 PM</t>
  </si>
  <si>
    <t>Martin Kinyanjui</t>
  </si>
  <si>
    <t>+254724702412</t>
  </si>
  <si>
    <t>Muthaiga View Place, Thika Rd, Nairobi, Kenya</t>
  </si>
  <si>
    <t>Nov 4, 2025, 9:44:02 PM</t>
  </si>
  <si>
    <t>Nov 4, 2025, 9:03:37 PM</t>
  </si>
  <si>
    <t>Nov 4, 2025, 9:04:59 PM</t>
  </si>
  <si>
    <t>Nov 4, 2025, 8:25:47 PM</t>
  </si>
  <si>
    <t>farida</t>
  </si>
  <si>
    <t>0728758511</t>
  </si>
  <si>
    <t>Nov 4, 2025, 8:27:39 PM</t>
  </si>
  <si>
    <t>Nov 4, 2025, 7:47:01 PM</t>
  </si>
  <si>
    <t>MALAIKA M</t>
  </si>
  <si>
    <t>0759001837</t>
  </si>
  <si>
    <t>Boston Consulting Group, Waiyaki Way, Nairobi, Kenya</t>
  </si>
  <si>
    <t>Nov 4, 2025, 7:11:15 PM</t>
  </si>
  <si>
    <t>Nov 4, 2025, 7:46:29 PM</t>
  </si>
  <si>
    <t>TING L</t>
  </si>
  <si>
    <t>+013472445994</t>
  </si>
  <si>
    <t>Nov 4, 2025, 8:03:29 PM</t>
  </si>
  <si>
    <t>Nov 4, 2025, 6:44:49 PM</t>
  </si>
  <si>
    <t>NAMBO MERCY</t>
  </si>
  <si>
    <t>0714741407</t>
  </si>
  <si>
    <t>Nov 4, 2025, 7:03:45 PM</t>
  </si>
  <si>
    <t>PICKUPBLACKPEPPER09</t>
  </si>
  <si>
    <t>Nov 4, 2025, 5:49:24 PM</t>
  </si>
  <si>
    <t>Nilkanth ration store limited, 3rd Parklands Avenue, Nairobi, Kenya</t>
  </si>
  <si>
    <t>Nov 4, 2025, 5:51:28 PM</t>
  </si>
  <si>
    <t>Nov 4, 2025, 5:47:53 PM</t>
  </si>
  <si>
    <t>Nov 4, 2025, 5:49:15 PM</t>
  </si>
  <si>
    <t>Nov 4, 2025, 5:46:27 PM</t>
  </si>
  <si>
    <t>EMMA H</t>
  </si>
  <si>
    <t>+015104995997</t>
  </si>
  <si>
    <t>Sankara Nairobi, Autograph Collection, Woodvale Grove, Nairobi, Kenya</t>
  </si>
  <si>
    <t>Nov 4, 2025, 5:47:42 PM</t>
  </si>
  <si>
    <t>Nov 4, 2025, 5:15:25 PM</t>
  </si>
  <si>
    <t>JOHN C</t>
  </si>
  <si>
    <t>+447577160985</t>
  </si>
  <si>
    <t>Park Inn By Radisson Nairobi Westlands, Waiyaki Way, Nairobi, Kenya</t>
  </si>
  <si>
    <t>Nov 4, 2025, 6:36:21 PM</t>
  </si>
  <si>
    <t>Nov 4, 2025, 5:11:23 PM</t>
  </si>
  <si>
    <t>KIM K</t>
  </si>
  <si>
    <t>+821020562107</t>
  </si>
  <si>
    <t>Nov 4, 2025, 5:12:28 PM</t>
  </si>
  <si>
    <t>pickupguru04/11</t>
  </si>
  <si>
    <t>Nov 4, 2025, 4:22:55 PM</t>
  </si>
  <si>
    <t>SIAM THAI KITCHEN (PEANUTS,MANGOES)</t>
  </si>
  <si>
    <t>Nov 4, 2025, 4:24:38 PM</t>
  </si>
  <si>
    <t>Nov 4, 2025, 2:29:18 PM</t>
  </si>
  <si>
    <t>alex</t>
  </si>
  <si>
    <t>+346770005100</t>
  </si>
  <si>
    <t>Nov 4, 2025, 2:38:39 PM</t>
  </si>
  <si>
    <t>Nov 4, 2025, 2:04:54 PM</t>
  </si>
  <si>
    <t>SATVINDER</t>
  </si>
  <si>
    <t>0780251651</t>
  </si>
  <si>
    <t>Doctors' Park, 3rd Parklands Avenue, Nairobi, Kenya</t>
  </si>
  <si>
    <t>Nov 4, 2025, 2:06:50 PM</t>
  </si>
  <si>
    <t>Nov 4, 2025, 1:26:50 PM</t>
  </si>
  <si>
    <t>DANIEL M</t>
  </si>
  <si>
    <t>0792515790</t>
  </si>
  <si>
    <t>Silver Heights, Nairobi, Kenya</t>
  </si>
  <si>
    <t>Nov 4, 2025, 1:27:53 PM</t>
  </si>
  <si>
    <t>+2540721494093</t>
  </si>
  <si>
    <t xml:space="preserve">Samuel  Onsongo </t>
  </si>
  <si>
    <t>SHEILA</t>
  </si>
  <si>
    <t>0720341271</t>
  </si>
  <si>
    <t>Podium Height Road, Nairobi, Kenya</t>
  </si>
  <si>
    <t>Nov 6, 2025, 9:29:45 PM</t>
  </si>
  <si>
    <t>Nov 6, 2025, 8:10:43 PM</t>
  </si>
  <si>
    <t>EDWIN G.</t>
  </si>
  <si>
    <t>0720357511</t>
  </si>
  <si>
    <t>Highview Estate Phase II - Ngummo, Ngumo Stage, Mbagathi Road, Nairobi, Kenya</t>
  </si>
  <si>
    <t>Nov 6, 2025, 8:30:11 PM</t>
  </si>
  <si>
    <t>Nov 6, 2025, 8:08:01 PM</t>
  </si>
  <si>
    <t>ROBERT O.</t>
  </si>
  <si>
    <t>0718422329</t>
  </si>
  <si>
    <t>117 Karuri Gakure Road, Nairobi, Kenya</t>
  </si>
  <si>
    <t>Nov 6, 2025, 8:28:39 PM</t>
  </si>
  <si>
    <t>Nov 6, 2025, 6:56:48 PM</t>
  </si>
  <si>
    <t>WINSTON N.</t>
  </si>
  <si>
    <t>0117011363</t>
  </si>
  <si>
    <t>Nov 6, 2025, 7:14:18 PM</t>
  </si>
  <si>
    <t>Nov 6, 2025, 6:31:20 PM</t>
  </si>
  <si>
    <t>DAVID A.</t>
  </si>
  <si>
    <t>+447971336388</t>
  </si>
  <si>
    <t>Tetu Housing SOC LTD, Ndemi Lane, Nairobi, Kenya</t>
  </si>
  <si>
    <t>Nov 6, 2025, 7:15:20 PM</t>
  </si>
  <si>
    <t>Nov 5, 2025, 9:12:57 PM</t>
  </si>
  <si>
    <t>MERIAM</t>
  </si>
  <si>
    <t>Nov 5, 2025, 9:28:17 PM</t>
  </si>
  <si>
    <t>Nov 5, 2025, 8:26:34 PM</t>
  </si>
  <si>
    <t>THOMAS T.</t>
  </si>
  <si>
    <t>77 Muhoya Avenue, Nairobi, Kenya</t>
  </si>
  <si>
    <t>Nov 5, 2025, 8:50:18 PM</t>
  </si>
  <si>
    <t>Nov 5, 2025, 7:43:31 PM</t>
  </si>
  <si>
    <t>KUI</t>
  </si>
  <si>
    <t>Nov 5, 2025, 8:32:54 PM</t>
  </si>
  <si>
    <t>Nov 5, 2025, 7:30:52 PM</t>
  </si>
  <si>
    <t>SIIRI P.</t>
  </si>
  <si>
    <t>0116246295</t>
  </si>
  <si>
    <t>Donyo Park Apartments, Donyo Sabuk Lane, Nairobi, Kenya</t>
  </si>
  <si>
    <t>Nov 5, 2025, 7:59:20 PM</t>
  </si>
  <si>
    <t>Nov 5, 2025, 7:01:43 PM</t>
  </si>
  <si>
    <t>KARSTEN A.</t>
  </si>
  <si>
    <t>Cherrywood Apartments - Kilimani, Dennis Pritt Road, Nairobi, Kenya</t>
  </si>
  <si>
    <t>Nov 5, 2025, 7:41:30 PM</t>
  </si>
  <si>
    <t>Nov 5, 2025, 6:41:42 PM</t>
  </si>
  <si>
    <t>CLEMENCE GENTILLE</t>
  </si>
  <si>
    <t>0791532963</t>
  </si>
  <si>
    <t>122 Argwings Kodhek Road, Nairobi, Kenya</t>
  </si>
  <si>
    <t>Nov 5, 2025, 7:08:25 PM</t>
  </si>
  <si>
    <t>Nov 5, 2025, 6:39:37 PM</t>
  </si>
  <si>
    <t>0732815197</t>
  </si>
  <si>
    <t>Seresponda Court, Vihiga Road, Nairobi, Kenya</t>
  </si>
  <si>
    <t>Nov 5, 2025, 7:09:17 PM</t>
  </si>
  <si>
    <t>Nov 5, 2025, 6:28:01 PM</t>
  </si>
  <si>
    <t>FIONA HARUNA M.</t>
  </si>
  <si>
    <t>0700275932</t>
  </si>
  <si>
    <t>Nov 5, 2025, 6:45:17 PM</t>
  </si>
  <si>
    <t>Nov 4, 2025, 8:33:35 PM</t>
  </si>
  <si>
    <t>KELVIN K.</t>
  </si>
  <si>
    <t>0719837703</t>
  </si>
  <si>
    <t>Royal Park Estate, Police Dog Unit Road, Nairobi, Kenya</t>
  </si>
  <si>
    <t>Nov 4, 2025, 8:57:20 PM</t>
  </si>
  <si>
    <t>Nov 4, 2025, 8:14:06 PM</t>
  </si>
  <si>
    <t>JED W.</t>
  </si>
  <si>
    <t>Nov 4, 2025, 8:37:37 PM</t>
  </si>
  <si>
    <t>Nov 4, 2025, 8:01:04 PM</t>
  </si>
  <si>
    <t>NIX L.</t>
  </si>
  <si>
    <t>0796817522</t>
  </si>
  <si>
    <t>Capital Rise Apartments - Kilimani, Menelik Road, Nairobi, Kenya</t>
  </si>
  <si>
    <t>Nov 4, 2025, 8:18:27 PM</t>
  </si>
  <si>
    <t>Nov 4, 2025, 7:22:18 PM</t>
  </si>
  <si>
    <t>0793303472</t>
  </si>
  <si>
    <t>Nov 4, 2025, 7:40:17 PM</t>
  </si>
  <si>
    <t>Nov 4, 2025, 6:40:44 PM</t>
  </si>
  <si>
    <t>Nov 4, 2025, 6:50:21 PM</t>
  </si>
  <si>
    <t>+254712242805</t>
  </si>
  <si>
    <t xml:space="preserve">Samuel  Wachira </t>
  </si>
  <si>
    <t>Nov 6, 2025, 9:03:12 PM</t>
  </si>
  <si>
    <t>Nov 6, 2025, 9:21:14 PM</t>
  </si>
  <si>
    <t>Nov 6, 2025, 7:22:32 PM</t>
  </si>
  <si>
    <t>JASMINE S</t>
  </si>
  <si>
    <t>0745000086</t>
  </si>
  <si>
    <t>Nov 6, 2025, 8:14:16 PM</t>
  </si>
  <si>
    <t>Nov 6, 2025, 7:01:38 PM</t>
  </si>
  <si>
    <t>CHRIS W</t>
  </si>
  <si>
    <t>0705446153</t>
  </si>
  <si>
    <t>Ephelele Homes, Southern Bypass, Kikuyu, Kenya</t>
  </si>
  <si>
    <t>19.6</t>
  </si>
  <si>
    <t>Nov 6, 2025, 7:26:14 PM</t>
  </si>
  <si>
    <t>Nov 6, 2025, 5:16:26 PM</t>
  </si>
  <si>
    <t>0797118640</t>
  </si>
  <si>
    <t>Kifaru Crescent, Nairobi, Kenya</t>
  </si>
  <si>
    <t>Nov 6, 2025, 5:32:44 PM</t>
  </si>
  <si>
    <t>Nov 6, 2025, 3:38:44 PM</t>
  </si>
  <si>
    <t>ABDULLAHI.</t>
  </si>
  <si>
    <t>0718005100</t>
  </si>
  <si>
    <t>The Gals Apartments, Unnamed Road, Rungiri, Kenya</t>
  </si>
  <si>
    <t>24.7</t>
  </si>
  <si>
    <t>Nov 6, 2025, 3:57:59 PM</t>
  </si>
  <si>
    <t>Nov 6, 2025, 2:01:08 PM</t>
  </si>
  <si>
    <t>WANJIKU</t>
  </si>
  <si>
    <t>0729239403</t>
  </si>
  <si>
    <t>Nyayo Highrise Mbagathi Way, Nyayo Highrise, Unnamed Road, Nairobi, Kenya</t>
  </si>
  <si>
    <t>Nov 6, 2025, 2:30:33 PM</t>
  </si>
  <si>
    <t>Nov 6, 2025, 12:39:22 PM</t>
  </si>
  <si>
    <t>EMI C.</t>
  </si>
  <si>
    <t>0712248428</t>
  </si>
  <si>
    <t>Nov 6, 2025, 1:04:13 PM</t>
  </si>
  <si>
    <t>Nov 6, 2025, 11:44:26 AM</t>
  </si>
  <si>
    <t>Nov 6, 2025, 11:58:08 AM</t>
  </si>
  <si>
    <t>Nov 5, 2025, 8:24:38 PM</t>
  </si>
  <si>
    <t>Nov 5, 2025, 8:42:55 PM</t>
  </si>
  <si>
    <t>Nov 5, 2025, 8:24:33 PM</t>
  </si>
  <si>
    <t>STANISLAS</t>
  </si>
  <si>
    <t>0740034670</t>
  </si>
  <si>
    <t>Riziki Apartments, Nairobi, Kenya</t>
  </si>
  <si>
    <t>Nov 6, 2025, 2:19:39 PM</t>
  </si>
  <si>
    <t>Nov 5, 2025, 8:18:42 PM</t>
  </si>
  <si>
    <t>BRAD D.</t>
  </si>
  <si>
    <t>Gitanga Hill Court - Complex, Gitanga Road, North, Kenya</t>
  </si>
  <si>
    <t>Nov 5, 2025, 8:37:32 PM</t>
  </si>
  <si>
    <t>Nov 5, 2025, 7:40:43 PM</t>
  </si>
  <si>
    <t>Nov 5, 2025, 7:54:00 PM</t>
  </si>
  <si>
    <t>Nov 5, 2025, 7:30:21 PM</t>
  </si>
  <si>
    <t>MATHEW J.</t>
  </si>
  <si>
    <t>0111699188</t>
  </si>
  <si>
    <t>Molars Dental Practice (Hurlingham), Lenana Road, Nairobi, Kenya</t>
  </si>
  <si>
    <t>Nov 5, 2025, 7:52:19 PM</t>
  </si>
  <si>
    <t>Nov 5, 2025, 6:46:09 PM</t>
  </si>
  <si>
    <t>KRISTUPAS D.</t>
  </si>
  <si>
    <t>0792304225</t>
  </si>
  <si>
    <t>Nov 5, 2025, 6:59:58 PM</t>
  </si>
  <si>
    <t>Nov 5, 2025, 6:43:10 PM</t>
  </si>
  <si>
    <t>0724055037</t>
  </si>
  <si>
    <t>Ndemi Gardens Apartments, Rd, Nairobi, Kenya</t>
  </si>
  <si>
    <t>Nov 5, 2025, 7:01:44 PM</t>
  </si>
  <si>
    <t>Nov 5, 2025, 6:34:08 PM</t>
  </si>
  <si>
    <t>JONATHAN M.</t>
  </si>
  <si>
    <t>0722322738</t>
  </si>
  <si>
    <t>Lamuria gardens, Nairobi, Kenya</t>
  </si>
  <si>
    <t>Nov 5, 2025, 6:38:34 PM</t>
  </si>
  <si>
    <t>Nov 5, 2025, 4:36:06 PM</t>
  </si>
  <si>
    <t>ISHARA B.</t>
  </si>
  <si>
    <t>0796921089</t>
  </si>
  <si>
    <t>Corat Africa, Bogani East Road, Nairobi, Kenya</t>
  </si>
  <si>
    <t>Nov 5, 2025, 5:13:11 PM</t>
  </si>
  <si>
    <t>Nov 4, 2025, 8:08:09 PM</t>
  </si>
  <si>
    <t>DAVID Y.</t>
  </si>
  <si>
    <t>0798898929</t>
  </si>
  <si>
    <t>Braeburn Apartments, Gitanga Road, Nairobi, Kenya</t>
  </si>
  <si>
    <t>Nov 4, 2025, 8:29:49 PM</t>
  </si>
  <si>
    <t>Nov 4, 2025, 7:23:26 PM</t>
  </si>
  <si>
    <t>BETTY K.</t>
  </si>
  <si>
    <t>0725545331</t>
  </si>
  <si>
    <t>Githunguri Estate, Githunguri Road, Nairobi, Kenya</t>
  </si>
  <si>
    <t>Nov 4, 2025, 7:46:36 PM</t>
  </si>
  <si>
    <t>Nov 4, 2025, 6:38:58 PM</t>
  </si>
  <si>
    <t>THUREYA</t>
  </si>
  <si>
    <t>0720345567</t>
  </si>
  <si>
    <t>Oyster Court Apartments, Nairobi, Kenya</t>
  </si>
  <si>
    <t>Nov 4, 2025, 6:59:58 PM</t>
  </si>
  <si>
    <t>Nov 4, 2025, 5:57:08 PM</t>
  </si>
  <si>
    <t>MUKAMI K.</t>
  </si>
  <si>
    <t>0722436802</t>
  </si>
  <si>
    <t>ngobit east estate, Mtongwe Road, Nairobi, Kenya</t>
  </si>
  <si>
    <t>Nov 4, 2025, 6:13:29 PM</t>
  </si>
  <si>
    <t>Nov 4, 2025, 4:37:06 PM</t>
  </si>
  <si>
    <t>OUAIS S.</t>
  </si>
  <si>
    <t>Nov 4, 2025, 5:06:18 PM</t>
  </si>
  <si>
    <t>Nov 4, 2025, 1:58:38 PM</t>
  </si>
  <si>
    <t>MATTHA T</t>
  </si>
  <si>
    <t>Nov 4, 2025, 2:36:34 PM</t>
  </si>
  <si>
    <t>Nov 4, 2025, 12:56:41 PM</t>
  </si>
  <si>
    <t>CHARLES W.</t>
  </si>
  <si>
    <t>0721604249</t>
  </si>
  <si>
    <t>Co-opTrust Plaza, Road, Nairobi, Kenya</t>
  </si>
  <si>
    <t>Nov 4, 2025, 1:46:36 PM</t>
  </si>
  <si>
    <t>Nov 4, 2025, 11:56:48 AM</t>
  </si>
  <si>
    <t>FRIDAH</t>
  </si>
  <si>
    <t>0723663927</t>
  </si>
  <si>
    <t>Ipiyana Court, Sonia Lane, Nairobi, Kenya</t>
  </si>
  <si>
    <t>Nov 4, 2025, 12:15:47 PM</t>
  </si>
  <si>
    <t>Nov 4, 2025, 11:14:35 AM</t>
  </si>
  <si>
    <t>Nov 4, 2025, 11:15:31 AM</t>
  </si>
  <si>
    <t>+2540112259413</t>
  </si>
  <si>
    <t>Samuel Kigathi</t>
  </si>
  <si>
    <t>Nov 6, 2025, 8:16:58 PM</t>
  </si>
  <si>
    <t>JOY M.</t>
  </si>
  <si>
    <t>0793005897</t>
  </si>
  <si>
    <t>218 Kibera Station Road, Nairobi, Kenya</t>
  </si>
  <si>
    <t>Nov 6, 2025, 8:41:37 PM</t>
  </si>
  <si>
    <t>Tito</t>
  </si>
  <si>
    <t>+254708728225</t>
  </si>
  <si>
    <t>PQ4P+7CQ, Wood Ave, Nairobi, Kenya, Wood avenue park apartments</t>
  </si>
  <si>
    <t>Nov 6, 2025, 8:08:09 PM</t>
  </si>
  <si>
    <t>Nov 6, 2025, 6:30:11 PM</t>
  </si>
  <si>
    <t>NINA</t>
  </si>
  <si>
    <t>0715898456</t>
  </si>
  <si>
    <t>Nov 6, 2025, 6:51:24 PM</t>
  </si>
  <si>
    <t>Nov 6, 2025, 5:17:47 PM</t>
  </si>
  <si>
    <t>Nov 6, 2025, 5:35:57 PM</t>
  </si>
  <si>
    <t>Nov 6, 2025, 4:10:33 PM</t>
  </si>
  <si>
    <t>NAJIMA M.</t>
  </si>
  <si>
    <t>0748371122</t>
  </si>
  <si>
    <t>296 Forest Lane, Nairobi, Kenya</t>
  </si>
  <si>
    <t>Nov 6, 2025, 4:23:09 PM</t>
  </si>
  <si>
    <t>Nov 6, 2025, 2:24:30 PM</t>
  </si>
  <si>
    <t>NJOKI</t>
  </si>
  <si>
    <t>0741410019</t>
  </si>
  <si>
    <t>I&amp;M Bank 2nd Ngong Avenue Branch, Ngong Ave, Nairobi, Second Ngong Avenue, Nairobi, Kenya</t>
  </si>
  <si>
    <t>Nov 6, 2025, 2:51:26 PM</t>
  </si>
  <si>
    <t>Nov 6, 2025, 1:42:58 PM</t>
  </si>
  <si>
    <t>P T</t>
  </si>
  <si>
    <t>Nov 6, 2025, 1:56:31 PM</t>
  </si>
  <si>
    <t>Nov 5, 2025, 8:37:30 PM</t>
  </si>
  <si>
    <t>HALLE A.</t>
  </si>
  <si>
    <t>0745030251</t>
  </si>
  <si>
    <t>Nov 5, 2025, 9:00:10 PM</t>
  </si>
  <si>
    <t>Nov 5, 2025, 8:25:35 PM</t>
  </si>
  <si>
    <t>Nov 5, 2025, 8:56:59 PM</t>
  </si>
  <si>
    <t>Nov 5, 2025, 8:08:32 PM</t>
  </si>
  <si>
    <t>ANIKA B.</t>
  </si>
  <si>
    <t>0717173403</t>
  </si>
  <si>
    <t>Prelax Apartments, Prelax apartments, Nairobi, Kenya</t>
  </si>
  <si>
    <t>Nov 5, 2025, 8:36:04 PM</t>
  </si>
  <si>
    <t>Nov 5, 2025, 7:54:39 PM</t>
  </si>
  <si>
    <t>Nov 5, 2025, 8:12:38 PM</t>
  </si>
  <si>
    <t>Nov 5, 2025, 7:49:30 PM</t>
  </si>
  <si>
    <t>VITTY S.</t>
  </si>
  <si>
    <t>0113576016</t>
  </si>
  <si>
    <t>Valley Arcade Towers, Argwings Kodhek Road, Nairobi, Kenya</t>
  </si>
  <si>
    <t>Nov 5, 2025, 7:47:17 PM</t>
  </si>
  <si>
    <t>Nov 5, 2025, 7:48:40 PM</t>
  </si>
  <si>
    <t>Nov 5, 2025, 7:02:15 PM</t>
  </si>
  <si>
    <t>IVY N.</t>
  </si>
  <si>
    <t>0719442270</t>
  </si>
  <si>
    <t>Makwetu Court, Kindaruma Road, Nairobi, Kenya</t>
  </si>
  <si>
    <t>Nov 5, 2025, 7:15:03 PM</t>
  </si>
  <si>
    <t>Nov 5, 2025, 6:13:46 PM</t>
  </si>
  <si>
    <t>+254705951981</t>
  </si>
  <si>
    <t>MRW6+JM6, Nairobi, Kenya, T4, 2nd Floor, Highpoint Apartments, Upperhill</t>
  </si>
  <si>
    <t>Nov 5, 2025, 7:12:19 PM</t>
  </si>
  <si>
    <t>Nov 5, 2025, 5:55:04 PM</t>
  </si>
  <si>
    <t>Nov 5, 2025, 6:24:11 PM</t>
  </si>
  <si>
    <t>Nov 5, 2025, 4:35:41 PM</t>
  </si>
  <si>
    <t>SWABIRA A.</t>
  </si>
  <si>
    <t>0716004763</t>
  </si>
  <si>
    <t>Astra Park Apartments - South B, Opposite Gate 748, Sore Road, Nairobi, Kenya</t>
  </si>
  <si>
    <t>8.6</t>
  </si>
  <si>
    <t>Nov 5, 2025, 4:55:23 PM</t>
  </si>
  <si>
    <t>Nov 5, 2025, 3:15:43 PM</t>
  </si>
  <si>
    <t>LIMUKII K</t>
  </si>
  <si>
    <t>0718104514</t>
  </si>
  <si>
    <t>Regent Court House, Argwings Kodhek Road, Nairobi, Kenya</t>
  </si>
  <si>
    <t>Nov 5, 2025, 3:27:08 PM</t>
  </si>
  <si>
    <t>Nov 5, 2025, 1:51:44 PM</t>
  </si>
  <si>
    <t>STACEY L.</t>
  </si>
  <si>
    <t>Langata Paradise Apartments, Langata Road, Nairobi, Kenya</t>
  </si>
  <si>
    <t>Nov 5, 2025, 2:09:54 PM</t>
  </si>
  <si>
    <t>Nov 5, 2025, 12:53:09 PM</t>
  </si>
  <si>
    <t>WANGARI N.</t>
  </si>
  <si>
    <t>0708936554</t>
  </si>
  <si>
    <t>Nov 5, 2025, 1:19:38 PM</t>
  </si>
  <si>
    <t>Nov 4, 2025, 7:41:15 PM</t>
  </si>
  <si>
    <t>KIP C.</t>
  </si>
  <si>
    <t>0112182403</t>
  </si>
  <si>
    <t>Tofina SkyView limited, Hatheru Road, Nairobi, Kenya</t>
  </si>
  <si>
    <t>Nov 4, 2025, 8:12:25 PM</t>
  </si>
  <si>
    <t>Nov 4, 2025, 7:10:12 PM</t>
  </si>
  <si>
    <t>LORRAINE</t>
  </si>
  <si>
    <t>0714390931</t>
  </si>
  <si>
    <t>Kenya, Nairobi, Mideya Gardens Kileleshwa</t>
  </si>
  <si>
    <t>Nov 4, 2025, 7:25:55 PM</t>
  </si>
  <si>
    <t>Nov 4, 2025, 5:56:58 PM</t>
  </si>
  <si>
    <t>ARIANE</t>
  </si>
  <si>
    <t>0715432331</t>
  </si>
  <si>
    <t>Kindaruma Road, Nairobi, Kenya</t>
  </si>
  <si>
    <t>Nov 4, 2025, 6:46:36 PM</t>
  </si>
  <si>
    <t>Nov 4, 2025, 5:10:39 PM</t>
  </si>
  <si>
    <t>FAITH K.</t>
  </si>
  <si>
    <t>0707761389</t>
  </si>
  <si>
    <t>majestic apartments, Kilifi Close, Nairobi, Kenya</t>
  </si>
  <si>
    <t>Nov 4, 2025, 5:18:28 PM</t>
  </si>
  <si>
    <t>Nov 4, 2025, 2:56:35 PM</t>
  </si>
  <si>
    <t>Nov 4, 2025, 3:14:54 PM</t>
  </si>
  <si>
    <t>CHARLOTTE M.</t>
  </si>
  <si>
    <t>0729971728</t>
  </si>
  <si>
    <t>The Village Creative Ltd, Mzima Spring Road, Nairobi, Kenya</t>
  </si>
  <si>
    <t>Nov 4, 2025, 1:59:52 PM</t>
  </si>
  <si>
    <t>Nov 4, 2025, 1:07:00 PM</t>
  </si>
  <si>
    <t>Abdullah ali</t>
  </si>
  <si>
    <t>+254701755858</t>
  </si>
  <si>
    <t>Wood-Avenue off Lenana road, Nairobi, Kenya, Goldpark homes</t>
  </si>
  <si>
    <t>Nov 4, 2025, 1:10:20 PM</t>
  </si>
  <si>
    <t>Nov 4, 2025, 11:54:44 AM</t>
  </si>
  <si>
    <t>IYAN</t>
  </si>
  <si>
    <t>0793566558</t>
  </si>
  <si>
    <t>Nov 4, 2025, 12:10:41 PM</t>
  </si>
  <si>
    <t>+254758923827</t>
  </si>
  <si>
    <t>silah imende</t>
  </si>
  <si>
    <t>Nov 6, 2025, 8:52:20 PM</t>
  </si>
  <si>
    <t>RINUS W.</t>
  </si>
  <si>
    <t>0769304598</t>
  </si>
  <si>
    <t>Nov 6, 2025, 8:44:18 PM</t>
  </si>
  <si>
    <t>SERENA N.</t>
  </si>
  <si>
    <t>Leshwa House 1, Leshwa House One, Othaya Road, Nairobi, Kenya</t>
  </si>
  <si>
    <t>Nov 6, 2025, 9:18:04 PM</t>
  </si>
  <si>
    <t>Nov 6, 2025, 6:53:47 PM</t>
  </si>
  <si>
    <t>KURIAS M</t>
  </si>
  <si>
    <t>Nov 6, 2025, 8:03:15 PM</t>
  </si>
  <si>
    <t>Nov 6, 2025, 6:50:09 PM</t>
  </si>
  <si>
    <t>NORAH..</t>
  </si>
  <si>
    <t>0773175624</t>
  </si>
  <si>
    <t>The Village, Oloitoktok Road, Nairobi, Kenya</t>
  </si>
  <si>
    <t>Nov 6, 2025, 7:08:34 PM</t>
  </si>
  <si>
    <t>Nov 6, 2025, 4:26:00 PM</t>
  </si>
  <si>
    <t>Kim Kim</t>
  </si>
  <si>
    <t>+254791716116</t>
  </si>
  <si>
    <t>QPFG+64R, Kibichiku, Kenya</t>
  </si>
  <si>
    <t>14.6</t>
  </si>
  <si>
    <t>Nov 6, 2025, 4:33:57 PM</t>
  </si>
  <si>
    <t>Nov 6, 2025, 2:33:14 PM</t>
  </si>
  <si>
    <t>Nov 6, 2025, 3:09:03 PM</t>
  </si>
  <si>
    <t>Nov 6, 2025, 1:06:38 PM</t>
  </si>
  <si>
    <t>ZAKIAH SALIM</t>
  </si>
  <si>
    <t>0790238538</t>
  </si>
  <si>
    <t>Kings Serenity - Ongata Rongai, Ongata Rongai, Kenya</t>
  </si>
  <si>
    <t>Nov 6, 2025, 1:08:34 PM</t>
  </si>
  <si>
    <t>Nov 6, 2025, 12:55:54 PM</t>
  </si>
  <si>
    <t>PERL</t>
  </si>
  <si>
    <t>0722289319</t>
  </si>
  <si>
    <t>Loresho Springs Apartments, Springs Apartments, A104, Nairobi, Kenya</t>
  </si>
  <si>
    <t>Nov 6, 2025, 1:16:26 PM</t>
  </si>
  <si>
    <t>Nov 5, 2025, 7:56:23 PM</t>
  </si>
  <si>
    <t>KEYLA</t>
  </si>
  <si>
    <t>0789255444</t>
  </si>
  <si>
    <t>Shiloh Residence, Nairobi, Kenya</t>
  </si>
  <si>
    <t>Nov 5, 2025, 8:22:38 PM</t>
  </si>
  <si>
    <t>Nov 5, 2025, 7:55:14 PM</t>
  </si>
  <si>
    <t>RONALD S.</t>
  </si>
  <si>
    <t>Entim Sidai Wellness Sanctuary, Nairobi, Kenya</t>
  </si>
  <si>
    <t>Nov 5, 2025, 8:24:05 PM</t>
  </si>
  <si>
    <t>Nov 5, 2025, 6:48:41 PM</t>
  </si>
  <si>
    <t>JOSE W.</t>
  </si>
  <si>
    <t>0792988706</t>
  </si>
  <si>
    <t>Mugoya Phase 4, Nairobi, Kenya</t>
  </si>
  <si>
    <t>Nov 5, 2025, 7:18:15 PM</t>
  </si>
  <si>
    <t>Nov 5, 2025, 6:27:17 PM</t>
  </si>
  <si>
    <t>REINIER</t>
  </si>
  <si>
    <t>0740618800</t>
  </si>
  <si>
    <t>23 Kaputei Rd, Nairobi, Kenya</t>
  </si>
  <si>
    <t>Nov 5, 2025, 6:41:49 PM</t>
  </si>
  <si>
    <t>Nov 5, 2025, 5:21:04 PM</t>
  </si>
  <si>
    <t>JOHN C.</t>
  </si>
  <si>
    <t>Nov 5, 2025, 5:44:47 PM</t>
  </si>
  <si>
    <t>Nov 5, 2025, 4:53:58 PM</t>
  </si>
  <si>
    <t>VALUE T.</t>
  </si>
  <si>
    <t>0799957674</t>
  </si>
  <si>
    <t>Danaff Tower Apartments, Nairobi, Kenya</t>
  </si>
  <si>
    <t>Nov 5, 2025, 5:07:07 PM</t>
  </si>
  <si>
    <t>Nov 5, 2025, 2:40:57 PM</t>
  </si>
  <si>
    <t>ANNE S.</t>
  </si>
  <si>
    <t>0720989010</t>
  </si>
  <si>
    <t>316 Upper Hill Chambers, Second Ngong Avenue, Nairobi, Kenya</t>
  </si>
  <si>
    <t>Nov 5, 2025, 3:00:03 PM</t>
  </si>
  <si>
    <t>Nov 5, 2025, 1:47:05 PM</t>
  </si>
  <si>
    <t>Nov 5, 2025, 1:45:10 PM</t>
  </si>
  <si>
    <t>Nov 5, 2025, 12:37:09 PM</t>
  </si>
  <si>
    <t>MOHAN M.</t>
  </si>
  <si>
    <t>Nov 5, 2025, 1:03:11 PM</t>
  </si>
  <si>
    <t>Nov 4, 2025, 9:13:11 PM</t>
  </si>
  <si>
    <t>JAMES N.</t>
  </si>
  <si>
    <t>0723056566</t>
  </si>
  <si>
    <t>Seefar Apartments - Highrise, Nairobi, Kenya</t>
  </si>
  <si>
    <t>Nov 4, 2025, 9:15:07 PM</t>
  </si>
  <si>
    <t>Nov 4, 2025, 9:12:00 PM</t>
  </si>
  <si>
    <t>JIM</t>
  </si>
  <si>
    <t>0768121004</t>
  </si>
  <si>
    <t>Swara Crescent, Nairobi, Kenya</t>
  </si>
  <si>
    <t>Nov 4, 2025, 9:13:08 PM</t>
  </si>
  <si>
    <t>Nov 4, 2025, 8:36:06 PM</t>
  </si>
  <si>
    <t>LONDON M.</t>
  </si>
  <si>
    <t>Nov 4, 2025, 8:41:06 PM</t>
  </si>
  <si>
    <t>Nov 4, 2025, 8:01:03 PM</t>
  </si>
  <si>
    <t>SONIA S.</t>
  </si>
  <si>
    <t>0718771286</t>
  </si>
  <si>
    <t>Golden Showers Apartments, George Padmore Lane, Nairobi, Kenya</t>
  </si>
  <si>
    <t>Nov 4, 2025, 8:18:09 PM</t>
  </si>
  <si>
    <t>STANLEY J.</t>
  </si>
  <si>
    <t>0701112260</t>
  </si>
  <si>
    <t>Sunnyside Loresho, Nairobi, Kenya</t>
  </si>
  <si>
    <t>Nov 4, 2025, 7:00:53 PM</t>
  </si>
  <si>
    <t>Nov 4, 2025, 5:55:49 PM</t>
  </si>
  <si>
    <t>TRIZAH N.</t>
  </si>
  <si>
    <t>0716401373</t>
  </si>
  <si>
    <t>Nov 4, 2025, 6:15:12 PM</t>
  </si>
  <si>
    <t>Nov 4, 2025, 5:03:45 PM</t>
  </si>
  <si>
    <t>TATYANA K.</t>
  </si>
  <si>
    <t>Nov 4, 2025, 5:12:36 PM</t>
  </si>
  <si>
    <t>Nov 4, 2025, 2:57:58 PM</t>
  </si>
  <si>
    <t>TRISK K.</t>
  </si>
  <si>
    <t>0702260749</t>
  </si>
  <si>
    <t>West Height Apartments, Riara Road, Nairobi, Kenya</t>
  </si>
  <si>
    <t>Nov 4, 2025, 3:19:04 PM</t>
  </si>
  <si>
    <t>Nov 4, 2025, 1:46:06 PM</t>
  </si>
  <si>
    <t>Nov 4, 2025, 1:57:26 PM</t>
  </si>
  <si>
    <t>Nov 4, 2025, 12:48:07 PM</t>
  </si>
  <si>
    <t>0726007276</t>
  </si>
  <si>
    <t>Peers park apartments, Nairobi, Kenya</t>
  </si>
  <si>
    <t>+250793822954</t>
  </si>
  <si>
    <t>SK SK</t>
  </si>
  <si>
    <t>Nov 6, 2025, 7:47:32 PM</t>
  </si>
  <si>
    <t>Nov 4, 2025, 8:26:04 PM</t>
  </si>
  <si>
    <t>+2540754783134</t>
  </si>
  <si>
    <t>Victor  Olira</t>
  </si>
  <si>
    <t>Nov 5, 2025, 8:33:48 PM</t>
  </si>
  <si>
    <t>PIM</t>
  </si>
  <si>
    <t>Nov 5, 2025, 8:35:04 PM</t>
  </si>
  <si>
    <t>Nov 5, 2025, 8:26:52 PM</t>
  </si>
  <si>
    <t>Noela M.</t>
  </si>
  <si>
    <t>0713163090</t>
  </si>
  <si>
    <t>Nov 5, 2025, 9:16:39 PM</t>
  </si>
  <si>
    <t>Nov 5, 2025, 8:05:44 PM</t>
  </si>
  <si>
    <t>JEROME K</t>
  </si>
  <si>
    <t>0706579122</t>
  </si>
  <si>
    <t>Nov 5, 2025, 8:08:34 PM</t>
  </si>
  <si>
    <t>90443.0</t>
  </si>
  <si>
    <t>Nov 5, 2025, 7:00:34 PM</t>
  </si>
  <si>
    <t>B A</t>
  </si>
  <si>
    <t>0702319613</t>
  </si>
  <si>
    <t>Nov 5, 2025, 7:01:35 PM</t>
  </si>
  <si>
    <t>Nov 5, 2025, 5:34:04 PM</t>
  </si>
  <si>
    <t>Harshil Shah</t>
  </si>
  <si>
    <t>+254725637923</t>
  </si>
  <si>
    <t>Mpaka close, Hansvir court</t>
  </si>
  <si>
    <t>Nov 5, 2025, 5:34:33 PM</t>
  </si>
  <si>
    <t>Nov 5, 2025, 3:25:00 PM</t>
  </si>
  <si>
    <t>DAISY</t>
  </si>
  <si>
    <t>0717122414</t>
  </si>
  <si>
    <t>Jasmine Centre, Jasmine Centre, Pio Gama Pinto Road, Nairobi, Kenya</t>
  </si>
  <si>
    <t>Nov 5, 2025, 3:43:29 PM</t>
  </si>
  <si>
    <t>Nov 5, 2025, 2:00:00 PM</t>
  </si>
  <si>
    <t>LEIRE</t>
  </si>
  <si>
    <t>Nov 5, 2025, 6:56:10 PM</t>
  </si>
  <si>
    <t>Nov 5, 2025, 12:56:52 PM</t>
  </si>
  <si>
    <t>HELMUT S</t>
  </si>
  <si>
    <t>+0491706650851</t>
  </si>
  <si>
    <t>Nov 5, 2025, 1:15:34 PM</t>
  </si>
  <si>
    <t>pick-up-spicesattanillatrials</t>
  </si>
  <si>
    <t>Nov 4, 2025, 9:24:11 PM</t>
  </si>
  <si>
    <t>5th Park Heights, Nairobi, Kenya</t>
  </si>
  <si>
    <t>Nov 4, 2025, 9:27:44 PM</t>
  </si>
  <si>
    <t>Nov 4, 2025, 7:52:40 PM</t>
  </si>
  <si>
    <t>JOSHUA K.</t>
  </si>
  <si>
    <t>0700540363</t>
  </si>
  <si>
    <t>State House Avenue, Nairobi, Kenya</t>
  </si>
  <si>
    <t>Nov 4, 2025, 8:22:34 PM</t>
  </si>
  <si>
    <t>Nov 4, 2025, 6:05:05 PM</t>
  </si>
  <si>
    <t>PRISCILLAH</t>
  </si>
  <si>
    <t>0740417594</t>
  </si>
  <si>
    <t>Laurel Hill Suites, Nairobi, Kenya</t>
  </si>
  <si>
    <t>Nov 4, 2025, 8:08:08 PM</t>
  </si>
  <si>
    <t>Nov 4, 2025, 6:15:25 PM</t>
  </si>
  <si>
    <t>DISPATCH/L.ITALY095</t>
  </si>
  <si>
    <t>Nov 4, 2025, 4:48:00 PM</t>
  </si>
  <si>
    <t>DISPATCH/L.ITALY094</t>
  </si>
  <si>
    <t>Nov 4, 2025, 4:44:36 PM</t>
  </si>
  <si>
    <t>Nov 4, 2025, 4:46:40 PM</t>
  </si>
  <si>
    <t>DISPATCH/SIAM/DISPATCH093</t>
  </si>
  <si>
    <t>Nov 4, 2025, 4:43:37 PM</t>
  </si>
  <si>
    <t>Nov 4, 2025, 4:44:33 PM</t>
  </si>
  <si>
    <t>DISPATCH/SIAM/DISPATCH092</t>
  </si>
  <si>
    <t>Nov 4, 2025, 4:42:33 PM</t>
  </si>
  <si>
    <t>Nov 4, 2025, 4:43:32 PM</t>
  </si>
  <si>
    <t>DISPATCH/SIAM/DISPATCH091</t>
  </si>
  <si>
    <t>Nov 4, 2025, 4:41:12 PM</t>
  </si>
  <si>
    <t>Nov 4, 2025, 4:42:29 PM</t>
  </si>
  <si>
    <t>Nov 4, 2025, 12:34:49 PM</t>
  </si>
  <si>
    <t>MBETE</t>
  </si>
  <si>
    <t>0740174041</t>
  </si>
  <si>
    <t>Titan Complex Chaka Road, Nairobi, Kenya</t>
  </si>
  <si>
    <t>+254715276739</t>
  </si>
  <si>
    <t xml:space="preserve">VINCENT  MASINDE </t>
  </si>
  <si>
    <t>Nov 6, 2025, 10:31:48 PM</t>
  </si>
  <si>
    <t>PETER R</t>
  </si>
  <si>
    <t>+014247775245</t>
  </si>
  <si>
    <t>Nov 6, 2025, 10:38:24 PM</t>
  </si>
  <si>
    <t>Nov 6, 2025, 10:18:27 PM</t>
  </si>
  <si>
    <t>Nov 6, 2025, 10:34:02 PM</t>
  </si>
  <si>
    <t>Nov 6, 2025, 9:20:53 PM</t>
  </si>
  <si>
    <t>DEBRAH K</t>
  </si>
  <si>
    <t>0718632778</t>
  </si>
  <si>
    <t>Garden City Estate Court, Nairobi West, Mvuli, Kenya</t>
  </si>
  <si>
    <t>Nov 6, 2025, 9:31:59 PM</t>
  </si>
  <si>
    <t>Nov 6, 2025, 7:53:00 PM</t>
  </si>
  <si>
    <t>Eva</t>
  </si>
  <si>
    <t>0715260054</t>
  </si>
  <si>
    <t>Nov 6, 2025, 8:13:11 PM</t>
  </si>
  <si>
    <t>Nov 6, 2025, 7:16:21 PM</t>
  </si>
  <si>
    <t>HANNAN</t>
  </si>
  <si>
    <t>0757408248</t>
  </si>
  <si>
    <t>Villa Maria Apartments, Kandara Road, Nairobi, Kenya</t>
  </si>
  <si>
    <t>Nov 6, 2025, 7:38:23 PM</t>
  </si>
  <si>
    <t>Nov 6, 2025, 5:48:00 PM</t>
  </si>
  <si>
    <t>SARAH</t>
  </si>
  <si>
    <t>Aydee Court, Nairobi, Kenya</t>
  </si>
  <si>
    <t>Nov 6, 2025, 6:06:37 PM</t>
  </si>
  <si>
    <t>Nov 6, 2025, 4:39:39 PM</t>
  </si>
  <si>
    <t>0708426387</t>
  </si>
  <si>
    <t>Nov 6, 2025, 4:44:03 PM</t>
  </si>
  <si>
    <t>Nov 6, 2025, 4:34:00 PM</t>
  </si>
  <si>
    <t>SANDRA</t>
  </si>
  <si>
    <t>0732981880</t>
  </si>
  <si>
    <t>Exeter Pride, Nairobi, Kenya</t>
  </si>
  <si>
    <t>Nov 6, 2025, 4:46:33 PM</t>
  </si>
  <si>
    <t>Nov 6, 2025, 4:30:00 PM</t>
  </si>
  <si>
    <t>SHEILA K</t>
  </si>
  <si>
    <t>0703683700</t>
  </si>
  <si>
    <t>Nov 6, 2025, 4:45:18 PM</t>
  </si>
  <si>
    <t>Nov 6, 2025, 2:15:28 PM</t>
  </si>
  <si>
    <t>Joan J</t>
  </si>
  <si>
    <t>0117109247</t>
  </si>
  <si>
    <t>Nov 6, 2025, 12:41:00 PM</t>
  </si>
  <si>
    <t>GERISHOM G</t>
  </si>
  <si>
    <t>Sanlam Tower, Sanlam Kenya PLC HQ, Waiyaki Way, Nairobi, Kenya</t>
  </si>
  <si>
    <t>Nov 6, 2025, 4:39:09 PM</t>
  </si>
  <si>
    <t>Nov 5, 2025, 8:17:38 PM</t>
  </si>
  <si>
    <t>MOODY A</t>
  </si>
  <si>
    <t>0729996756</t>
  </si>
  <si>
    <t>Winley Gardens, Winley Gardens, Tabere Crescent, Nairobi, Kenya</t>
  </si>
  <si>
    <t>Nov 6, 2025, 5:29:59 PM</t>
  </si>
  <si>
    <t>Nov 5, 2025, 7:49:00 PM</t>
  </si>
  <si>
    <t>CHIGO</t>
  </si>
  <si>
    <t>Nov 5, 2025, 8:15:04 PM</t>
  </si>
  <si>
    <t>Nov 5, 2025, 5:55:00 PM</t>
  </si>
  <si>
    <t>ALBERT</t>
  </si>
  <si>
    <t>0715629578</t>
  </si>
  <si>
    <t>Green Roof Court 1st Home, Tatu City, Kenya</t>
  </si>
  <si>
    <t>21.5</t>
  </si>
  <si>
    <t>Nov 5, 2025, 6:18:43 PM</t>
  </si>
  <si>
    <t>Nov 5, 2025, 1:51:29 PM</t>
  </si>
  <si>
    <t>AWAD A</t>
  </si>
  <si>
    <t>0717987693</t>
  </si>
  <si>
    <t>Qwetu | Student Residences | Jogoo Road, Jogoo Road, Nairobi, Kenya</t>
  </si>
  <si>
    <t>Nov 6, 2025, 5:28:13 PM</t>
  </si>
  <si>
    <t>Nov 5, 2025, 12:12:00 PM</t>
  </si>
  <si>
    <t>Sharifa</t>
  </si>
  <si>
    <t>0707771792</t>
  </si>
  <si>
    <t>Nov 5, 2025, 12:28:37 PM</t>
  </si>
  <si>
    <t>Nov 5, 2025, 11:36:00 AM</t>
  </si>
  <si>
    <t>Lamine</t>
  </si>
  <si>
    <t>0701574674</t>
  </si>
  <si>
    <t>Nov 5, 2025, 11:47:50 AM</t>
  </si>
  <si>
    <t>Nov 4, 2025, 8:23:14 PM</t>
  </si>
  <si>
    <t>FATHMATH U.</t>
  </si>
  <si>
    <t>L'Aziz Suites, Fifth Parklands Avenue, Nairobi, Kenya</t>
  </si>
  <si>
    <t>Nov 4, 2025, 8:49:45 PM</t>
  </si>
  <si>
    <t>Nov 4, 2025, 6:53:27 PM</t>
  </si>
  <si>
    <t>EVE K.</t>
  </si>
  <si>
    <t>0724627521</t>
  </si>
  <si>
    <t>Kijani Willows Apartments, Wangige, Kenya</t>
  </si>
  <si>
    <t>15.2</t>
  </si>
  <si>
    <t>Nov 4, 2025, 7:03:26 PM</t>
  </si>
  <si>
    <t>Nov 4, 2025, 5:32:33 PM</t>
  </si>
  <si>
    <t>ALI H.</t>
  </si>
  <si>
    <t>Nov 4, 2025, 6:11:20 PM</t>
  </si>
  <si>
    <t>Nov 4, 2025, 4:45:39 PM</t>
  </si>
  <si>
    <t>YUSRA M.</t>
  </si>
  <si>
    <t>0742109977</t>
  </si>
  <si>
    <t>Mbagathi Way Flats, Raila Odinga Way, Nairobi, Kenya</t>
  </si>
  <si>
    <t>Nov 4, 2025, 5:14:37 PM</t>
  </si>
  <si>
    <t>Nov 4, 2025, 3:07:57 PM</t>
  </si>
  <si>
    <t>NAHESEEN N.</t>
  </si>
  <si>
    <t>0705031577</t>
  </si>
  <si>
    <t>Equity Bank Ruaka Branch, Limuru Road, Ruaka, Kenya</t>
  </si>
  <si>
    <t>15.1</t>
  </si>
  <si>
    <t>Nov 4, 2025, 3:25:42 PM</t>
  </si>
  <si>
    <t>Nov 4, 2025, 1:30:41 PM</t>
  </si>
  <si>
    <t>JOSEPH K</t>
  </si>
  <si>
    <t>Nov 4, 2025, 2:05:15 PM</t>
  </si>
  <si>
    <t>Nov 4, 2025, 11:45:20 AM</t>
  </si>
  <si>
    <t>akash s</t>
  </si>
  <si>
    <t>0748736262</t>
  </si>
  <si>
    <t>EAST AFRICAN CANVAS, Seminary Road, Nairobi, Kenya</t>
  </si>
  <si>
    <t>Nov 4, 2025, 12:22:26 PM</t>
  </si>
  <si>
    <t>+254740320409</t>
  </si>
  <si>
    <t>Wesley  Shikanda</t>
  </si>
  <si>
    <t>Nov 6, 2025, 1:38:41 PM</t>
  </si>
  <si>
    <t>SHAN</t>
  </si>
  <si>
    <t>0729545983</t>
  </si>
  <si>
    <t>View Park Towers, Utalii Street, Nairobi, Kenya</t>
  </si>
  <si>
    <t>Nov 6, 2025, 2:00:19 PM</t>
  </si>
  <si>
    <t>9e437</t>
  </si>
  <si>
    <t>Nov 6, 2025, 12:11:16 PM</t>
  </si>
  <si>
    <t>AADNE E</t>
  </si>
  <si>
    <t>+479100800900</t>
  </si>
  <si>
    <t>Nov 6, 2025, 12:27:53 PM</t>
  </si>
  <si>
    <t>Nov 5, 2025, 9:40:31 PM</t>
  </si>
  <si>
    <t>Nov 5, 2025, 9:48:30 PM</t>
  </si>
  <si>
    <t>Nov 5, 2025, 8:45:30 PM</t>
  </si>
  <si>
    <t>0733365854</t>
  </si>
  <si>
    <t>Urban Earth, Brookside Drive, Nairobi, Kenya</t>
  </si>
  <si>
    <t>Nov 5, 2025, 9:06:49 PM</t>
  </si>
  <si>
    <t>Nov 5, 2025, 7:50:39 PM</t>
  </si>
  <si>
    <t>INGER B</t>
  </si>
  <si>
    <t>0710268053</t>
  </si>
  <si>
    <t>Nov 5, 2025, 7:51:58 PM</t>
  </si>
  <si>
    <t>Nov 5, 2025, 7:02:32 PM</t>
  </si>
  <si>
    <t>SEAN C</t>
  </si>
  <si>
    <t>0712582691</t>
  </si>
  <si>
    <t>Nov 5, 2025, 6:24:59 PM</t>
  </si>
  <si>
    <t>TIJIN B</t>
  </si>
  <si>
    <t>0115657341</t>
  </si>
  <si>
    <t>Chelsea Park, Rhapta Road, Nairobi, Kenya</t>
  </si>
  <si>
    <t>Nov 5, 2025, 6:41:09 PM</t>
  </si>
  <si>
    <t>Nov 4, 2025, 8:59:32 PM</t>
  </si>
  <si>
    <t>Nov 4, 2025, 9:00:38 PM</t>
  </si>
  <si>
    <t>Nov 4, 2025, 7:58:22 PM</t>
  </si>
  <si>
    <t>Nov 4, 2025, 8:09:39 PM</t>
  </si>
  <si>
    <t>Nov 4, 2025, 6:58:55 PM</t>
  </si>
  <si>
    <t>SHIYI L</t>
  </si>
  <si>
    <t>0712799555</t>
  </si>
  <si>
    <t>Nova Apartments, Muthangari Drive, Nairobi, Kenya</t>
  </si>
  <si>
    <t>Nov 4, 2025, 7:14:07 PM</t>
  </si>
  <si>
    <t>Nov 4, 2025, 5:15:00 PM</t>
  </si>
  <si>
    <t>DAN F</t>
  </si>
  <si>
    <t>0759138380</t>
  </si>
  <si>
    <t>1050 State House Avenue, Nairobi, Kenya</t>
  </si>
  <si>
    <t>Nov 4, 2025, 5:42:04 PM</t>
  </si>
  <si>
    <t>Nov 4, 2025, 4:37:00 PM</t>
  </si>
  <si>
    <t>JAMES MWANGI</t>
  </si>
  <si>
    <t>0721870350</t>
  </si>
  <si>
    <t>Nov 4, 2025, 4:56:14 PM</t>
  </si>
  <si>
    <t>Nov 4, 2025, 3:34:00 PM</t>
  </si>
  <si>
    <t>SAMIR D</t>
  </si>
  <si>
    <t>0722929666</t>
  </si>
  <si>
    <t>Kai Heights Apartments, Nairobi, Kenya</t>
  </si>
  <si>
    <t>Nov 4, 2025, 3:53:46 PM</t>
  </si>
  <si>
    <t>Nov 4, 2025, 2:08:08 PM</t>
  </si>
  <si>
    <t>SARAH A</t>
  </si>
  <si>
    <t>0700610042</t>
  </si>
  <si>
    <t>Cosy Nook Apartments, Muguga Green, Nairobi, Kenya</t>
  </si>
  <si>
    <t>Nov 4, 2025, 2:09:55 PM</t>
  </si>
  <si>
    <t>Nov 4, 2025, 1:37:22 PM</t>
  </si>
  <si>
    <t>I</t>
  </si>
  <si>
    <t>0791901128</t>
  </si>
  <si>
    <t>Nov 4, 2025, 1:44:44 PM</t>
  </si>
  <si>
    <t>Nov 4, 2025, 12:26:43 PM</t>
  </si>
  <si>
    <t>0796317933</t>
  </si>
  <si>
    <t>Nov 4, 2025, 12:42:00 PM</t>
  </si>
  <si>
    <t>Nov 4, 2025, 12:00:59 PM</t>
  </si>
  <si>
    <t>VIIVI N</t>
  </si>
  <si>
    <t>0790701221</t>
  </si>
  <si>
    <t>Embassy of Finland, Nairobi, Kenya</t>
  </si>
  <si>
    <t>Nov 4, 2025, 12:12:24 PM</t>
  </si>
  <si>
    <t>101463457296</t>
  </si>
  <si>
    <t>Oct 22, 2025, 1:35:10 PM</t>
  </si>
  <si>
    <t>Nov 5, 2025, 7:12:39 PM</t>
  </si>
  <si>
    <t>Rider</t>
  </si>
  <si>
    <t>(unknown)</t>
  </si>
  <si>
    <t>Total Earnings</t>
  </si>
  <si>
    <t>Deposit</t>
  </si>
  <si>
    <t>Welfare</t>
  </si>
  <si>
    <t>Grand Total</t>
  </si>
  <si>
    <t>Benard  Ogada</t>
  </si>
  <si>
    <t>Benjamin  Oliana</t>
  </si>
  <si>
    <t>Benson  Miyoyo</t>
  </si>
  <si>
    <t>Chrispine  Omondi</t>
  </si>
  <si>
    <t>Douglas  Emerikwa</t>
  </si>
  <si>
    <t>Erick  Makanda</t>
  </si>
  <si>
    <t>Fredrick  Odhiambo</t>
  </si>
  <si>
    <t>Gideon Okumu</t>
  </si>
  <si>
    <t>Godfrey  Kayugira</t>
  </si>
  <si>
    <t>Harylinsen  Mukhavani</t>
  </si>
  <si>
    <t>Jackson  Mahila</t>
  </si>
  <si>
    <t>Jackston  Akenga</t>
  </si>
  <si>
    <t>John Kambona ebikes</t>
  </si>
  <si>
    <t>Joseph  Okado</t>
  </si>
  <si>
    <t>Justine  Mukoto</t>
  </si>
  <si>
    <t>Kelvin  Wakaba</t>
  </si>
  <si>
    <t>Mark  Omong'in</t>
  </si>
  <si>
    <t>NELSON  NJERI</t>
  </si>
  <si>
    <t>Nicolas  Imbeywa</t>
  </si>
  <si>
    <t>Oliver  Ochieng</t>
  </si>
  <si>
    <t>Oriama  Harrison</t>
  </si>
  <si>
    <t>Samuel  Onsongo</t>
  </si>
  <si>
    <t>Samuel  Wachira</t>
  </si>
  <si>
    <t>VINCENT  MASINDE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</si>
</sst>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t="s">
        <v>14</v>
      </c>
      <c r="H3" t="s">
        <v>20</v>
      </c>
    </row>
    <row r="4" spans="1:8" x14ac:dyDescent="0.25">
      <c r="A4" t="s">
        <v>8</v>
      </c>
      <c r="B4" t="s">
        <v>9</v>
      </c>
      <c r="C4" t="s">
        <v>21</v>
      </c>
      <c r="D4" t="s">
        <v>22</v>
      </c>
      <c r="E4" t="s">
        <v>23</v>
      </c>
      <c r="F4" t="s">
        <v>24</v>
      </c>
      <c r="G4" t="s">
        <v>14</v>
      </c>
      <c r="H4" t="s">
        <v>25</v>
      </c>
    </row>
    <row r="5" spans="1:8" x14ac:dyDescent="0.25">
      <c r="A5" t="s">
        <v>8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14</v>
      </c>
      <c r="H5" t="s">
        <v>31</v>
      </c>
    </row>
    <row r="6" spans="1:8" x14ac:dyDescent="0.25">
      <c r="A6" t="s">
        <v>8</v>
      </c>
      <c r="B6" t="s">
        <v>32</v>
      </c>
      <c r="C6" t="s">
        <v>33</v>
      </c>
      <c r="D6" t="s">
        <v>34</v>
      </c>
      <c r="E6" t="s">
        <v>35</v>
      </c>
      <c r="F6" t="s">
        <v>30</v>
      </c>
      <c r="G6" t="s">
        <v>14</v>
      </c>
      <c r="H6" t="s">
        <v>36</v>
      </c>
    </row>
    <row r="7" spans="1:8" x14ac:dyDescent="0.25">
      <c r="A7" t="s">
        <v>8</v>
      </c>
      <c r="B7" t="s">
        <v>37</v>
      </c>
      <c r="C7" t="s">
        <v>38</v>
      </c>
      <c r="D7" t="s">
        <v>39</v>
      </c>
      <c r="E7" t="s">
        <v>40</v>
      </c>
      <c r="F7" t="s">
        <v>19</v>
      </c>
      <c r="G7" t="s">
        <v>14</v>
      </c>
      <c r="H7" t="s">
        <v>41</v>
      </c>
    </row>
    <row r="8" spans="1:8" x14ac:dyDescent="0.25">
      <c r="A8" t="s">
        <v>8</v>
      </c>
      <c r="B8" t="s">
        <v>42</v>
      </c>
      <c r="C8" t="s">
        <v>43</v>
      </c>
      <c r="D8" t="s">
        <v>44</v>
      </c>
      <c r="E8" t="s">
        <v>45</v>
      </c>
      <c r="F8" t="s">
        <v>30</v>
      </c>
      <c r="G8" t="s">
        <v>14</v>
      </c>
      <c r="H8" t="s">
        <v>46</v>
      </c>
    </row>
    <row r="9" spans="1:8" x14ac:dyDescent="0.25">
      <c r="A9" t="s">
        <v>8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14</v>
      </c>
      <c r="H9" t="s">
        <v>52</v>
      </c>
    </row>
    <row r="10" spans="1:8" x14ac:dyDescent="0.25">
      <c r="A10" t="s">
        <v>8</v>
      </c>
      <c r="B10" t="s">
        <v>53</v>
      </c>
      <c r="C10" t="s">
        <v>54</v>
      </c>
      <c r="D10" t="s">
        <v>55</v>
      </c>
      <c r="E10" t="s">
        <v>23</v>
      </c>
      <c r="F10" t="s">
        <v>24</v>
      </c>
      <c r="G10" t="s">
        <v>56</v>
      </c>
      <c r="H10" t="s">
        <v>57</v>
      </c>
    </row>
    <row r="11" spans="1:8" x14ac:dyDescent="0.25">
      <c r="A11" t="s">
        <v>8</v>
      </c>
      <c r="B11" t="s">
        <v>37</v>
      </c>
      <c r="C11" t="s">
        <v>58</v>
      </c>
      <c r="D11" t="s">
        <v>59</v>
      </c>
      <c r="E11" t="s">
        <v>60</v>
      </c>
      <c r="F11" t="s">
        <v>13</v>
      </c>
      <c r="G11" t="s">
        <v>14</v>
      </c>
      <c r="H11" t="s">
        <v>61</v>
      </c>
    </row>
    <row r="12" spans="1:8" x14ac:dyDescent="0.25">
      <c r="A12" t="s">
        <v>8</v>
      </c>
      <c r="B12" t="s">
        <v>26</v>
      </c>
      <c r="C12" t="s">
        <v>62</v>
      </c>
      <c r="D12" t="s">
        <v>62</v>
      </c>
      <c r="E12" t="s">
        <v>12</v>
      </c>
      <c r="F12" t="s">
        <v>13</v>
      </c>
      <c r="G12" t="s">
        <v>63</v>
      </c>
      <c r="H12" t="s">
        <v>64</v>
      </c>
    </row>
    <row r="13" spans="1:8" x14ac:dyDescent="0.25">
      <c r="A13" t="s">
        <v>8</v>
      </c>
      <c r="B13" t="s">
        <v>37</v>
      </c>
      <c r="C13" t="s">
        <v>65</v>
      </c>
      <c r="D13" t="s">
        <v>66</v>
      </c>
      <c r="E13" t="s">
        <v>67</v>
      </c>
      <c r="F13" t="s">
        <v>24</v>
      </c>
      <c r="G13" t="s">
        <v>67</v>
      </c>
      <c r="H13" t="s">
        <v>68</v>
      </c>
    </row>
    <row r="14" spans="1:8" x14ac:dyDescent="0.25">
      <c r="A14" t="s">
        <v>8</v>
      </c>
      <c r="B14" t="s">
        <v>42</v>
      </c>
      <c r="C14" t="s">
        <v>69</v>
      </c>
      <c r="D14" t="s">
        <v>70</v>
      </c>
      <c r="E14" t="s">
        <v>45</v>
      </c>
      <c r="F14" t="s">
        <v>71</v>
      </c>
      <c r="G14" t="s">
        <v>14</v>
      </c>
      <c r="H14" t="s">
        <v>72</v>
      </c>
    </row>
    <row r="15" spans="1:8" x14ac:dyDescent="0.25">
      <c r="A15" t="s">
        <v>8</v>
      </c>
      <c r="B15" t="s">
        <v>73</v>
      </c>
      <c r="C15" t="s">
        <v>74</v>
      </c>
      <c r="D15" t="s">
        <v>75</v>
      </c>
      <c r="E15" t="s">
        <v>45</v>
      </c>
      <c r="F15" t="s">
        <v>19</v>
      </c>
      <c r="G15" t="s">
        <v>14</v>
      </c>
      <c r="H15" t="s">
        <v>76</v>
      </c>
    </row>
    <row r="16" spans="1:8" x14ac:dyDescent="0.25">
      <c r="A16" t="s">
        <v>8</v>
      </c>
      <c r="B16" t="s">
        <v>77</v>
      </c>
      <c r="C16" t="s">
        <v>78</v>
      </c>
      <c r="D16" t="s">
        <v>79</v>
      </c>
      <c r="E16" t="s">
        <v>40</v>
      </c>
      <c r="F16" t="s">
        <v>80</v>
      </c>
      <c r="G16" t="s">
        <v>14</v>
      </c>
      <c r="H16" t="s">
        <v>81</v>
      </c>
    </row>
    <row r="17" spans="1:8" x14ac:dyDescent="0.25">
      <c r="A17" t="s">
        <v>8</v>
      </c>
      <c r="B17" t="s">
        <v>73</v>
      </c>
      <c r="C17" t="s">
        <v>82</v>
      </c>
      <c r="D17" t="s">
        <v>83</v>
      </c>
      <c r="E17" t="s">
        <v>35</v>
      </c>
      <c r="F17" t="s">
        <v>24</v>
      </c>
      <c r="G17" t="s">
        <v>14</v>
      </c>
      <c r="H17" t="s">
        <v>84</v>
      </c>
    </row>
    <row r="18" spans="1:8" x14ac:dyDescent="0.25">
      <c r="A18" t="s">
        <v>8</v>
      </c>
      <c r="B18" t="s">
        <v>32</v>
      </c>
      <c r="C18" t="s">
        <v>85</v>
      </c>
      <c r="D18" t="s">
        <v>86</v>
      </c>
      <c r="E18" t="s">
        <v>29</v>
      </c>
      <c r="F18" t="s">
        <v>51</v>
      </c>
      <c r="G18" t="s">
        <v>67</v>
      </c>
      <c r="H18" t="s">
        <v>87</v>
      </c>
    </row>
    <row r="19" spans="1:8" x14ac:dyDescent="0.25">
      <c r="A19" t="s">
        <v>8</v>
      </c>
      <c r="B19" t="s">
        <v>32</v>
      </c>
      <c r="C19" t="s">
        <v>88</v>
      </c>
      <c r="D19" t="s">
        <v>89</v>
      </c>
      <c r="E19" t="s">
        <v>29</v>
      </c>
      <c r="F19" t="s">
        <v>30</v>
      </c>
      <c r="G19" t="s">
        <v>14</v>
      </c>
      <c r="H19" t="s">
        <v>90</v>
      </c>
    </row>
    <row r="20" spans="1:8" x14ac:dyDescent="0.25">
      <c r="A20" t="s">
        <v>8</v>
      </c>
      <c r="B20" t="s">
        <v>91</v>
      </c>
      <c r="C20" t="s">
        <v>92</v>
      </c>
      <c r="D20" t="s">
        <v>93</v>
      </c>
      <c r="E20" t="s">
        <v>45</v>
      </c>
      <c r="F20" t="s">
        <v>24</v>
      </c>
      <c r="G20" t="s">
        <v>14</v>
      </c>
      <c r="H20" t="s">
        <v>94</v>
      </c>
    </row>
    <row r="21" spans="1:8" x14ac:dyDescent="0.25">
      <c r="A21" t="s">
        <v>8</v>
      </c>
      <c r="B21" t="s">
        <v>42</v>
      </c>
      <c r="C21" t="s">
        <v>95</v>
      </c>
      <c r="D21" t="s">
        <v>96</v>
      </c>
      <c r="E21" t="s">
        <v>29</v>
      </c>
      <c r="F21" t="s">
        <v>97</v>
      </c>
      <c r="G21" t="s">
        <v>98</v>
      </c>
      <c r="H21" t="s">
        <v>99</v>
      </c>
    </row>
    <row r="22" spans="1:8" x14ac:dyDescent="0.25">
      <c r="A22" t="s">
        <v>8</v>
      </c>
      <c r="B22" t="s">
        <v>100</v>
      </c>
      <c r="C22" t="s">
        <v>101</v>
      </c>
      <c r="D22" t="s">
        <v>102</v>
      </c>
      <c r="E22" t="s">
        <v>50</v>
      </c>
      <c r="F22" t="s">
        <v>30</v>
      </c>
      <c r="G22" t="s">
        <v>14</v>
      </c>
      <c r="H22" t="s">
        <v>103</v>
      </c>
    </row>
    <row r="23" spans="1:8" x14ac:dyDescent="0.25">
      <c r="A23" t="s">
        <v>8</v>
      </c>
      <c r="B23" t="s">
        <v>42</v>
      </c>
      <c r="C23" t="s">
        <v>104</v>
      </c>
      <c r="D23" t="s">
        <v>105</v>
      </c>
      <c r="E23" t="s">
        <v>29</v>
      </c>
      <c r="F23" t="s">
        <v>24</v>
      </c>
      <c r="G23" t="s">
        <v>14</v>
      </c>
      <c r="H23" t="s">
        <v>106</v>
      </c>
    </row>
    <row r="24" spans="1:8" x14ac:dyDescent="0.25">
      <c r="A24" t="s">
        <v>8</v>
      </c>
      <c r="B24" t="s">
        <v>26</v>
      </c>
      <c r="C24" t="s">
        <v>107</v>
      </c>
      <c r="D24" t="s">
        <v>108</v>
      </c>
      <c r="E24" t="s">
        <v>35</v>
      </c>
      <c r="F24" t="s">
        <v>19</v>
      </c>
      <c r="G24" t="s">
        <v>14</v>
      </c>
      <c r="H24" t="s">
        <v>109</v>
      </c>
    </row>
    <row r="25" spans="1:8" x14ac:dyDescent="0.25">
      <c r="A25" t="s">
        <v>8</v>
      </c>
      <c r="B25" t="s">
        <v>42</v>
      </c>
      <c r="C25" t="s">
        <v>110</v>
      </c>
      <c r="D25" t="s">
        <v>111</v>
      </c>
      <c r="E25" t="s">
        <v>12</v>
      </c>
      <c r="F25" t="s">
        <v>13</v>
      </c>
      <c r="G25" t="s">
        <v>14</v>
      </c>
      <c r="H25" t="s">
        <v>112</v>
      </c>
    </row>
    <row r="26" spans="1:8" x14ac:dyDescent="0.25">
      <c r="A26" t="s">
        <v>8</v>
      </c>
      <c r="B26" t="s">
        <v>113</v>
      </c>
      <c r="C26" t="s">
        <v>114</v>
      </c>
      <c r="D26" t="s">
        <v>115</v>
      </c>
      <c r="E26" t="s">
        <v>116</v>
      </c>
      <c r="F26" t="s">
        <v>30</v>
      </c>
      <c r="G26" t="s">
        <v>14</v>
      </c>
      <c r="H26" t="s">
        <v>117</v>
      </c>
    </row>
    <row r="27" spans="1:8" x14ac:dyDescent="0.25">
      <c r="A27" t="s">
        <v>8</v>
      </c>
      <c r="B27" t="s">
        <v>26</v>
      </c>
      <c r="C27" t="s">
        <v>118</v>
      </c>
      <c r="D27" t="s">
        <v>119</v>
      </c>
      <c r="E27" t="s">
        <v>12</v>
      </c>
      <c r="F27" t="s">
        <v>13</v>
      </c>
      <c r="G27" t="s">
        <v>14</v>
      </c>
      <c r="H27" t="s">
        <v>117</v>
      </c>
    </row>
    <row r="28" spans="1:8" x14ac:dyDescent="0.25">
      <c r="A28" t="s">
        <v>8</v>
      </c>
      <c r="B28" t="s">
        <v>26</v>
      </c>
      <c r="C28" t="s">
        <v>120</v>
      </c>
      <c r="D28" t="s">
        <v>121</v>
      </c>
      <c r="E28" t="s">
        <v>45</v>
      </c>
      <c r="F28" t="s">
        <v>71</v>
      </c>
      <c r="G28" t="s">
        <v>14</v>
      </c>
      <c r="H28" t="s">
        <v>122</v>
      </c>
    </row>
    <row r="29" spans="1:8" x14ac:dyDescent="0.25">
      <c r="A29" t="s">
        <v>8</v>
      </c>
      <c r="B29" t="s">
        <v>123</v>
      </c>
      <c r="C29" t="s">
        <v>124</v>
      </c>
      <c r="D29" t="s">
        <v>125</v>
      </c>
      <c r="E29" t="s">
        <v>45</v>
      </c>
      <c r="F29" t="s">
        <v>71</v>
      </c>
      <c r="G29" t="s">
        <v>14</v>
      </c>
      <c r="H29" t="s">
        <v>46</v>
      </c>
    </row>
    <row r="30" spans="1:8" x14ac:dyDescent="0.25">
      <c r="A30" t="s">
        <v>8</v>
      </c>
      <c r="B30" t="s">
        <v>100</v>
      </c>
      <c r="C30" t="s">
        <v>126</v>
      </c>
      <c r="D30" t="s">
        <v>127</v>
      </c>
      <c r="E30" t="s">
        <v>29</v>
      </c>
      <c r="F30" t="s">
        <v>51</v>
      </c>
      <c r="G30" t="s">
        <v>67</v>
      </c>
      <c r="H30" t="s">
        <v>128</v>
      </c>
    </row>
    <row r="31" spans="1:8" x14ac:dyDescent="0.25">
      <c r="A31" t="s">
        <v>8</v>
      </c>
      <c r="B31" t="s">
        <v>16</v>
      </c>
      <c r="C31" t="s">
        <v>129</v>
      </c>
      <c r="D31" t="s">
        <v>130</v>
      </c>
      <c r="E31" t="s">
        <v>12</v>
      </c>
      <c r="F31" t="s">
        <v>30</v>
      </c>
      <c r="G31" t="s">
        <v>56</v>
      </c>
      <c r="H31" t="s">
        <v>131</v>
      </c>
    </row>
    <row r="32" spans="1:8" x14ac:dyDescent="0.25">
      <c r="A32" t="s">
        <v>8</v>
      </c>
      <c r="B32" t="s">
        <v>26</v>
      </c>
      <c r="C32" t="s">
        <v>132</v>
      </c>
      <c r="D32" t="s">
        <v>133</v>
      </c>
      <c r="E32" t="s">
        <v>29</v>
      </c>
      <c r="F32" t="s">
        <v>30</v>
      </c>
      <c r="G32" t="s">
        <v>14</v>
      </c>
      <c r="H32" t="s">
        <v>134</v>
      </c>
    </row>
    <row r="33" spans="1:8" x14ac:dyDescent="0.25">
      <c r="A33" t="s">
        <v>8</v>
      </c>
      <c r="B33" t="s">
        <v>9</v>
      </c>
      <c r="C33" t="s">
        <v>135</v>
      </c>
      <c r="D33" t="s">
        <v>136</v>
      </c>
      <c r="E33" t="s">
        <v>23</v>
      </c>
      <c r="F33" t="s">
        <v>30</v>
      </c>
      <c r="G33" t="s">
        <v>14</v>
      </c>
      <c r="H33" t="s">
        <v>137</v>
      </c>
    </row>
    <row r="34" spans="1:8" x14ac:dyDescent="0.25">
      <c r="A34" t="s">
        <v>8</v>
      </c>
      <c r="B34" t="s">
        <v>37</v>
      </c>
      <c r="C34" t="s">
        <v>138</v>
      </c>
      <c r="D34" t="s">
        <v>139</v>
      </c>
      <c r="E34" t="s">
        <v>45</v>
      </c>
      <c r="F34" t="s">
        <v>24</v>
      </c>
      <c r="G34" t="s">
        <v>14</v>
      </c>
      <c r="H34" t="s">
        <v>140</v>
      </c>
    </row>
    <row r="35" spans="1:8" x14ac:dyDescent="0.25">
      <c r="A35" t="s">
        <v>8</v>
      </c>
      <c r="B35" t="s">
        <v>91</v>
      </c>
      <c r="C35" t="s">
        <v>141</v>
      </c>
      <c r="D35" t="s">
        <v>142</v>
      </c>
      <c r="E35" t="s">
        <v>29</v>
      </c>
      <c r="F35" t="s">
        <v>51</v>
      </c>
      <c r="G35" t="s">
        <v>67</v>
      </c>
      <c r="H35" t="s">
        <v>143</v>
      </c>
    </row>
    <row r="36" spans="1:8" x14ac:dyDescent="0.25">
      <c r="A36" t="s">
        <v>8</v>
      </c>
      <c r="B36" t="s">
        <v>42</v>
      </c>
      <c r="C36" t="s">
        <v>144</v>
      </c>
      <c r="D36" t="s">
        <v>145</v>
      </c>
      <c r="E36" t="s">
        <v>35</v>
      </c>
      <c r="F36" t="s">
        <v>19</v>
      </c>
      <c r="G36" t="s">
        <v>14</v>
      </c>
      <c r="H36" t="s">
        <v>146</v>
      </c>
    </row>
    <row r="37" spans="1:8" x14ac:dyDescent="0.25">
      <c r="A37" t="s">
        <v>8</v>
      </c>
      <c r="B37" t="s">
        <v>77</v>
      </c>
      <c r="C37" t="s">
        <v>147</v>
      </c>
      <c r="D37" t="s">
        <v>148</v>
      </c>
      <c r="E37" t="s">
        <v>50</v>
      </c>
      <c r="F37" t="s">
        <v>51</v>
      </c>
      <c r="G37" t="s">
        <v>14</v>
      </c>
      <c r="H37" t="s">
        <v>149</v>
      </c>
    </row>
    <row r="38" spans="1:8" x14ac:dyDescent="0.25">
      <c r="A38" t="s">
        <v>8</v>
      </c>
      <c r="B38" t="s">
        <v>113</v>
      </c>
      <c r="C38" t="s">
        <v>150</v>
      </c>
      <c r="D38" t="s">
        <v>151</v>
      </c>
      <c r="E38" t="s">
        <v>29</v>
      </c>
      <c r="F38" t="s">
        <v>19</v>
      </c>
      <c r="G38" t="s">
        <v>14</v>
      </c>
      <c r="H38" t="s">
        <v>152</v>
      </c>
    </row>
    <row r="39" spans="1:8" x14ac:dyDescent="0.25">
      <c r="A39" t="s">
        <v>8</v>
      </c>
      <c r="B39" t="s">
        <v>91</v>
      </c>
      <c r="C39" t="s">
        <v>153</v>
      </c>
      <c r="D39" t="s">
        <v>154</v>
      </c>
      <c r="E39" t="s">
        <v>29</v>
      </c>
      <c r="F39" t="s">
        <v>51</v>
      </c>
      <c r="G39" t="s">
        <v>67</v>
      </c>
      <c r="H39" t="s">
        <v>155</v>
      </c>
    </row>
    <row r="40" spans="1:8" x14ac:dyDescent="0.25">
      <c r="A40" t="s">
        <v>8</v>
      </c>
      <c r="B40" t="s">
        <v>42</v>
      </c>
      <c r="C40" t="s">
        <v>156</v>
      </c>
      <c r="D40" t="s">
        <v>156</v>
      </c>
      <c r="E40" t="s">
        <v>12</v>
      </c>
      <c r="F40" t="s">
        <v>30</v>
      </c>
      <c r="G40" t="s">
        <v>63</v>
      </c>
      <c r="H40" t="s">
        <v>157</v>
      </c>
    </row>
    <row r="41" spans="1:8" x14ac:dyDescent="0.25">
      <c r="A41" t="s">
        <v>8</v>
      </c>
      <c r="B41" t="s">
        <v>91</v>
      </c>
      <c r="C41" t="s">
        <v>158</v>
      </c>
      <c r="D41" t="s">
        <v>159</v>
      </c>
      <c r="E41" t="s">
        <v>67</v>
      </c>
      <c r="F41" t="s">
        <v>24</v>
      </c>
      <c r="G41" t="s">
        <v>67</v>
      </c>
      <c r="H41" t="s">
        <v>160</v>
      </c>
    </row>
    <row r="42" spans="1:8" x14ac:dyDescent="0.25">
      <c r="A42" t="s">
        <v>8</v>
      </c>
      <c r="B42" t="s">
        <v>42</v>
      </c>
      <c r="C42" t="s">
        <v>161</v>
      </c>
      <c r="D42" t="s">
        <v>162</v>
      </c>
      <c r="E42" t="s">
        <v>45</v>
      </c>
      <c r="F42" t="s">
        <v>19</v>
      </c>
      <c r="G42" t="s">
        <v>14</v>
      </c>
      <c r="H42" t="s">
        <v>163</v>
      </c>
    </row>
    <row r="43" spans="1:8" x14ac:dyDescent="0.25">
      <c r="A43" t="s">
        <v>8</v>
      </c>
      <c r="B43" t="s">
        <v>91</v>
      </c>
      <c r="C43" t="s">
        <v>164</v>
      </c>
      <c r="D43" t="s">
        <v>165</v>
      </c>
      <c r="E43" t="s">
        <v>29</v>
      </c>
      <c r="F43" t="s">
        <v>97</v>
      </c>
      <c r="G43" t="s">
        <v>98</v>
      </c>
      <c r="H43" t="s">
        <v>166</v>
      </c>
    </row>
    <row r="44" spans="1:8" x14ac:dyDescent="0.25">
      <c r="A44" t="s">
        <v>8</v>
      </c>
      <c r="B44" t="s">
        <v>91</v>
      </c>
      <c r="C44" t="s">
        <v>167</v>
      </c>
      <c r="D44" t="s">
        <v>168</v>
      </c>
      <c r="E44" t="s">
        <v>29</v>
      </c>
      <c r="F44" t="s">
        <v>97</v>
      </c>
      <c r="G44" t="s">
        <v>98</v>
      </c>
      <c r="H44" t="s">
        <v>169</v>
      </c>
    </row>
    <row r="45" spans="1:8" x14ac:dyDescent="0.25">
      <c r="A45" t="s">
        <v>8</v>
      </c>
      <c r="B45" t="s">
        <v>9</v>
      </c>
      <c r="C45" t="s">
        <v>170</v>
      </c>
      <c r="D45" t="s">
        <v>171</v>
      </c>
      <c r="E45" t="s">
        <v>172</v>
      </c>
      <c r="F45" t="s">
        <v>30</v>
      </c>
      <c r="G45" t="s">
        <v>56</v>
      </c>
      <c r="H45" t="s">
        <v>173</v>
      </c>
    </row>
    <row r="46" spans="1:8" x14ac:dyDescent="0.25">
      <c r="A46" t="s">
        <v>8</v>
      </c>
      <c r="B46" t="s">
        <v>16</v>
      </c>
      <c r="C46" t="s">
        <v>174</v>
      </c>
      <c r="D46" t="s">
        <v>175</v>
      </c>
      <c r="E46" t="s">
        <v>29</v>
      </c>
      <c r="F46" t="s">
        <v>97</v>
      </c>
      <c r="G46" t="s">
        <v>98</v>
      </c>
      <c r="H46" t="s">
        <v>176</v>
      </c>
    </row>
    <row r="47" spans="1:8" x14ac:dyDescent="0.25">
      <c r="A47" t="s">
        <v>8</v>
      </c>
      <c r="B47" t="s">
        <v>100</v>
      </c>
      <c r="C47" t="s">
        <v>177</v>
      </c>
      <c r="D47" t="s">
        <v>178</v>
      </c>
      <c r="E47" t="s">
        <v>50</v>
      </c>
      <c r="F47" t="s">
        <v>30</v>
      </c>
      <c r="G47" t="s">
        <v>14</v>
      </c>
      <c r="H47" t="s">
        <v>179</v>
      </c>
    </row>
    <row r="48" spans="1:8" x14ac:dyDescent="0.25">
      <c r="A48" t="s">
        <v>8</v>
      </c>
      <c r="B48" t="s">
        <v>100</v>
      </c>
      <c r="C48" t="s">
        <v>180</v>
      </c>
      <c r="D48" t="s">
        <v>181</v>
      </c>
      <c r="E48" t="s">
        <v>23</v>
      </c>
      <c r="F48" t="s">
        <v>30</v>
      </c>
      <c r="G48" t="s">
        <v>14</v>
      </c>
      <c r="H48" t="s">
        <v>182</v>
      </c>
    </row>
    <row r="49" spans="1:8" x14ac:dyDescent="0.25">
      <c r="A49" t="s">
        <v>8</v>
      </c>
      <c r="B49" t="s">
        <v>183</v>
      </c>
      <c r="C49" t="s">
        <v>184</v>
      </c>
      <c r="D49" t="s">
        <v>185</v>
      </c>
      <c r="E49" t="s">
        <v>12</v>
      </c>
      <c r="F49" t="s">
        <v>13</v>
      </c>
      <c r="G49" t="s">
        <v>14</v>
      </c>
      <c r="H49" t="s">
        <v>186</v>
      </c>
    </row>
    <row r="50" spans="1:8" x14ac:dyDescent="0.25">
      <c r="A50" t="s">
        <v>8</v>
      </c>
      <c r="B50" t="s">
        <v>91</v>
      </c>
      <c r="C50" t="s">
        <v>187</v>
      </c>
      <c r="D50" t="s">
        <v>188</v>
      </c>
      <c r="E50" t="s">
        <v>35</v>
      </c>
      <c r="F50" t="s">
        <v>24</v>
      </c>
      <c r="G50" t="s">
        <v>14</v>
      </c>
      <c r="H50" t="s">
        <v>189</v>
      </c>
    </row>
    <row r="51" spans="1:8" x14ac:dyDescent="0.25">
      <c r="A51" t="s">
        <v>8</v>
      </c>
      <c r="B51" t="s">
        <v>77</v>
      </c>
      <c r="C51" t="s">
        <v>190</v>
      </c>
      <c r="D51" t="s">
        <v>190</v>
      </c>
      <c r="E51" t="s">
        <v>50</v>
      </c>
      <c r="F51" t="s">
        <v>191</v>
      </c>
      <c r="G51" t="s">
        <v>63</v>
      </c>
      <c r="H51" t="s">
        <v>192</v>
      </c>
    </row>
    <row r="52" spans="1:8" x14ac:dyDescent="0.25">
      <c r="A52" t="s">
        <v>8</v>
      </c>
      <c r="B52" t="s">
        <v>91</v>
      </c>
      <c r="C52" t="s">
        <v>193</v>
      </c>
      <c r="D52" t="s">
        <v>194</v>
      </c>
      <c r="E52" t="s">
        <v>29</v>
      </c>
      <c r="F52" t="s">
        <v>30</v>
      </c>
      <c r="G52" t="s">
        <v>14</v>
      </c>
      <c r="H52" t="s">
        <v>195</v>
      </c>
    </row>
    <row r="53" spans="1:8" x14ac:dyDescent="0.25">
      <c r="A53" t="s">
        <v>8</v>
      </c>
      <c r="B53" t="s">
        <v>26</v>
      </c>
      <c r="C53" t="s">
        <v>196</v>
      </c>
      <c r="D53" t="s">
        <v>196</v>
      </c>
      <c r="E53" t="s">
        <v>116</v>
      </c>
      <c r="F53" t="s">
        <v>30</v>
      </c>
      <c r="G53" t="s">
        <v>63</v>
      </c>
      <c r="H53" t="s">
        <v>197</v>
      </c>
    </row>
    <row r="54" spans="1:8" x14ac:dyDescent="0.25">
      <c r="A54" t="s">
        <v>8</v>
      </c>
      <c r="B54" t="s">
        <v>42</v>
      </c>
      <c r="C54" t="s">
        <v>198</v>
      </c>
      <c r="D54" t="s">
        <v>199</v>
      </c>
      <c r="E54" t="s">
        <v>29</v>
      </c>
      <c r="F54" t="s">
        <v>24</v>
      </c>
      <c r="G54" t="s">
        <v>14</v>
      </c>
      <c r="H54" t="s">
        <v>200</v>
      </c>
    </row>
    <row r="55" spans="1:8" x14ac:dyDescent="0.25">
      <c r="A55" t="s">
        <v>8</v>
      </c>
      <c r="B55" t="s">
        <v>91</v>
      </c>
      <c r="C55" t="s">
        <v>201</v>
      </c>
      <c r="D55" t="s">
        <v>202</v>
      </c>
      <c r="E55" t="s">
        <v>29</v>
      </c>
      <c r="F55" t="s">
        <v>51</v>
      </c>
      <c r="G55" t="s">
        <v>67</v>
      </c>
      <c r="H55" t="s">
        <v>143</v>
      </c>
    </row>
    <row r="56" spans="1:8" x14ac:dyDescent="0.25">
      <c r="A56" t="s">
        <v>8</v>
      </c>
      <c r="B56" t="s">
        <v>9</v>
      </c>
      <c r="C56" t="s">
        <v>203</v>
      </c>
      <c r="D56" t="s">
        <v>204</v>
      </c>
      <c r="E56" t="s">
        <v>29</v>
      </c>
      <c r="F56" t="s">
        <v>30</v>
      </c>
      <c r="G56" t="s">
        <v>14</v>
      </c>
      <c r="H56" t="s">
        <v>205</v>
      </c>
    </row>
    <row r="57" spans="1:8" x14ac:dyDescent="0.25">
      <c r="A57" t="s">
        <v>8</v>
      </c>
      <c r="B57" t="s">
        <v>100</v>
      </c>
      <c r="C57" t="s">
        <v>206</v>
      </c>
      <c r="D57" t="s">
        <v>207</v>
      </c>
      <c r="E57" t="s">
        <v>45</v>
      </c>
      <c r="F57" t="s">
        <v>71</v>
      </c>
      <c r="G57" t="s">
        <v>14</v>
      </c>
      <c r="H57" t="s">
        <v>208</v>
      </c>
    </row>
    <row r="58" spans="1:8" x14ac:dyDescent="0.25">
      <c r="A58" t="s">
        <v>8</v>
      </c>
      <c r="B58" t="s">
        <v>42</v>
      </c>
      <c r="C58" t="s">
        <v>209</v>
      </c>
      <c r="D58" t="s">
        <v>210</v>
      </c>
      <c r="E58" t="s">
        <v>12</v>
      </c>
      <c r="F58" t="s">
        <v>30</v>
      </c>
      <c r="G58" t="s">
        <v>14</v>
      </c>
      <c r="H58" t="s">
        <v>211</v>
      </c>
    </row>
    <row r="59" spans="1:8" x14ac:dyDescent="0.25">
      <c r="A59" t="s">
        <v>8</v>
      </c>
      <c r="B59" t="s">
        <v>91</v>
      </c>
      <c r="C59" t="s">
        <v>212</v>
      </c>
      <c r="D59" t="s">
        <v>213</v>
      </c>
      <c r="E59" t="s">
        <v>40</v>
      </c>
      <c r="F59" t="s">
        <v>19</v>
      </c>
      <c r="G59" t="s">
        <v>14</v>
      </c>
      <c r="H59" t="s">
        <v>214</v>
      </c>
    </row>
    <row r="60" spans="1:8" x14ac:dyDescent="0.25">
      <c r="A60" t="s">
        <v>8</v>
      </c>
      <c r="B60" t="s">
        <v>113</v>
      </c>
      <c r="C60" t="s">
        <v>215</v>
      </c>
      <c r="D60" t="s">
        <v>216</v>
      </c>
      <c r="E60" t="s">
        <v>35</v>
      </c>
      <c r="F60" t="s">
        <v>24</v>
      </c>
      <c r="G60" t="s">
        <v>56</v>
      </c>
      <c r="H60" t="s">
        <v>217</v>
      </c>
    </row>
    <row r="61" spans="1:8" x14ac:dyDescent="0.25">
      <c r="A61" t="s">
        <v>8</v>
      </c>
      <c r="B61" t="s">
        <v>42</v>
      </c>
      <c r="C61" t="s">
        <v>218</v>
      </c>
      <c r="D61" t="s">
        <v>219</v>
      </c>
      <c r="E61" t="s">
        <v>12</v>
      </c>
      <c r="F61" t="s">
        <v>13</v>
      </c>
      <c r="G61" t="s">
        <v>14</v>
      </c>
      <c r="H61" t="s">
        <v>220</v>
      </c>
    </row>
    <row r="62" spans="1:8" x14ac:dyDescent="0.25">
      <c r="A62" t="s">
        <v>8</v>
      </c>
      <c r="B62" t="s">
        <v>42</v>
      </c>
      <c r="C62" t="s">
        <v>221</v>
      </c>
      <c r="D62" t="s">
        <v>222</v>
      </c>
      <c r="E62" t="s">
        <v>67</v>
      </c>
      <c r="F62" t="s">
        <v>24</v>
      </c>
      <c r="G62" t="s">
        <v>67</v>
      </c>
      <c r="H62" t="s">
        <v>223</v>
      </c>
    </row>
    <row r="63" spans="1:8" x14ac:dyDescent="0.25">
      <c r="A63" t="s">
        <v>8</v>
      </c>
      <c r="B63" t="s">
        <v>100</v>
      </c>
      <c r="C63" t="s">
        <v>224</v>
      </c>
      <c r="D63" t="s">
        <v>225</v>
      </c>
      <c r="E63" t="s">
        <v>29</v>
      </c>
      <c r="F63" t="s">
        <v>51</v>
      </c>
      <c r="G63" t="s">
        <v>67</v>
      </c>
      <c r="H63" t="s">
        <v>131</v>
      </c>
    </row>
    <row r="64" spans="1:8" x14ac:dyDescent="0.25">
      <c r="A64" t="s">
        <v>8</v>
      </c>
      <c r="B64" t="s">
        <v>37</v>
      </c>
      <c r="C64" t="s">
        <v>226</v>
      </c>
      <c r="D64" t="s">
        <v>227</v>
      </c>
      <c r="E64" t="s">
        <v>29</v>
      </c>
      <c r="F64" t="s">
        <v>30</v>
      </c>
      <c r="G64" t="s">
        <v>14</v>
      </c>
      <c r="H64" t="s">
        <v>228</v>
      </c>
    </row>
    <row r="65" spans="1:8" x14ac:dyDescent="0.25">
      <c r="A65" t="s">
        <v>8</v>
      </c>
      <c r="B65" t="s">
        <v>42</v>
      </c>
      <c r="C65" t="s">
        <v>229</v>
      </c>
      <c r="D65" t="s">
        <v>230</v>
      </c>
      <c r="E65" t="s">
        <v>172</v>
      </c>
      <c r="F65" t="s">
        <v>30</v>
      </c>
      <c r="G65" t="s">
        <v>14</v>
      </c>
      <c r="H65" t="s">
        <v>231</v>
      </c>
    </row>
    <row r="66" spans="1:8" x14ac:dyDescent="0.25">
      <c r="A66" t="s">
        <v>8</v>
      </c>
      <c r="B66" t="s">
        <v>77</v>
      </c>
      <c r="C66" t="s">
        <v>232</v>
      </c>
      <c r="D66" t="s">
        <v>233</v>
      </c>
      <c r="E66" t="s">
        <v>12</v>
      </c>
      <c r="F66" t="s">
        <v>13</v>
      </c>
      <c r="G66" t="s">
        <v>14</v>
      </c>
      <c r="H66" t="s">
        <v>234</v>
      </c>
    </row>
    <row r="67" spans="1:8" x14ac:dyDescent="0.25">
      <c r="A67" t="s">
        <v>8</v>
      </c>
      <c r="B67" t="s">
        <v>77</v>
      </c>
      <c r="C67" t="s">
        <v>235</v>
      </c>
      <c r="D67" t="s">
        <v>236</v>
      </c>
      <c r="E67" t="s">
        <v>29</v>
      </c>
      <c r="F67" t="s">
        <v>51</v>
      </c>
      <c r="G67" t="s">
        <v>67</v>
      </c>
      <c r="H67" t="s">
        <v>237</v>
      </c>
    </row>
    <row r="68" spans="1:8" x14ac:dyDescent="0.25">
      <c r="A68" t="s">
        <v>8</v>
      </c>
      <c r="B68" t="s">
        <v>16</v>
      </c>
      <c r="C68" t="s">
        <v>238</v>
      </c>
      <c r="D68" t="s">
        <v>239</v>
      </c>
      <c r="E68" t="s">
        <v>172</v>
      </c>
      <c r="F68" t="s">
        <v>30</v>
      </c>
      <c r="G68" t="s">
        <v>14</v>
      </c>
      <c r="H68" t="s">
        <v>240</v>
      </c>
    </row>
    <row r="69" spans="1:8" x14ac:dyDescent="0.25">
      <c r="A69" t="s">
        <v>8</v>
      </c>
      <c r="B69" t="s">
        <v>91</v>
      </c>
      <c r="C69" t="s">
        <v>241</v>
      </c>
      <c r="D69" t="s">
        <v>242</v>
      </c>
      <c r="E69" t="s">
        <v>29</v>
      </c>
      <c r="F69" t="s">
        <v>51</v>
      </c>
      <c r="G69" t="s">
        <v>67</v>
      </c>
      <c r="H69" t="s">
        <v>122</v>
      </c>
    </row>
    <row r="70" spans="1:8" x14ac:dyDescent="0.25">
      <c r="A70" t="s">
        <v>8</v>
      </c>
      <c r="B70" t="s">
        <v>37</v>
      </c>
      <c r="C70" t="s">
        <v>243</v>
      </c>
      <c r="D70" t="s">
        <v>244</v>
      </c>
      <c r="E70" t="s">
        <v>29</v>
      </c>
      <c r="F70" t="s">
        <v>51</v>
      </c>
      <c r="G70" t="s">
        <v>67</v>
      </c>
      <c r="H70" t="s">
        <v>64</v>
      </c>
    </row>
    <row r="71" spans="1:8" x14ac:dyDescent="0.25">
      <c r="A71" t="s">
        <v>8</v>
      </c>
      <c r="B71" t="s">
        <v>16</v>
      </c>
      <c r="C71" t="s">
        <v>245</v>
      </c>
      <c r="D71" t="s">
        <v>246</v>
      </c>
      <c r="E71" t="s">
        <v>172</v>
      </c>
      <c r="F71" t="s">
        <v>30</v>
      </c>
      <c r="G71" t="s">
        <v>14</v>
      </c>
      <c r="H71" t="s">
        <v>247</v>
      </c>
    </row>
    <row r="72" spans="1:8" x14ac:dyDescent="0.25">
      <c r="A72" t="s">
        <v>8</v>
      </c>
      <c r="B72" t="s">
        <v>100</v>
      </c>
      <c r="C72" t="s">
        <v>248</v>
      </c>
      <c r="D72" t="s">
        <v>249</v>
      </c>
      <c r="E72" t="s">
        <v>67</v>
      </c>
      <c r="F72" t="s">
        <v>19</v>
      </c>
      <c r="G72" t="s">
        <v>67</v>
      </c>
      <c r="H72" t="s">
        <v>250</v>
      </c>
    </row>
    <row r="73" spans="1:8" x14ac:dyDescent="0.25">
      <c r="A73" t="s">
        <v>8</v>
      </c>
      <c r="B73" t="s">
        <v>91</v>
      </c>
      <c r="C73" t="s">
        <v>251</v>
      </c>
      <c r="D73" t="s">
        <v>251</v>
      </c>
      <c r="E73" t="s">
        <v>29</v>
      </c>
      <c r="F73" t="s">
        <v>13</v>
      </c>
      <c r="G73" t="s">
        <v>63</v>
      </c>
      <c r="H73" t="s">
        <v>252</v>
      </c>
    </row>
    <row r="74" spans="1:8" x14ac:dyDescent="0.25">
      <c r="A74" t="s">
        <v>8</v>
      </c>
      <c r="B74" t="s">
        <v>37</v>
      </c>
      <c r="C74" t="s">
        <v>253</v>
      </c>
      <c r="D74" t="s">
        <v>254</v>
      </c>
      <c r="E74" t="s">
        <v>40</v>
      </c>
      <c r="F74" t="s">
        <v>19</v>
      </c>
      <c r="G74" t="s">
        <v>14</v>
      </c>
      <c r="H74" t="s">
        <v>255</v>
      </c>
    </row>
    <row r="75" spans="1:8" x14ac:dyDescent="0.25">
      <c r="A75" t="s">
        <v>8</v>
      </c>
      <c r="B75" t="s">
        <v>37</v>
      </c>
      <c r="C75" t="s">
        <v>256</v>
      </c>
      <c r="D75" t="s">
        <v>257</v>
      </c>
      <c r="E75" t="s">
        <v>172</v>
      </c>
      <c r="F75" t="s">
        <v>51</v>
      </c>
      <c r="G75" t="s">
        <v>14</v>
      </c>
      <c r="H75" t="s">
        <v>258</v>
      </c>
    </row>
    <row r="76" spans="1:8" x14ac:dyDescent="0.25">
      <c r="A76" t="s">
        <v>8</v>
      </c>
      <c r="B76" t="s">
        <v>9</v>
      </c>
      <c r="C76" t="s">
        <v>259</v>
      </c>
      <c r="D76" t="s">
        <v>260</v>
      </c>
      <c r="E76" t="s">
        <v>29</v>
      </c>
      <c r="F76" t="s">
        <v>51</v>
      </c>
      <c r="G76" t="s">
        <v>67</v>
      </c>
      <c r="H76" t="s">
        <v>261</v>
      </c>
    </row>
    <row r="77" spans="1:8" x14ac:dyDescent="0.25">
      <c r="A77" t="s">
        <v>8</v>
      </c>
      <c r="B77" t="s">
        <v>77</v>
      </c>
      <c r="C77" t="s">
        <v>262</v>
      </c>
      <c r="D77" t="s">
        <v>263</v>
      </c>
      <c r="E77" t="s">
        <v>172</v>
      </c>
      <c r="F77" t="s">
        <v>30</v>
      </c>
      <c r="G77" t="s">
        <v>14</v>
      </c>
      <c r="H77" t="s">
        <v>264</v>
      </c>
    </row>
    <row r="78" spans="1:8" x14ac:dyDescent="0.25">
      <c r="A78" t="s">
        <v>8</v>
      </c>
      <c r="B78" t="s">
        <v>91</v>
      </c>
      <c r="C78" t="s">
        <v>265</v>
      </c>
      <c r="D78" t="s">
        <v>266</v>
      </c>
      <c r="E78" t="s">
        <v>29</v>
      </c>
      <c r="F78" t="s">
        <v>97</v>
      </c>
      <c r="G78" t="s">
        <v>98</v>
      </c>
      <c r="H78" t="s">
        <v>267</v>
      </c>
    </row>
    <row r="79" spans="1:8" x14ac:dyDescent="0.25">
      <c r="A79" t="s">
        <v>8</v>
      </c>
      <c r="B79" t="s">
        <v>42</v>
      </c>
      <c r="C79" t="s">
        <v>268</v>
      </c>
      <c r="D79" t="s">
        <v>268</v>
      </c>
      <c r="E79" t="s">
        <v>12</v>
      </c>
      <c r="F79" t="s">
        <v>13</v>
      </c>
      <c r="G79" t="s">
        <v>63</v>
      </c>
      <c r="H79" t="s">
        <v>269</v>
      </c>
    </row>
    <row r="80" spans="1:8" x14ac:dyDescent="0.25">
      <c r="A80" t="s">
        <v>8</v>
      </c>
      <c r="B80" t="s">
        <v>91</v>
      </c>
      <c r="C80" t="s">
        <v>270</v>
      </c>
      <c r="D80" t="s">
        <v>271</v>
      </c>
      <c r="E80" t="s">
        <v>50</v>
      </c>
      <c r="F80" t="s">
        <v>19</v>
      </c>
      <c r="G80" t="s">
        <v>14</v>
      </c>
      <c r="H80" t="s">
        <v>103</v>
      </c>
    </row>
    <row r="81" spans="1:8" x14ac:dyDescent="0.25">
      <c r="A81" t="s">
        <v>8</v>
      </c>
      <c r="B81" t="s">
        <v>42</v>
      </c>
      <c r="C81" t="s">
        <v>272</v>
      </c>
      <c r="D81" t="s">
        <v>273</v>
      </c>
      <c r="E81" t="s">
        <v>23</v>
      </c>
      <c r="F81" t="s">
        <v>24</v>
      </c>
      <c r="G81" t="s">
        <v>14</v>
      </c>
      <c r="H81" t="s">
        <v>25</v>
      </c>
    </row>
    <row r="82" spans="1:8" x14ac:dyDescent="0.25">
      <c r="A82" t="s">
        <v>8</v>
      </c>
      <c r="B82" t="s">
        <v>37</v>
      </c>
      <c r="C82" t="s">
        <v>274</v>
      </c>
      <c r="D82" t="s">
        <v>275</v>
      </c>
      <c r="E82" t="s">
        <v>276</v>
      </c>
      <c r="F82" t="s">
        <v>51</v>
      </c>
      <c r="G82" t="s">
        <v>14</v>
      </c>
      <c r="H82" t="s">
        <v>277</v>
      </c>
    </row>
    <row r="83" spans="1:8" x14ac:dyDescent="0.25">
      <c r="A83" t="s">
        <v>8</v>
      </c>
      <c r="B83" t="s">
        <v>37</v>
      </c>
      <c r="C83" t="s">
        <v>278</v>
      </c>
      <c r="D83" t="s">
        <v>279</v>
      </c>
      <c r="E83" t="s">
        <v>29</v>
      </c>
      <c r="F83" t="s">
        <v>51</v>
      </c>
      <c r="G83" t="s">
        <v>67</v>
      </c>
      <c r="H83" t="s">
        <v>157</v>
      </c>
    </row>
    <row r="84" spans="1:8" x14ac:dyDescent="0.25">
      <c r="A84" t="s">
        <v>8</v>
      </c>
      <c r="B84" t="s">
        <v>42</v>
      </c>
      <c r="C84" t="s">
        <v>280</v>
      </c>
      <c r="D84" t="s">
        <v>281</v>
      </c>
      <c r="E84" t="s">
        <v>29</v>
      </c>
      <c r="F84" t="s">
        <v>51</v>
      </c>
      <c r="G84" t="s">
        <v>67</v>
      </c>
      <c r="H84" t="s">
        <v>282</v>
      </c>
    </row>
    <row r="85" spans="1:8" x14ac:dyDescent="0.25">
      <c r="A85" t="s">
        <v>8</v>
      </c>
      <c r="B85" t="s">
        <v>26</v>
      </c>
      <c r="C85" t="s">
        <v>283</v>
      </c>
      <c r="D85" t="s">
        <v>284</v>
      </c>
      <c r="E85" t="s">
        <v>23</v>
      </c>
      <c r="F85" t="s">
        <v>19</v>
      </c>
      <c r="G85" t="s">
        <v>14</v>
      </c>
      <c r="H85" t="s">
        <v>109</v>
      </c>
    </row>
    <row r="86" spans="1:8" x14ac:dyDescent="0.25">
      <c r="A86" t="s">
        <v>8</v>
      </c>
      <c r="B86" t="s">
        <v>9</v>
      </c>
      <c r="C86" t="s">
        <v>285</v>
      </c>
      <c r="D86" t="s">
        <v>286</v>
      </c>
      <c r="E86" t="s">
        <v>45</v>
      </c>
      <c r="F86" t="s">
        <v>30</v>
      </c>
      <c r="G86" t="s">
        <v>14</v>
      </c>
      <c r="H86" t="s">
        <v>287</v>
      </c>
    </row>
    <row r="87" spans="1:8" x14ac:dyDescent="0.25">
      <c r="A87" t="s">
        <v>8</v>
      </c>
      <c r="B87" t="s">
        <v>113</v>
      </c>
      <c r="C87" t="s">
        <v>288</v>
      </c>
      <c r="D87" t="s">
        <v>288</v>
      </c>
      <c r="E87" t="s">
        <v>116</v>
      </c>
      <c r="F87" t="s">
        <v>30</v>
      </c>
      <c r="G87" t="s">
        <v>63</v>
      </c>
      <c r="H87" t="s">
        <v>289</v>
      </c>
    </row>
    <row r="88" spans="1:8" x14ac:dyDescent="0.25">
      <c r="A88" t="s">
        <v>8</v>
      </c>
      <c r="B88" t="s">
        <v>9</v>
      </c>
      <c r="C88" t="s">
        <v>290</v>
      </c>
      <c r="D88" t="s">
        <v>291</v>
      </c>
      <c r="E88" t="s">
        <v>29</v>
      </c>
      <c r="F88" t="s">
        <v>24</v>
      </c>
      <c r="G88" t="s">
        <v>14</v>
      </c>
      <c r="H88" t="s">
        <v>149</v>
      </c>
    </row>
    <row r="89" spans="1:8" x14ac:dyDescent="0.25">
      <c r="A89" t="s">
        <v>8</v>
      </c>
      <c r="B89" t="s">
        <v>32</v>
      </c>
      <c r="C89" t="s">
        <v>292</v>
      </c>
      <c r="D89" t="s">
        <v>293</v>
      </c>
      <c r="E89" t="s">
        <v>12</v>
      </c>
      <c r="F89" t="s">
        <v>13</v>
      </c>
      <c r="G89" t="s">
        <v>14</v>
      </c>
      <c r="H89" t="s">
        <v>64</v>
      </c>
    </row>
    <row r="90" spans="1:8" x14ac:dyDescent="0.25">
      <c r="A90" t="s">
        <v>8</v>
      </c>
      <c r="B90" t="s">
        <v>42</v>
      </c>
      <c r="C90" t="s">
        <v>294</v>
      </c>
      <c r="D90" t="s">
        <v>295</v>
      </c>
      <c r="E90" t="s">
        <v>67</v>
      </c>
      <c r="F90" t="s">
        <v>30</v>
      </c>
      <c r="G90" t="s">
        <v>67</v>
      </c>
      <c r="H90" t="s">
        <v>296</v>
      </c>
    </row>
    <row r="91" spans="1:8" x14ac:dyDescent="0.25">
      <c r="A91" t="s">
        <v>8</v>
      </c>
      <c r="B91" t="s">
        <v>37</v>
      </c>
      <c r="C91" t="s">
        <v>297</v>
      </c>
      <c r="D91" t="s">
        <v>298</v>
      </c>
      <c r="E91" t="s">
        <v>29</v>
      </c>
      <c r="F91" t="s">
        <v>24</v>
      </c>
      <c r="G91" t="s">
        <v>14</v>
      </c>
      <c r="H91" t="s">
        <v>299</v>
      </c>
    </row>
    <row r="92" spans="1:8" x14ac:dyDescent="0.25">
      <c r="A92" t="s">
        <v>8</v>
      </c>
      <c r="B92" t="s">
        <v>9</v>
      </c>
      <c r="C92" t="s">
        <v>300</v>
      </c>
      <c r="D92" t="s">
        <v>300</v>
      </c>
      <c r="E92" t="s">
        <v>29</v>
      </c>
      <c r="F92" t="s">
        <v>30</v>
      </c>
      <c r="G92" t="s">
        <v>63</v>
      </c>
      <c r="H92" t="s">
        <v>301</v>
      </c>
    </row>
    <row r="93" spans="1:8" x14ac:dyDescent="0.25">
      <c r="A93" t="s">
        <v>8</v>
      </c>
      <c r="B93" t="s">
        <v>9</v>
      </c>
      <c r="C93" t="s">
        <v>302</v>
      </c>
      <c r="D93" t="s">
        <v>302</v>
      </c>
      <c r="E93" t="s">
        <v>29</v>
      </c>
      <c r="F93" t="s">
        <v>13</v>
      </c>
      <c r="G93" t="s">
        <v>63</v>
      </c>
      <c r="H93" t="s">
        <v>303</v>
      </c>
    </row>
    <row r="94" spans="1:8" x14ac:dyDescent="0.25">
      <c r="A94" t="s">
        <v>8</v>
      </c>
      <c r="B94" t="s">
        <v>91</v>
      </c>
      <c r="C94" t="s">
        <v>304</v>
      </c>
      <c r="D94" t="s">
        <v>305</v>
      </c>
      <c r="E94" t="s">
        <v>23</v>
      </c>
      <c r="F94" t="s">
        <v>30</v>
      </c>
      <c r="G94" t="s">
        <v>14</v>
      </c>
      <c r="H94" t="s">
        <v>306</v>
      </c>
    </row>
    <row r="95" spans="1:8" x14ac:dyDescent="0.25">
      <c r="A95" t="s">
        <v>8</v>
      </c>
      <c r="B95" t="s">
        <v>113</v>
      </c>
      <c r="C95" t="s">
        <v>307</v>
      </c>
      <c r="D95" t="s">
        <v>308</v>
      </c>
      <c r="E95" t="s">
        <v>23</v>
      </c>
      <c r="F95" t="s">
        <v>24</v>
      </c>
      <c r="G95" t="s">
        <v>14</v>
      </c>
      <c r="H95" t="s">
        <v>309</v>
      </c>
    </row>
    <row r="96" spans="1:8" x14ac:dyDescent="0.25">
      <c r="A96" t="s">
        <v>8</v>
      </c>
      <c r="B96" t="s">
        <v>42</v>
      </c>
      <c r="C96" t="s">
        <v>310</v>
      </c>
      <c r="D96" t="s">
        <v>311</v>
      </c>
      <c r="E96" t="s">
        <v>29</v>
      </c>
      <c r="F96" t="s">
        <v>51</v>
      </c>
      <c r="G96" t="s">
        <v>67</v>
      </c>
      <c r="H96" t="s">
        <v>312</v>
      </c>
    </row>
    <row r="97" spans="1:8" x14ac:dyDescent="0.25">
      <c r="A97" t="s">
        <v>8</v>
      </c>
      <c r="B97" t="s">
        <v>16</v>
      </c>
      <c r="C97" t="s">
        <v>313</v>
      </c>
      <c r="D97" t="s">
        <v>314</v>
      </c>
      <c r="E97" t="s">
        <v>29</v>
      </c>
      <c r="F97" t="s">
        <v>24</v>
      </c>
      <c r="G97" t="s">
        <v>14</v>
      </c>
      <c r="H97" t="s">
        <v>315</v>
      </c>
    </row>
    <row r="98" spans="1:8" x14ac:dyDescent="0.25">
      <c r="A98" t="s">
        <v>8</v>
      </c>
      <c r="B98" t="s">
        <v>37</v>
      </c>
      <c r="C98" t="s">
        <v>316</v>
      </c>
      <c r="D98" t="s">
        <v>316</v>
      </c>
      <c r="E98" t="s">
        <v>116</v>
      </c>
      <c r="F98" t="s">
        <v>24</v>
      </c>
      <c r="G98" t="s">
        <v>63</v>
      </c>
      <c r="H98" t="s">
        <v>317</v>
      </c>
    </row>
    <row r="99" spans="1:8" x14ac:dyDescent="0.25">
      <c r="A99" t="s">
        <v>8</v>
      </c>
      <c r="B99" t="s">
        <v>91</v>
      </c>
      <c r="C99" t="s">
        <v>318</v>
      </c>
      <c r="D99" t="s">
        <v>319</v>
      </c>
      <c r="E99" t="s">
        <v>172</v>
      </c>
      <c r="F99" t="s">
        <v>51</v>
      </c>
      <c r="G99" t="s">
        <v>14</v>
      </c>
      <c r="H99" t="s">
        <v>87</v>
      </c>
    </row>
    <row r="100" spans="1:8" x14ac:dyDescent="0.25">
      <c r="A100" t="s">
        <v>8</v>
      </c>
      <c r="B100" t="s">
        <v>42</v>
      </c>
      <c r="C100" t="s">
        <v>320</v>
      </c>
      <c r="D100" t="s">
        <v>321</v>
      </c>
      <c r="E100" t="s">
        <v>29</v>
      </c>
      <c r="F100" t="s">
        <v>51</v>
      </c>
      <c r="G100" t="s">
        <v>67</v>
      </c>
      <c r="H100" t="s">
        <v>322</v>
      </c>
    </row>
    <row r="101" spans="1:8" x14ac:dyDescent="0.25">
      <c r="A101" t="s">
        <v>8</v>
      </c>
      <c r="B101" t="s">
        <v>42</v>
      </c>
      <c r="C101" t="s">
        <v>323</v>
      </c>
      <c r="D101" t="s">
        <v>324</v>
      </c>
      <c r="E101" t="s">
        <v>67</v>
      </c>
      <c r="F101" t="s">
        <v>24</v>
      </c>
      <c r="G101" t="s">
        <v>67</v>
      </c>
      <c r="H101" t="s">
        <v>325</v>
      </c>
    </row>
    <row r="102" spans="1:8" x14ac:dyDescent="0.25">
      <c r="A102" t="s">
        <v>8</v>
      </c>
      <c r="B102" t="s">
        <v>100</v>
      </c>
      <c r="C102" t="s">
        <v>326</v>
      </c>
      <c r="D102" t="s">
        <v>327</v>
      </c>
      <c r="E102" t="s">
        <v>328</v>
      </c>
      <c r="F102" t="s">
        <v>51</v>
      </c>
      <c r="G102" t="s">
        <v>14</v>
      </c>
      <c r="H102" t="s">
        <v>329</v>
      </c>
    </row>
    <row r="103" spans="1:8" x14ac:dyDescent="0.25">
      <c r="A103" t="s">
        <v>8</v>
      </c>
      <c r="B103" t="s">
        <v>42</v>
      </c>
      <c r="C103" t="s">
        <v>330</v>
      </c>
      <c r="D103" t="s">
        <v>331</v>
      </c>
      <c r="E103" t="s">
        <v>35</v>
      </c>
      <c r="F103" t="s">
        <v>24</v>
      </c>
      <c r="G103" t="s">
        <v>14</v>
      </c>
      <c r="H103" t="s">
        <v>31</v>
      </c>
    </row>
    <row r="104" spans="1:8" x14ac:dyDescent="0.25">
      <c r="A104" t="s">
        <v>8</v>
      </c>
      <c r="B104" t="s">
        <v>9</v>
      </c>
      <c r="C104" t="s">
        <v>332</v>
      </c>
      <c r="D104" t="s">
        <v>332</v>
      </c>
      <c r="E104" t="s">
        <v>116</v>
      </c>
      <c r="F104" t="s">
        <v>24</v>
      </c>
      <c r="G104" t="s">
        <v>63</v>
      </c>
      <c r="H104" t="s">
        <v>333</v>
      </c>
    </row>
    <row r="105" spans="1:8" x14ac:dyDescent="0.25">
      <c r="A105" t="s">
        <v>8</v>
      </c>
      <c r="B105" t="s">
        <v>42</v>
      </c>
      <c r="C105" t="s">
        <v>334</v>
      </c>
      <c r="D105" t="s">
        <v>335</v>
      </c>
      <c r="E105" t="s">
        <v>29</v>
      </c>
      <c r="F105" t="s">
        <v>51</v>
      </c>
      <c r="G105" t="s">
        <v>67</v>
      </c>
      <c r="H105" t="s">
        <v>336</v>
      </c>
    </row>
    <row r="106" spans="1:8" x14ac:dyDescent="0.25">
      <c r="A106" t="s">
        <v>8</v>
      </c>
      <c r="B106" t="s">
        <v>91</v>
      </c>
      <c r="C106" t="s">
        <v>337</v>
      </c>
      <c r="D106" t="s">
        <v>338</v>
      </c>
      <c r="E106" t="s">
        <v>29</v>
      </c>
      <c r="F106" t="s">
        <v>51</v>
      </c>
      <c r="G106" t="s">
        <v>67</v>
      </c>
      <c r="H106" t="s">
        <v>339</v>
      </c>
    </row>
    <row r="107" spans="1:8" x14ac:dyDescent="0.25">
      <c r="A107" t="s">
        <v>8</v>
      </c>
      <c r="B107" t="s">
        <v>37</v>
      </c>
      <c r="C107" t="s">
        <v>340</v>
      </c>
      <c r="D107" t="s">
        <v>341</v>
      </c>
      <c r="E107" t="s">
        <v>23</v>
      </c>
      <c r="F107" t="s">
        <v>24</v>
      </c>
      <c r="G107" t="s">
        <v>14</v>
      </c>
      <c r="H107" t="s">
        <v>342</v>
      </c>
    </row>
    <row r="108" spans="1:8" x14ac:dyDescent="0.25">
      <c r="A108" t="s">
        <v>8</v>
      </c>
      <c r="B108" t="s">
        <v>32</v>
      </c>
      <c r="C108" t="s">
        <v>343</v>
      </c>
      <c r="D108" t="s">
        <v>344</v>
      </c>
      <c r="E108" t="s">
        <v>345</v>
      </c>
      <c r="F108" t="s">
        <v>30</v>
      </c>
      <c r="G108" t="s">
        <v>14</v>
      </c>
      <c r="H108" t="s">
        <v>346</v>
      </c>
    </row>
    <row r="109" spans="1:8" x14ac:dyDescent="0.25">
      <c r="A109" t="s">
        <v>8</v>
      </c>
      <c r="B109" t="s">
        <v>9</v>
      </c>
      <c r="C109" t="s">
        <v>347</v>
      </c>
      <c r="D109" t="s">
        <v>348</v>
      </c>
      <c r="E109" t="s">
        <v>12</v>
      </c>
      <c r="F109" t="s">
        <v>30</v>
      </c>
      <c r="G109" t="s">
        <v>14</v>
      </c>
      <c r="H109" t="s">
        <v>349</v>
      </c>
    </row>
    <row r="110" spans="1:8" x14ac:dyDescent="0.25">
      <c r="A110" t="s">
        <v>8</v>
      </c>
      <c r="B110" t="s">
        <v>100</v>
      </c>
      <c r="C110" t="s">
        <v>350</v>
      </c>
      <c r="D110" t="s">
        <v>351</v>
      </c>
      <c r="E110" t="s">
        <v>67</v>
      </c>
      <c r="F110" t="s">
        <v>19</v>
      </c>
      <c r="G110" t="s">
        <v>67</v>
      </c>
      <c r="H110" t="s">
        <v>352</v>
      </c>
    </row>
    <row r="111" spans="1:8" x14ac:dyDescent="0.25">
      <c r="A111" t="s">
        <v>8</v>
      </c>
      <c r="B111" t="s">
        <v>91</v>
      </c>
      <c r="C111" t="s">
        <v>353</v>
      </c>
      <c r="D111" t="s">
        <v>354</v>
      </c>
      <c r="E111" t="s">
        <v>45</v>
      </c>
      <c r="F111" t="s">
        <v>19</v>
      </c>
      <c r="G111" t="s">
        <v>14</v>
      </c>
      <c r="H111" t="s">
        <v>355</v>
      </c>
    </row>
    <row r="112" spans="1:8" x14ac:dyDescent="0.25">
      <c r="A112" t="s">
        <v>8</v>
      </c>
      <c r="B112" t="s">
        <v>16</v>
      </c>
      <c r="C112" t="s">
        <v>356</v>
      </c>
      <c r="D112" t="s">
        <v>357</v>
      </c>
      <c r="E112" t="s">
        <v>60</v>
      </c>
      <c r="F112" t="s">
        <v>13</v>
      </c>
      <c r="G112" t="s">
        <v>14</v>
      </c>
      <c r="H112" t="s">
        <v>358</v>
      </c>
    </row>
    <row r="113" spans="1:8" x14ac:dyDescent="0.25">
      <c r="A113" t="s">
        <v>8</v>
      </c>
      <c r="B113" t="s">
        <v>9</v>
      </c>
      <c r="C113" t="s">
        <v>359</v>
      </c>
      <c r="D113" t="s">
        <v>360</v>
      </c>
      <c r="E113" t="s">
        <v>35</v>
      </c>
      <c r="F113" t="s">
        <v>24</v>
      </c>
      <c r="G113" t="s">
        <v>14</v>
      </c>
      <c r="H113" t="s">
        <v>361</v>
      </c>
    </row>
    <row r="114" spans="1:8" x14ac:dyDescent="0.25">
      <c r="A114" t="s">
        <v>8</v>
      </c>
      <c r="B114" t="s">
        <v>73</v>
      </c>
      <c r="C114" t="s">
        <v>362</v>
      </c>
      <c r="D114" t="s">
        <v>363</v>
      </c>
      <c r="E114" t="s">
        <v>29</v>
      </c>
      <c r="F114" t="s">
        <v>97</v>
      </c>
      <c r="G114" t="s">
        <v>98</v>
      </c>
      <c r="H114" t="s">
        <v>364</v>
      </c>
    </row>
    <row r="115" spans="1:8" x14ac:dyDescent="0.25">
      <c r="A115" t="s">
        <v>8</v>
      </c>
      <c r="B115" t="s">
        <v>37</v>
      </c>
      <c r="C115" t="s">
        <v>365</v>
      </c>
      <c r="D115" t="s">
        <v>366</v>
      </c>
      <c r="E115" t="s">
        <v>35</v>
      </c>
      <c r="F115" t="s">
        <v>24</v>
      </c>
      <c r="G115" t="s">
        <v>14</v>
      </c>
      <c r="H115" t="s">
        <v>367</v>
      </c>
    </row>
    <row r="116" spans="1:8" x14ac:dyDescent="0.25">
      <c r="A116" t="s">
        <v>8</v>
      </c>
      <c r="B116" t="s">
        <v>100</v>
      </c>
      <c r="C116" t="s">
        <v>368</v>
      </c>
      <c r="D116" t="s">
        <v>369</v>
      </c>
      <c r="E116" t="s">
        <v>12</v>
      </c>
      <c r="F116" t="s">
        <v>13</v>
      </c>
      <c r="G116" t="s">
        <v>14</v>
      </c>
      <c r="H116" t="s">
        <v>370</v>
      </c>
    </row>
    <row r="117" spans="1:8" x14ac:dyDescent="0.25">
      <c r="A117" t="s">
        <v>8</v>
      </c>
      <c r="B117" t="s">
        <v>26</v>
      </c>
      <c r="C117" t="s">
        <v>371</v>
      </c>
      <c r="D117" t="s">
        <v>372</v>
      </c>
      <c r="E117" t="s">
        <v>23</v>
      </c>
      <c r="F117" t="s">
        <v>24</v>
      </c>
      <c r="G117" t="s">
        <v>14</v>
      </c>
      <c r="H117" t="s">
        <v>68</v>
      </c>
    </row>
    <row r="118" spans="1:8" x14ac:dyDescent="0.25">
      <c r="A118" t="s">
        <v>8</v>
      </c>
      <c r="B118" t="s">
        <v>91</v>
      </c>
      <c r="C118" t="s">
        <v>373</v>
      </c>
      <c r="D118" t="s">
        <v>374</v>
      </c>
      <c r="E118" t="s">
        <v>35</v>
      </c>
      <c r="F118" t="s">
        <v>19</v>
      </c>
      <c r="G118" t="s">
        <v>14</v>
      </c>
      <c r="H118" t="s">
        <v>375</v>
      </c>
    </row>
    <row r="119" spans="1:8" x14ac:dyDescent="0.25">
      <c r="A119" t="s">
        <v>8</v>
      </c>
      <c r="B119" t="s">
        <v>77</v>
      </c>
      <c r="C119" t="s">
        <v>376</v>
      </c>
      <c r="D119" t="s">
        <v>377</v>
      </c>
      <c r="E119" t="s">
        <v>29</v>
      </c>
      <c r="F119" t="s">
        <v>30</v>
      </c>
      <c r="G119" t="s">
        <v>14</v>
      </c>
      <c r="H119" t="s">
        <v>378</v>
      </c>
    </row>
    <row r="120" spans="1:8" x14ac:dyDescent="0.25">
      <c r="A120" t="s">
        <v>8</v>
      </c>
      <c r="B120" t="s">
        <v>42</v>
      </c>
      <c r="C120" t="s">
        <v>379</v>
      </c>
      <c r="D120" t="s">
        <v>380</v>
      </c>
      <c r="E120" t="s">
        <v>29</v>
      </c>
      <c r="F120" t="s">
        <v>51</v>
      </c>
      <c r="G120" t="s">
        <v>67</v>
      </c>
      <c r="H120" t="s">
        <v>375</v>
      </c>
    </row>
    <row r="121" spans="1:8" x14ac:dyDescent="0.25">
      <c r="A121" t="s">
        <v>8</v>
      </c>
      <c r="B121" t="s">
        <v>42</v>
      </c>
      <c r="C121" t="s">
        <v>381</v>
      </c>
      <c r="D121" t="s">
        <v>382</v>
      </c>
      <c r="E121" t="s">
        <v>172</v>
      </c>
      <c r="F121" t="s">
        <v>24</v>
      </c>
      <c r="G121" t="s">
        <v>14</v>
      </c>
      <c r="H121" t="s">
        <v>84</v>
      </c>
    </row>
    <row r="122" spans="1:8" x14ac:dyDescent="0.25">
      <c r="A122" t="s">
        <v>8</v>
      </c>
      <c r="B122" t="s">
        <v>113</v>
      </c>
      <c r="C122" t="s">
        <v>383</v>
      </c>
      <c r="D122" t="s">
        <v>384</v>
      </c>
      <c r="E122" t="s">
        <v>45</v>
      </c>
      <c r="F122" t="s">
        <v>24</v>
      </c>
      <c r="G122" t="s">
        <v>14</v>
      </c>
      <c r="H122" t="s">
        <v>94</v>
      </c>
    </row>
    <row r="123" spans="1:8" x14ac:dyDescent="0.25">
      <c r="A123" t="s">
        <v>8</v>
      </c>
      <c r="B123" t="s">
        <v>73</v>
      </c>
      <c r="C123" t="s">
        <v>385</v>
      </c>
      <c r="D123" t="s">
        <v>386</v>
      </c>
      <c r="E123" t="s">
        <v>50</v>
      </c>
      <c r="F123" t="s">
        <v>51</v>
      </c>
      <c r="G123" t="s">
        <v>14</v>
      </c>
      <c r="H123" t="s">
        <v>387</v>
      </c>
    </row>
    <row r="124" spans="1:8" x14ac:dyDescent="0.25">
      <c r="A124" t="s">
        <v>8</v>
      </c>
      <c r="B124" t="s">
        <v>32</v>
      </c>
      <c r="C124" t="s">
        <v>388</v>
      </c>
      <c r="D124" t="s">
        <v>389</v>
      </c>
      <c r="E124" t="s">
        <v>390</v>
      </c>
      <c r="F124" t="s">
        <v>51</v>
      </c>
      <c r="G124" t="s">
        <v>14</v>
      </c>
      <c r="H124" t="s">
        <v>391</v>
      </c>
    </row>
    <row r="125" spans="1:8" x14ac:dyDescent="0.25">
      <c r="A125" t="s">
        <v>8</v>
      </c>
      <c r="B125" t="s">
        <v>16</v>
      </c>
      <c r="C125" t="s">
        <v>392</v>
      </c>
      <c r="D125" t="s">
        <v>393</v>
      </c>
      <c r="E125" t="s">
        <v>29</v>
      </c>
      <c r="F125" t="s">
        <v>24</v>
      </c>
      <c r="G125" t="s">
        <v>14</v>
      </c>
      <c r="H125" t="s">
        <v>205</v>
      </c>
    </row>
    <row r="126" spans="1:8" x14ac:dyDescent="0.25">
      <c r="A126" t="s">
        <v>8</v>
      </c>
      <c r="B126" t="s">
        <v>16</v>
      </c>
      <c r="C126" t="s">
        <v>394</v>
      </c>
      <c r="D126" t="s">
        <v>395</v>
      </c>
      <c r="E126" t="s">
        <v>40</v>
      </c>
      <c r="F126" t="s">
        <v>80</v>
      </c>
      <c r="G126" t="s">
        <v>14</v>
      </c>
      <c r="H126" t="s">
        <v>269</v>
      </c>
    </row>
    <row r="127" spans="1:8" x14ac:dyDescent="0.25">
      <c r="A127" t="s">
        <v>8</v>
      </c>
      <c r="B127" t="s">
        <v>100</v>
      </c>
      <c r="C127" t="s">
        <v>396</v>
      </c>
      <c r="D127" t="s">
        <v>397</v>
      </c>
      <c r="E127" t="s">
        <v>172</v>
      </c>
      <c r="F127" t="s">
        <v>24</v>
      </c>
      <c r="G127" t="s">
        <v>14</v>
      </c>
      <c r="H127" t="s">
        <v>84</v>
      </c>
    </row>
    <row r="128" spans="1:8" x14ac:dyDescent="0.25">
      <c r="A128" t="s">
        <v>8</v>
      </c>
      <c r="B128" t="s">
        <v>37</v>
      </c>
      <c r="C128" t="s">
        <v>398</v>
      </c>
      <c r="D128" t="s">
        <v>399</v>
      </c>
      <c r="E128" t="s">
        <v>276</v>
      </c>
      <c r="F128" t="s">
        <v>51</v>
      </c>
      <c r="G128" t="s">
        <v>14</v>
      </c>
      <c r="H128" t="s">
        <v>400</v>
      </c>
    </row>
    <row r="129" spans="1:8" x14ac:dyDescent="0.25">
      <c r="A129" t="s">
        <v>8</v>
      </c>
      <c r="B129" t="s">
        <v>26</v>
      </c>
      <c r="C129" t="s">
        <v>401</v>
      </c>
      <c r="D129" t="s">
        <v>402</v>
      </c>
      <c r="E129" t="s">
        <v>12</v>
      </c>
      <c r="F129" t="s">
        <v>13</v>
      </c>
      <c r="G129" t="s">
        <v>14</v>
      </c>
      <c r="H129" t="s">
        <v>140</v>
      </c>
    </row>
    <row r="130" spans="1:8" x14ac:dyDescent="0.25">
      <c r="A130" t="s">
        <v>8</v>
      </c>
      <c r="B130" t="s">
        <v>42</v>
      </c>
      <c r="C130" t="s">
        <v>403</v>
      </c>
      <c r="D130" t="s">
        <v>404</v>
      </c>
      <c r="E130" t="s">
        <v>276</v>
      </c>
      <c r="F130" t="s">
        <v>51</v>
      </c>
      <c r="G130" t="s">
        <v>14</v>
      </c>
      <c r="H130" t="s">
        <v>405</v>
      </c>
    </row>
    <row r="131" spans="1:8" x14ac:dyDescent="0.25">
      <c r="A131" t="s">
        <v>8</v>
      </c>
      <c r="B131" t="s">
        <v>100</v>
      </c>
      <c r="C131" t="s">
        <v>406</v>
      </c>
      <c r="D131" t="s">
        <v>407</v>
      </c>
      <c r="E131" t="s">
        <v>172</v>
      </c>
      <c r="F131" t="s">
        <v>30</v>
      </c>
      <c r="G131" t="s">
        <v>14</v>
      </c>
      <c r="H131" t="s">
        <v>408</v>
      </c>
    </row>
    <row r="132" spans="1:8" x14ac:dyDescent="0.25">
      <c r="A132" t="s">
        <v>8</v>
      </c>
      <c r="B132" t="s">
        <v>9</v>
      </c>
      <c r="C132" t="s">
        <v>409</v>
      </c>
      <c r="D132" t="s">
        <v>410</v>
      </c>
      <c r="E132" t="s">
        <v>67</v>
      </c>
      <c r="F132" t="s">
        <v>30</v>
      </c>
      <c r="G132" t="s">
        <v>67</v>
      </c>
      <c r="H132" t="s">
        <v>228</v>
      </c>
    </row>
    <row r="133" spans="1:8" x14ac:dyDescent="0.25">
      <c r="A133" t="s">
        <v>8</v>
      </c>
      <c r="B133" t="s">
        <v>42</v>
      </c>
      <c r="C133" t="s">
        <v>411</v>
      </c>
      <c r="D133" t="s">
        <v>412</v>
      </c>
      <c r="E133" t="s">
        <v>12</v>
      </c>
      <c r="F133" t="s">
        <v>13</v>
      </c>
      <c r="G133" t="s">
        <v>14</v>
      </c>
      <c r="H133" t="s">
        <v>413</v>
      </c>
    </row>
    <row r="134" spans="1:8" x14ac:dyDescent="0.25">
      <c r="A134" t="s">
        <v>8</v>
      </c>
      <c r="B134" t="s">
        <v>91</v>
      </c>
      <c r="C134" t="s">
        <v>414</v>
      </c>
      <c r="D134" t="s">
        <v>415</v>
      </c>
      <c r="E134" t="s">
        <v>29</v>
      </c>
      <c r="F134" t="s">
        <v>30</v>
      </c>
      <c r="G134" t="s">
        <v>14</v>
      </c>
      <c r="H134" t="s">
        <v>416</v>
      </c>
    </row>
    <row r="135" spans="1:8" x14ac:dyDescent="0.25">
      <c r="A135" t="s">
        <v>8</v>
      </c>
      <c r="B135" t="s">
        <v>77</v>
      </c>
      <c r="C135" t="s">
        <v>417</v>
      </c>
      <c r="D135" t="s">
        <v>418</v>
      </c>
      <c r="E135" t="s">
        <v>12</v>
      </c>
      <c r="F135" t="s">
        <v>13</v>
      </c>
      <c r="G135" t="s">
        <v>56</v>
      </c>
      <c r="H135" t="s">
        <v>64</v>
      </c>
    </row>
    <row r="136" spans="1:8" x14ac:dyDescent="0.25">
      <c r="A136" t="s">
        <v>8</v>
      </c>
      <c r="B136" t="s">
        <v>113</v>
      </c>
      <c r="C136" t="s">
        <v>419</v>
      </c>
      <c r="D136" t="s">
        <v>420</v>
      </c>
      <c r="E136" t="s">
        <v>67</v>
      </c>
      <c r="F136" t="s">
        <v>24</v>
      </c>
      <c r="G136" t="s">
        <v>67</v>
      </c>
      <c r="H136" t="s">
        <v>421</v>
      </c>
    </row>
    <row r="137" spans="1:8" x14ac:dyDescent="0.25">
      <c r="A137" t="s">
        <v>8</v>
      </c>
      <c r="B137" t="s">
        <v>73</v>
      </c>
      <c r="C137" t="s">
        <v>422</v>
      </c>
      <c r="D137" t="s">
        <v>423</v>
      </c>
      <c r="E137" t="s">
        <v>172</v>
      </c>
      <c r="F137" t="s">
        <v>30</v>
      </c>
      <c r="G137" t="s">
        <v>14</v>
      </c>
      <c r="H137" t="s">
        <v>282</v>
      </c>
    </row>
    <row r="138" spans="1:8" x14ac:dyDescent="0.25">
      <c r="A138" t="s">
        <v>8</v>
      </c>
      <c r="B138" t="s">
        <v>183</v>
      </c>
      <c r="C138" t="s">
        <v>424</v>
      </c>
      <c r="D138" t="s">
        <v>425</v>
      </c>
      <c r="E138" t="s">
        <v>29</v>
      </c>
      <c r="F138" t="s">
        <v>51</v>
      </c>
      <c r="G138" t="s">
        <v>67</v>
      </c>
      <c r="H138" t="s">
        <v>426</v>
      </c>
    </row>
    <row r="139" spans="1:8" x14ac:dyDescent="0.25">
      <c r="A139" t="s">
        <v>8</v>
      </c>
      <c r="B139" t="s">
        <v>77</v>
      </c>
      <c r="C139" t="s">
        <v>427</v>
      </c>
      <c r="D139" t="s">
        <v>428</v>
      </c>
      <c r="E139" t="s">
        <v>29</v>
      </c>
      <c r="F139" t="s">
        <v>30</v>
      </c>
      <c r="G139" t="s">
        <v>14</v>
      </c>
      <c r="H139" t="s">
        <v>429</v>
      </c>
    </row>
    <row r="140" spans="1:8" x14ac:dyDescent="0.25">
      <c r="A140" t="s">
        <v>8</v>
      </c>
      <c r="B140" t="s">
        <v>100</v>
      </c>
      <c r="C140" t="s">
        <v>430</v>
      </c>
      <c r="D140" t="s">
        <v>431</v>
      </c>
      <c r="E140" t="s">
        <v>432</v>
      </c>
      <c r="F140" t="s">
        <v>24</v>
      </c>
      <c r="G140" t="s">
        <v>14</v>
      </c>
      <c r="H140" t="s">
        <v>433</v>
      </c>
    </row>
    <row r="141" spans="1:8" x14ac:dyDescent="0.25">
      <c r="A141" t="s">
        <v>8</v>
      </c>
      <c r="B141" t="s">
        <v>77</v>
      </c>
      <c r="C141" t="s">
        <v>434</v>
      </c>
      <c r="D141" t="s">
        <v>435</v>
      </c>
      <c r="E141" t="s">
        <v>29</v>
      </c>
      <c r="F141" t="s">
        <v>51</v>
      </c>
      <c r="G141" t="s">
        <v>67</v>
      </c>
      <c r="H141" t="s">
        <v>122</v>
      </c>
    </row>
    <row r="142" spans="1:8" x14ac:dyDescent="0.25">
      <c r="A142" t="s">
        <v>8</v>
      </c>
      <c r="B142" t="s">
        <v>26</v>
      </c>
      <c r="C142" t="s">
        <v>436</v>
      </c>
      <c r="D142" t="s">
        <v>437</v>
      </c>
      <c r="E142" t="s">
        <v>29</v>
      </c>
      <c r="F142" t="s">
        <v>30</v>
      </c>
      <c r="G142" t="s">
        <v>14</v>
      </c>
      <c r="H142" t="s">
        <v>72</v>
      </c>
    </row>
    <row r="143" spans="1:8" x14ac:dyDescent="0.25">
      <c r="A143" t="s">
        <v>8</v>
      </c>
      <c r="B143" t="s">
        <v>32</v>
      </c>
      <c r="C143" t="s">
        <v>438</v>
      </c>
      <c r="D143" t="s">
        <v>439</v>
      </c>
      <c r="E143" t="s">
        <v>29</v>
      </c>
      <c r="F143" t="s">
        <v>51</v>
      </c>
      <c r="G143" t="s">
        <v>67</v>
      </c>
      <c r="H143" t="s">
        <v>440</v>
      </c>
    </row>
    <row r="144" spans="1:8" x14ac:dyDescent="0.25">
      <c r="A144" t="s">
        <v>8</v>
      </c>
      <c r="B144" t="s">
        <v>91</v>
      </c>
      <c r="C144" t="s">
        <v>441</v>
      </c>
      <c r="D144" t="s">
        <v>442</v>
      </c>
      <c r="E144" t="s">
        <v>116</v>
      </c>
      <c r="F144" t="s">
        <v>24</v>
      </c>
      <c r="G144" t="s">
        <v>14</v>
      </c>
      <c r="H144" t="s">
        <v>443</v>
      </c>
    </row>
    <row r="145" spans="1:8" x14ac:dyDescent="0.25">
      <c r="A145" t="s">
        <v>8</v>
      </c>
      <c r="B145" t="s">
        <v>37</v>
      </c>
      <c r="C145" t="s">
        <v>444</v>
      </c>
      <c r="D145" t="s">
        <v>445</v>
      </c>
      <c r="E145" t="s">
        <v>29</v>
      </c>
      <c r="F145" t="s">
        <v>24</v>
      </c>
      <c r="G145" t="s">
        <v>14</v>
      </c>
      <c r="H145" t="s">
        <v>446</v>
      </c>
    </row>
    <row r="146" spans="1:8" x14ac:dyDescent="0.25">
      <c r="A146" t="s">
        <v>8</v>
      </c>
      <c r="B146" t="s">
        <v>42</v>
      </c>
      <c r="C146" t="s">
        <v>447</v>
      </c>
      <c r="D146" t="s">
        <v>448</v>
      </c>
      <c r="E146" t="s">
        <v>29</v>
      </c>
      <c r="F146" t="s">
        <v>97</v>
      </c>
      <c r="G146" t="s">
        <v>98</v>
      </c>
      <c r="H146" t="s">
        <v>176</v>
      </c>
    </row>
    <row r="147" spans="1:8" x14ac:dyDescent="0.25">
      <c r="A147" t="s">
        <v>8</v>
      </c>
      <c r="B147" t="s">
        <v>100</v>
      </c>
      <c r="C147" t="s">
        <v>449</v>
      </c>
      <c r="D147" t="s">
        <v>450</v>
      </c>
      <c r="E147" t="s">
        <v>172</v>
      </c>
      <c r="F147" t="s">
        <v>30</v>
      </c>
      <c r="G147" t="s">
        <v>56</v>
      </c>
      <c r="H147" t="s">
        <v>296</v>
      </c>
    </row>
    <row r="148" spans="1:8" x14ac:dyDescent="0.25">
      <c r="A148" t="s">
        <v>8</v>
      </c>
      <c r="B148" t="s">
        <v>26</v>
      </c>
      <c r="C148" t="s">
        <v>451</v>
      </c>
      <c r="D148" t="s">
        <v>452</v>
      </c>
      <c r="E148" t="s">
        <v>29</v>
      </c>
      <c r="F148" t="s">
        <v>51</v>
      </c>
      <c r="G148" t="s">
        <v>67</v>
      </c>
      <c r="H148" t="s">
        <v>122</v>
      </c>
    </row>
    <row r="149" spans="1:8" x14ac:dyDescent="0.25">
      <c r="A149" t="s">
        <v>8</v>
      </c>
      <c r="B149" t="s">
        <v>32</v>
      </c>
      <c r="C149" t="s">
        <v>453</v>
      </c>
      <c r="D149" t="s">
        <v>454</v>
      </c>
      <c r="E149" t="s">
        <v>29</v>
      </c>
      <c r="F149" t="s">
        <v>51</v>
      </c>
      <c r="G149" t="s">
        <v>67</v>
      </c>
      <c r="H149" t="s">
        <v>455</v>
      </c>
    </row>
    <row r="150" spans="1:8" x14ac:dyDescent="0.25">
      <c r="A150" t="s">
        <v>8</v>
      </c>
      <c r="B150" t="s">
        <v>32</v>
      </c>
      <c r="C150" t="s">
        <v>456</v>
      </c>
      <c r="D150" t="s">
        <v>457</v>
      </c>
      <c r="E150" t="s">
        <v>29</v>
      </c>
      <c r="F150" t="s">
        <v>51</v>
      </c>
      <c r="G150" t="s">
        <v>67</v>
      </c>
      <c r="H150" t="s">
        <v>458</v>
      </c>
    </row>
    <row r="151" spans="1:8" x14ac:dyDescent="0.25">
      <c r="A151" t="s">
        <v>8</v>
      </c>
      <c r="B151" t="s">
        <v>100</v>
      </c>
      <c r="C151" t="s">
        <v>459</v>
      </c>
      <c r="D151" t="s">
        <v>460</v>
      </c>
      <c r="E151" t="s">
        <v>29</v>
      </c>
      <c r="F151" t="s">
        <v>51</v>
      </c>
      <c r="G151" t="s">
        <v>67</v>
      </c>
      <c r="H151" t="s">
        <v>352</v>
      </c>
    </row>
    <row r="152" spans="1:8" x14ac:dyDescent="0.25">
      <c r="A152" t="s">
        <v>8</v>
      </c>
      <c r="B152" t="s">
        <v>77</v>
      </c>
      <c r="C152" t="s">
        <v>461</v>
      </c>
      <c r="D152" t="s">
        <v>461</v>
      </c>
      <c r="E152" t="s">
        <v>40</v>
      </c>
      <c r="F152" t="s">
        <v>191</v>
      </c>
      <c r="G152" t="s">
        <v>63</v>
      </c>
      <c r="H152" t="s">
        <v>462</v>
      </c>
    </row>
    <row r="153" spans="1:8" x14ac:dyDescent="0.25">
      <c r="A153" t="s">
        <v>8</v>
      </c>
      <c r="B153" t="s">
        <v>42</v>
      </c>
      <c r="C153" t="s">
        <v>463</v>
      </c>
      <c r="D153" t="s">
        <v>463</v>
      </c>
      <c r="E153" t="s">
        <v>23</v>
      </c>
      <c r="F153" t="s">
        <v>24</v>
      </c>
      <c r="G153" t="s">
        <v>63</v>
      </c>
      <c r="H153" t="s">
        <v>464</v>
      </c>
    </row>
    <row r="154" spans="1:8" x14ac:dyDescent="0.25">
      <c r="A154" t="s">
        <v>8</v>
      </c>
      <c r="B154" t="s">
        <v>16</v>
      </c>
      <c r="C154" t="s">
        <v>465</v>
      </c>
      <c r="D154" t="s">
        <v>466</v>
      </c>
      <c r="E154" t="s">
        <v>467</v>
      </c>
      <c r="F154" t="s">
        <v>51</v>
      </c>
      <c r="G154" t="s">
        <v>14</v>
      </c>
      <c r="H154" t="s">
        <v>468</v>
      </c>
    </row>
    <row r="155" spans="1:8" x14ac:dyDescent="0.25">
      <c r="A155" t="s">
        <v>8</v>
      </c>
      <c r="B155" t="s">
        <v>26</v>
      </c>
      <c r="C155" t="s">
        <v>469</v>
      </c>
      <c r="D155" t="s">
        <v>470</v>
      </c>
      <c r="E155" t="s">
        <v>12</v>
      </c>
      <c r="F155" t="s">
        <v>19</v>
      </c>
      <c r="G155" t="s">
        <v>14</v>
      </c>
      <c r="H155" t="s">
        <v>471</v>
      </c>
    </row>
    <row r="156" spans="1:8" x14ac:dyDescent="0.25">
      <c r="A156" t="s">
        <v>8</v>
      </c>
      <c r="B156" t="s">
        <v>42</v>
      </c>
      <c r="C156" t="s">
        <v>472</v>
      </c>
      <c r="D156" t="s">
        <v>472</v>
      </c>
      <c r="E156" t="s">
        <v>45</v>
      </c>
      <c r="F156" t="s">
        <v>30</v>
      </c>
      <c r="G156" t="s">
        <v>63</v>
      </c>
      <c r="H156" t="s">
        <v>473</v>
      </c>
    </row>
    <row r="157" spans="1:8" x14ac:dyDescent="0.25">
      <c r="A157" t="s">
        <v>8</v>
      </c>
      <c r="B157" t="s">
        <v>91</v>
      </c>
      <c r="C157" t="s">
        <v>474</v>
      </c>
      <c r="D157" t="s">
        <v>475</v>
      </c>
      <c r="E157" t="s">
        <v>29</v>
      </c>
      <c r="F157" t="s">
        <v>30</v>
      </c>
      <c r="G157" t="s">
        <v>14</v>
      </c>
      <c r="H157" t="s">
        <v>476</v>
      </c>
    </row>
    <row r="158" spans="1:8" x14ac:dyDescent="0.25">
      <c r="A158" t="s">
        <v>8</v>
      </c>
      <c r="B158" t="s">
        <v>16</v>
      </c>
      <c r="C158" t="s">
        <v>477</v>
      </c>
      <c r="D158" t="s">
        <v>478</v>
      </c>
      <c r="E158" t="s">
        <v>467</v>
      </c>
      <c r="F158" t="s">
        <v>51</v>
      </c>
      <c r="G158" t="s">
        <v>14</v>
      </c>
      <c r="H158" t="s">
        <v>277</v>
      </c>
    </row>
    <row r="159" spans="1:8" x14ac:dyDescent="0.25">
      <c r="A159" t="s">
        <v>8</v>
      </c>
      <c r="B159" t="s">
        <v>37</v>
      </c>
      <c r="C159" t="s">
        <v>479</v>
      </c>
      <c r="D159" t="s">
        <v>480</v>
      </c>
      <c r="E159" t="s">
        <v>12</v>
      </c>
      <c r="F159" t="s">
        <v>19</v>
      </c>
      <c r="G159" t="s">
        <v>14</v>
      </c>
      <c r="H159" t="s">
        <v>481</v>
      </c>
    </row>
    <row r="160" spans="1:8" x14ac:dyDescent="0.25">
      <c r="A160" t="s">
        <v>8</v>
      </c>
      <c r="B160" t="s">
        <v>26</v>
      </c>
      <c r="C160" t="s">
        <v>482</v>
      </c>
      <c r="D160" t="s">
        <v>483</v>
      </c>
      <c r="E160" t="s">
        <v>23</v>
      </c>
      <c r="F160" t="s">
        <v>19</v>
      </c>
      <c r="G160" t="s">
        <v>14</v>
      </c>
      <c r="H160" t="s">
        <v>484</v>
      </c>
    </row>
    <row r="161" spans="1:8" x14ac:dyDescent="0.25">
      <c r="A161" t="s">
        <v>8</v>
      </c>
      <c r="B161" t="s">
        <v>91</v>
      </c>
      <c r="C161" t="s">
        <v>485</v>
      </c>
      <c r="D161" t="s">
        <v>486</v>
      </c>
      <c r="E161" t="s">
        <v>12</v>
      </c>
      <c r="F161" t="s">
        <v>30</v>
      </c>
      <c r="G161" t="s">
        <v>14</v>
      </c>
      <c r="H161" t="s">
        <v>487</v>
      </c>
    </row>
    <row r="162" spans="1:8" x14ac:dyDescent="0.25">
      <c r="A162" t="s">
        <v>8</v>
      </c>
      <c r="B162" t="s">
        <v>37</v>
      </c>
      <c r="C162" t="s">
        <v>488</v>
      </c>
      <c r="D162" t="s">
        <v>488</v>
      </c>
      <c r="E162" t="s">
        <v>29</v>
      </c>
      <c r="F162" t="s">
        <v>30</v>
      </c>
      <c r="G162" t="s">
        <v>63</v>
      </c>
      <c r="H162" t="s">
        <v>312</v>
      </c>
    </row>
    <row r="163" spans="1:8" x14ac:dyDescent="0.25">
      <c r="A163" t="s">
        <v>8</v>
      </c>
      <c r="B163" t="s">
        <v>113</v>
      </c>
      <c r="C163" t="s">
        <v>489</v>
      </c>
      <c r="D163" t="s">
        <v>490</v>
      </c>
      <c r="E163" t="s">
        <v>60</v>
      </c>
      <c r="F163" t="s">
        <v>71</v>
      </c>
      <c r="G163" t="s">
        <v>14</v>
      </c>
      <c r="H163" t="s">
        <v>140</v>
      </c>
    </row>
    <row r="164" spans="1:8" x14ac:dyDescent="0.25">
      <c r="A164" t="s">
        <v>8</v>
      </c>
      <c r="B164" t="s">
        <v>73</v>
      </c>
      <c r="C164" t="s">
        <v>491</v>
      </c>
      <c r="D164" t="s">
        <v>491</v>
      </c>
      <c r="E164" t="s">
        <v>12</v>
      </c>
      <c r="F164" t="s">
        <v>13</v>
      </c>
      <c r="G164" t="s">
        <v>63</v>
      </c>
      <c r="H164" t="s">
        <v>492</v>
      </c>
    </row>
    <row r="165" spans="1:8" x14ac:dyDescent="0.25">
      <c r="A165" t="s">
        <v>8</v>
      </c>
      <c r="B165" t="s">
        <v>32</v>
      </c>
      <c r="C165" t="s">
        <v>493</v>
      </c>
      <c r="D165" t="s">
        <v>494</v>
      </c>
      <c r="E165" t="s">
        <v>29</v>
      </c>
      <c r="F165" t="s">
        <v>51</v>
      </c>
      <c r="G165" t="s">
        <v>67</v>
      </c>
      <c r="H165" t="s">
        <v>122</v>
      </c>
    </row>
    <row r="166" spans="1:8" x14ac:dyDescent="0.25">
      <c r="A166" t="s">
        <v>8</v>
      </c>
      <c r="B166" t="s">
        <v>16</v>
      </c>
      <c r="C166" t="s">
        <v>495</v>
      </c>
      <c r="D166" t="s">
        <v>496</v>
      </c>
      <c r="E166" t="s">
        <v>40</v>
      </c>
      <c r="F166" t="s">
        <v>19</v>
      </c>
      <c r="G166" t="s">
        <v>14</v>
      </c>
      <c r="H166" t="s">
        <v>497</v>
      </c>
    </row>
    <row r="167" spans="1:8" x14ac:dyDescent="0.25">
      <c r="A167" t="s">
        <v>8</v>
      </c>
      <c r="B167" t="s">
        <v>91</v>
      </c>
      <c r="C167" t="s">
        <v>498</v>
      </c>
      <c r="D167" t="s">
        <v>499</v>
      </c>
      <c r="E167" t="s">
        <v>172</v>
      </c>
      <c r="F167" t="s">
        <v>30</v>
      </c>
      <c r="G167" t="s">
        <v>14</v>
      </c>
      <c r="H167" t="s">
        <v>36</v>
      </c>
    </row>
    <row r="168" spans="1:8" x14ac:dyDescent="0.25">
      <c r="A168" t="s">
        <v>8</v>
      </c>
      <c r="B168" t="s">
        <v>26</v>
      </c>
      <c r="C168" t="s">
        <v>500</v>
      </c>
      <c r="D168" t="s">
        <v>501</v>
      </c>
      <c r="E168" t="s">
        <v>12</v>
      </c>
      <c r="F168" t="s">
        <v>13</v>
      </c>
      <c r="G168" t="s">
        <v>14</v>
      </c>
      <c r="H168" t="s">
        <v>502</v>
      </c>
    </row>
    <row r="169" spans="1:8" x14ac:dyDescent="0.25">
      <c r="A169" t="s">
        <v>8</v>
      </c>
      <c r="B169" t="s">
        <v>91</v>
      </c>
      <c r="C169" t="s">
        <v>503</v>
      </c>
      <c r="D169" t="s">
        <v>504</v>
      </c>
      <c r="E169" t="s">
        <v>505</v>
      </c>
      <c r="F169" t="s">
        <v>51</v>
      </c>
      <c r="G169" t="s">
        <v>14</v>
      </c>
      <c r="H169" t="s">
        <v>506</v>
      </c>
    </row>
    <row r="170" spans="1:8" x14ac:dyDescent="0.25">
      <c r="A170" t="s">
        <v>8</v>
      </c>
      <c r="B170" t="s">
        <v>183</v>
      </c>
      <c r="C170" t="s">
        <v>507</v>
      </c>
      <c r="D170" t="s">
        <v>508</v>
      </c>
      <c r="E170" t="s">
        <v>29</v>
      </c>
      <c r="F170" t="s">
        <v>24</v>
      </c>
      <c r="G170" t="s">
        <v>14</v>
      </c>
      <c r="H170" t="s">
        <v>509</v>
      </c>
    </row>
    <row r="171" spans="1:8" x14ac:dyDescent="0.25">
      <c r="A171" t="s">
        <v>8</v>
      </c>
      <c r="B171" t="s">
        <v>26</v>
      </c>
      <c r="C171" t="s">
        <v>510</v>
      </c>
      <c r="D171" t="s">
        <v>511</v>
      </c>
      <c r="E171" t="s">
        <v>29</v>
      </c>
      <c r="F171" t="s">
        <v>24</v>
      </c>
      <c r="G171" t="s">
        <v>14</v>
      </c>
      <c r="H171" t="s">
        <v>205</v>
      </c>
    </row>
    <row r="172" spans="1:8" x14ac:dyDescent="0.25">
      <c r="A172" t="s">
        <v>8</v>
      </c>
      <c r="B172" t="s">
        <v>9</v>
      </c>
      <c r="C172" t="s">
        <v>512</v>
      </c>
      <c r="D172" t="s">
        <v>512</v>
      </c>
      <c r="E172" t="s">
        <v>40</v>
      </c>
      <c r="F172" t="s">
        <v>191</v>
      </c>
      <c r="G172" t="s">
        <v>63</v>
      </c>
      <c r="H172" t="s">
        <v>513</v>
      </c>
    </row>
    <row r="173" spans="1:8" x14ac:dyDescent="0.25">
      <c r="A173" t="s">
        <v>8</v>
      </c>
      <c r="B173" t="s">
        <v>42</v>
      </c>
      <c r="C173" t="s">
        <v>514</v>
      </c>
      <c r="D173" t="s">
        <v>515</v>
      </c>
      <c r="E173" t="s">
        <v>29</v>
      </c>
      <c r="F173" t="s">
        <v>51</v>
      </c>
      <c r="G173" t="s">
        <v>67</v>
      </c>
      <c r="H173" t="s">
        <v>516</v>
      </c>
    </row>
    <row r="174" spans="1:8" x14ac:dyDescent="0.25">
      <c r="A174" t="s">
        <v>8</v>
      </c>
      <c r="B174" t="s">
        <v>100</v>
      </c>
      <c r="C174" t="s">
        <v>517</v>
      </c>
      <c r="D174" t="s">
        <v>518</v>
      </c>
      <c r="E174" t="s">
        <v>67</v>
      </c>
      <c r="F174" t="s">
        <v>19</v>
      </c>
      <c r="G174" t="s">
        <v>67</v>
      </c>
      <c r="H174" t="s">
        <v>519</v>
      </c>
    </row>
    <row r="175" spans="1:8" x14ac:dyDescent="0.25">
      <c r="A175" t="s">
        <v>8</v>
      </c>
      <c r="B175" t="s">
        <v>91</v>
      </c>
      <c r="C175" t="s">
        <v>520</v>
      </c>
      <c r="D175" t="s">
        <v>521</v>
      </c>
      <c r="E175" t="s">
        <v>29</v>
      </c>
      <c r="F175" t="s">
        <v>51</v>
      </c>
      <c r="G175" t="s">
        <v>67</v>
      </c>
      <c r="H175" t="s">
        <v>122</v>
      </c>
    </row>
    <row r="176" spans="1:8" x14ac:dyDescent="0.25">
      <c r="A176" t="s">
        <v>8</v>
      </c>
      <c r="B176" t="s">
        <v>91</v>
      </c>
      <c r="C176" t="s">
        <v>522</v>
      </c>
      <c r="D176" t="s">
        <v>523</v>
      </c>
      <c r="E176" t="s">
        <v>116</v>
      </c>
      <c r="F176" t="s">
        <v>30</v>
      </c>
      <c r="G176" t="s">
        <v>14</v>
      </c>
      <c r="H176" t="s">
        <v>416</v>
      </c>
    </row>
    <row r="177" spans="1:8" x14ac:dyDescent="0.25">
      <c r="A177" t="s">
        <v>8</v>
      </c>
      <c r="B177" t="s">
        <v>91</v>
      </c>
      <c r="C177" t="s">
        <v>524</v>
      </c>
      <c r="D177" t="s">
        <v>525</v>
      </c>
      <c r="E177" t="s">
        <v>40</v>
      </c>
      <c r="F177" t="s">
        <v>80</v>
      </c>
      <c r="G177" t="s">
        <v>14</v>
      </c>
      <c r="H177" t="s">
        <v>526</v>
      </c>
    </row>
    <row r="178" spans="1:8" x14ac:dyDescent="0.25">
      <c r="A178" t="s">
        <v>8</v>
      </c>
      <c r="B178" t="s">
        <v>77</v>
      </c>
      <c r="C178" t="s">
        <v>527</v>
      </c>
      <c r="D178" t="s">
        <v>528</v>
      </c>
      <c r="E178" t="s">
        <v>529</v>
      </c>
      <c r="F178" t="s">
        <v>51</v>
      </c>
      <c r="G178" t="s">
        <v>14</v>
      </c>
      <c r="H178" t="s">
        <v>530</v>
      </c>
    </row>
    <row r="179" spans="1:8" x14ac:dyDescent="0.25">
      <c r="A179" t="s">
        <v>8</v>
      </c>
      <c r="B179" t="s">
        <v>73</v>
      </c>
      <c r="C179" t="s">
        <v>531</v>
      </c>
      <c r="D179" t="s">
        <v>532</v>
      </c>
      <c r="E179" t="s">
        <v>45</v>
      </c>
      <c r="F179" t="s">
        <v>71</v>
      </c>
      <c r="G179" t="s">
        <v>14</v>
      </c>
      <c r="H179" t="s">
        <v>533</v>
      </c>
    </row>
    <row r="180" spans="1:8" x14ac:dyDescent="0.25">
      <c r="A180" t="s">
        <v>8</v>
      </c>
      <c r="B180" t="s">
        <v>37</v>
      </c>
      <c r="C180" t="s">
        <v>534</v>
      </c>
      <c r="D180" t="s">
        <v>535</v>
      </c>
      <c r="E180" t="s">
        <v>50</v>
      </c>
      <c r="F180" t="s">
        <v>24</v>
      </c>
      <c r="G180" t="s">
        <v>14</v>
      </c>
      <c r="H180" t="s">
        <v>536</v>
      </c>
    </row>
    <row r="181" spans="1:8" x14ac:dyDescent="0.25">
      <c r="A181" t="s">
        <v>8</v>
      </c>
      <c r="B181" t="s">
        <v>32</v>
      </c>
      <c r="C181" t="s">
        <v>537</v>
      </c>
      <c r="D181" t="s">
        <v>538</v>
      </c>
      <c r="E181" t="s">
        <v>12</v>
      </c>
      <c r="F181" t="s">
        <v>13</v>
      </c>
      <c r="G181" t="s">
        <v>14</v>
      </c>
      <c r="H181" t="s">
        <v>539</v>
      </c>
    </row>
    <row r="182" spans="1:8" x14ac:dyDescent="0.25">
      <c r="A182" t="s">
        <v>8</v>
      </c>
      <c r="B182" t="s">
        <v>91</v>
      </c>
      <c r="C182" t="s">
        <v>540</v>
      </c>
      <c r="D182" t="s">
        <v>540</v>
      </c>
      <c r="E182" t="s">
        <v>12</v>
      </c>
      <c r="F182" t="s">
        <v>13</v>
      </c>
      <c r="G182" t="s">
        <v>63</v>
      </c>
      <c r="H182" t="s">
        <v>541</v>
      </c>
    </row>
    <row r="183" spans="1:8" x14ac:dyDescent="0.25">
      <c r="A183" t="s">
        <v>8</v>
      </c>
      <c r="B183" t="s">
        <v>26</v>
      </c>
      <c r="C183" t="s">
        <v>542</v>
      </c>
      <c r="D183" t="s">
        <v>543</v>
      </c>
      <c r="E183" t="s">
        <v>29</v>
      </c>
      <c r="F183" t="s">
        <v>30</v>
      </c>
      <c r="G183" t="s">
        <v>14</v>
      </c>
      <c r="H183" t="s">
        <v>544</v>
      </c>
    </row>
    <row r="184" spans="1:8" x14ac:dyDescent="0.25">
      <c r="A184" t="s">
        <v>8</v>
      </c>
      <c r="B184" t="s">
        <v>91</v>
      </c>
      <c r="C184" t="s">
        <v>545</v>
      </c>
      <c r="D184" t="s">
        <v>546</v>
      </c>
      <c r="E184" t="s">
        <v>67</v>
      </c>
      <c r="F184" t="s">
        <v>30</v>
      </c>
      <c r="G184" t="s">
        <v>67</v>
      </c>
      <c r="H184" t="s">
        <v>131</v>
      </c>
    </row>
    <row r="185" spans="1:8" x14ac:dyDescent="0.25">
      <c r="A185" t="s">
        <v>8</v>
      </c>
      <c r="B185" t="s">
        <v>26</v>
      </c>
      <c r="C185" t="s">
        <v>547</v>
      </c>
      <c r="D185" t="s">
        <v>548</v>
      </c>
      <c r="E185" t="s">
        <v>172</v>
      </c>
      <c r="F185" t="s">
        <v>24</v>
      </c>
      <c r="G185" t="s">
        <v>14</v>
      </c>
      <c r="H185" t="s">
        <v>549</v>
      </c>
    </row>
    <row r="186" spans="1:8" x14ac:dyDescent="0.25">
      <c r="A186" t="s">
        <v>8</v>
      </c>
      <c r="B186" t="s">
        <v>37</v>
      </c>
      <c r="C186" t="s">
        <v>550</v>
      </c>
      <c r="D186" t="s">
        <v>551</v>
      </c>
      <c r="E186" t="s">
        <v>40</v>
      </c>
      <c r="F186" t="s">
        <v>80</v>
      </c>
      <c r="G186" t="s">
        <v>14</v>
      </c>
      <c r="H186" t="s">
        <v>552</v>
      </c>
    </row>
    <row r="187" spans="1:8" x14ac:dyDescent="0.25">
      <c r="A187" t="s">
        <v>8</v>
      </c>
      <c r="B187" t="s">
        <v>100</v>
      </c>
      <c r="C187" t="s">
        <v>553</v>
      </c>
      <c r="D187" t="s">
        <v>554</v>
      </c>
      <c r="E187" t="s">
        <v>555</v>
      </c>
      <c r="F187" t="s">
        <v>556</v>
      </c>
      <c r="G187" t="s">
        <v>56</v>
      </c>
      <c r="H187" t="s">
        <v>557</v>
      </c>
    </row>
    <row r="188" spans="1:8" x14ac:dyDescent="0.25">
      <c r="A188" t="s">
        <v>8</v>
      </c>
      <c r="B188" t="s">
        <v>26</v>
      </c>
      <c r="C188" t="s">
        <v>558</v>
      </c>
      <c r="D188" t="s">
        <v>558</v>
      </c>
      <c r="E188" t="s">
        <v>12</v>
      </c>
      <c r="F188" t="s">
        <v>13</v>
      </c>
      <c r="G188" t="s">
        <v>63</v>
      </c>
      <c r="H188" t="s">
        <v>333</v>
      </c>
    </row>
    <row r="189" spans="1:8" x14ac:dyDescent="0.25">
      <c r="A189" t="s">
        <v>8</v>
      </c>
      <c r="B189" t="s">
        <v>37</v>
      </c>
      <c r="C189" t="s">
        <v>559</v>
      </c>
      <c r="D189" t="s">
        <v>560</v>
      </c>
      <c r="E189" t="s">
        <v>40</v>
      </c>
      <c r="F189" t="s">
        <v>51</v>
      </c>
      <c r="G189" t="s">
        <v>14</v>
      </c>
      <c r="H189" t="s">
        <v>561</v>
      </c>
    </row>
    <row r="190" spans="1:8" x14ac:dyDescent="0.25">
      <c r="A190" t="s">
        <v>8</v>
      </c>
      <c r="B190" t="s">
        <v>77</v>
      </c>
      <c r="C190" t="s">
        <v>562</v>
      </c>
      <c r="D190" t="s">
        <v>563</v>
      </c>
      <c r="E190" t="s">
        <v>172</v>
      </c>
      <c r="F190" t="s">
        <v>51</v>
      </c>
      <c r="G190" t="s">
        <v>14</v>
      </c>
      <c r="H190" t="s">
        <v>122</v>
      </c>
    </row>
    <row r="191" spans="1:8" x14ac:dyDescent="0.25">
      <c r="A191" t="s">
        <v>8</v>
      </c>
      <c r="B191" t="s">
        <v>91</v>
      </c>
      <c r="C191" t="s">
        <v>564</v>
      </c>
      <c r="D191" t="s">
        <v>565</v>
      </c>
      <c r="E191" t="s">
        <v>29</v>
      </c>
      <c r="F191" t="s">
        <v>51</v>
      </c>
      <c r="G191" t="s">
        <v>67</v>
      </c>
      <c r="H191" t="s">
        <v>57</v>
      </c>
    </row>
    <row r="192" spans="1:8" x14ac:dyDescent="0.25">
      <c r="A192" t="s">
        <v>8</v>
      </c>
      <c r="B192" t="s">
        <v>73</v>
      </c>
      <c r="C192" t="s">
        <v>566</v>
      </c>
      <c r="D192" t="s">
        <v>567</v>
      </c>
      <c r="E192" t="s">
        <v>12</v>
      </c>
      <c r="F192" t="s">
        <v>19</v>
      </c>
      <c r="G192" t="s">
        <v>14</v>
      </c>
      <c r="H192" t="s">
        <v>526</v>
      </c>
    </row>
    <row r="193" spans="1:8" x14ac:dyDescent="0.25">
      <c r="A193" t="s">
        <v>8</v>
      </c>
      <c r="B193" t="s">
        <v>91</v>
      </c>
      <c r="C193" t="s">
        <v>568</v>
      </c>
      <c r="D193" t="s">
        <v>569</v>
      </c>
      <c r="E193" t="s">
        <v>29</v>
      </c>
      <c r="F193" t="s">
        <v>51</v>
      </c>
      <c r="G193" t="s">
        <v>67</v>
      </c>
      <c r="H193" t="s">
        <v>570</v>
      </c>
    </row>
    <row r="194" spans="1:8" x14ac:dyDescent="0.25">
      <c r="A194" t="s">
        <v>8</v>
      </c>
      <c r="B194" t="s">
        <v>32</v>
      </c>
      <c r="C194" t="s">
        <v>571</v>
      </c>
      <c r="D194" t="s">
        <v>572</v>
      </c>
      <c r="E194" t="s">
        <v>23</v>
      </c>
      <c r="F194" t="s">
        <v>30</v>
      </c>
      <c r="G194" t="s">
        <v>14</v>
      </c>
      <c r="H194" t="s">
        <v>573</v>
      </c>
    </row>
    <row r="195" spans="1:8" x14ac:dyDescent="0.25">
      <c r="A195" t="s">
        <v>8</v>
      </c>
      <c r="B195" t="s">
        <v>26</v>
      </c>
      <c r="C195" t="s">
        <v>574</v>
      </c>
      <c r="D195" t="s">
        <v>575</v>
      </c>
      <c r="E195" t="s">
        <v>29</v>
      </c>
      <c r="F195" t="s">
        <v>30</v>
      </c>
      <c r="G195" t="s">
        <v>14</v>
      </c>
      <c r="H195" t="s">
        <v>576</v>
      </c>
    </row>
    <row r="196" spans="1:8" x14ac:dyDescent="0.25">
      <c r="A196" t="s">
        <v>8</v>
      </c>
      <c r="B196" t="s">
        <v>9</v>
      </c>
      <c r="C196" t="s">
        <v>577</v>
      </c>
      <c r="D196" t="s">
        <v>578</v>
      </c>
      <c r="E196" t="s">
        <v>40</v>
      </c>
      <c r="F196" t="s">
        <v>51</v>
      </c>
      <c r="G196" t="s">
        <v>14</v>
      </c>
      <c r="H196" t="s">
        <v>579</v>
      </c>
    </row>
    <row r="197" spans="1:8" x14ac:dyDescent="0.25">
      <c r="A197" t="s">
        <v>8</v>
      </c>
      <c r="B197" t="s">
        <v>9</v>
      </c>
      <c r="C197" t="s">
        <v>580</v>
      </c>
      <c r="D197" t="s">
        <v>581</v>
      </c>
      <c r="E197" t="s">
        <v>29</v>
      </c>
      <c r="F197" t="s">
        <v>30</v>
      </c>
      <c r="G197" t="s">
        <v>14</v>
      </c>
      <c r="H197" t="s">
        <v>582</v>
      </c>
    </row>
    <row r="198" spans="1:8" x14ac:dyDescent="0.25">
      <c r="A198" t="s">
        <v>8</v>
      </c>
      <c r="B198" t="s">
        <v>73</v>
      </c>
      <c r="C198" t="s">
        <v>583</v>
      </c>
      <c r="D198" t="s">
        <v>584</v>
      </c>
      <c r="E198" t="s">
        <v>23</v>
      </c>
      <c r="F198" t="s">
        <v>30</v>
      </c>
      <c r="G198" t="s">
        <v>14</v>
      </c>
      <c r="H198" t="s">
        <v>375</v>
      </c>
    </row>
    <row r="199" spans="1:8" x14ac:dyDescent="0.25">
      <c r="A199" t="s">
        <v>8</v>
      </c>
      <c r="B199" t="s">
        <v>91</v>
      </c>
      <c r="C199" t="s">
        <v>585</v>
      </c>
      <c r="D199" t="s">
        <v>586</v>
      </c>
      <c r="E199" t="s">
        <v>67</v>
      </c>
      <c r="F199" t="s">
        <v>24</v>
      </c>
      <c r="G199" t="s">
        <v>67</v>
      </c>
      <c r="H199" t="s">
        <v>587</v>
      </c>
    </row>
    <row r="200" spans="1:8" x14ac:dyDescent="0.25">
      <c r="A200" t="s">
        <v>8</v>
      </c>
      <c r="B200" t="s">
        <v>73</v>
      </c>
      <c r="C200" t="s">
        <v>588</v>
      </c>
      <c r="D200" t="s">
        <v>589</v>
      </c>
      <c r="E200" t="s">
        <v>29</v>
      </c>
      <c r="F200" t="s">
        <v>19</v>
      </c>
      <c r="G200" t="s">
        <v>14</v>
      </c>
      <c r="H200" t="s">
        <v>530</v>
      </c>
    </row>
    <row r="201" spans="1:8" x14ac:dyDescent="0.25">
      <c r="A201" t="s">
        <v>8</v>
      </c>
      <c r="B201" t="s">
        <v>100</v>
      </c>
      <c r="C201" t="s">
        <v>590</v>
      </c>
      <c r="D201" t="s">
        <v>590</v>
      </c>
      <c r="E201" t="s">
        <v>35</v>
      </c>
      <c r="F201" t="s">
        <v>24</v>
      </c>
      <c r="G201" t="s">
        <v>63</v>
      </c>
      <c r="H201" t="s">
        <v>333</v>
      </c>
    </row>
    <row r="202" spans="1:8" x14ac:dyDescent="0.25">
      <c r="A202" t="s">
        <v>8</v>
      </c>
      <c r="B202" t="s">
        <v>37</v>
      </c>
      <c r="C202" t="s">
        <v>591</v>
      </c>
      <c r="D202" t="s">
        <v>591</v>
      </c>
      <c r="E202" t="s">
        <v>40</v>
      </c>
      <c r="F202" t="s">
        <v>191</v>
      </c>
      <c r="G202" t="s">
        <v>63</v>
      </c>
      <c r="H202" t="s">
        <v>592</v>
      </c>
    </row>
    <row r="203" spans="1:8" x14ac:dyDescent="0.25">
      <c r="A203" t="s">
        <v>8</v>
      </c>
      <c r="B203" t="s">
        <v>42</v>
      </c>
      <c r="C203" t="s">
        <v>593</v>
      </c>
      <c r="D203" t="s">
        <v>594</v>
      </c>
      <c r="E203" t="s">
        <v>12</v>
      </c>
      <c r="F203" t="s">
        <v>30</v>
      </c>
      <c r="G203" t="s">
        <v>14</v>
      </c>
      <c r="H203" t="s">
        <v>595</v>
      </c>
    </row>
    <row r="204" spans="1:8" x14ac:dyDescent="0.25">
      <c r="A204" t="s">
        <v>8</v>
      </c>
      <c r="B204" t="s">
        <v>91</v>
      </c>
      <c r="C204" t="s">
        <v>596</v>
      </c>
      <c r="D204" t="s">
        <v>597</v>
      </c>
      <c r="E204" t="s">
        <v>172</v>
      </c>
      <c r="F204" t="s">
        <v>30</v>
      </c>
      <c r="G204" t="s">
        <v>14</v>
      </c>
      <c r="H204" t="s">
        <v>375</v>
      </c>
    </row>
    <row r="205" spans="1:8" x14ac:dyDescent="0.25">
      <c r="A205" t="s">
        <v>8</v>
      </c>
      <c r="B205" t="s">
        <v>42</v>
      </c>
      <c r="C205" t="s">
        <v>598</v>
      </c>
      <c r="D205" t="s">
        <v>599</v>
      </c>
      <c r="E205" t="s">
        <v>29</v>
      </c>
      <c r="F205" t="s">
        <v>51</v>
      </c>
      <c r="G205" t="s">
        <v>67</v>
      </c>
      <c r="H205" t="s">
        <v>440</v>
      </c>
    </row>
    <row r="206" spans="1:8" x14ac:dyDescent="0.25">
      <c r="A206" t="s">
        <v>8</v>
      </c>
      <c r="B206" t="s">
        <v>183</v>
      </c>
      <c r="C206" t="s">
        <v>600</v>
      </c>
      <c r="D206" t="s">
        <v>601</v>
      </c>
      <c r="E206" t="s">
        <v>29</v>
      </c>
      <c r="F206" t="s">
        <v>24</v>
      </c>
      <c r="G206" t="s">
        <v>14</v>
      </c>
      <c r="H206" t="s">
        <v>405</v>
      </c>
    </row>
    <row r="207" spans="1:8" x14ac:dyDescent="0.25">
      <c r="A207" t="s">
        <v>8</v>
      </c>
      <c r="B207" t="s">
        <v>100</v>
      </c>
      <c r="C207" t="s">
        <v>602</v>
      </c>
      <c r="D207" t="s">
        <v>603</v>
      </c>
      <c r="E207" t="s">
        <v>12</v>
      </c>
      <c r="F207" t="s">
        <v>30</v>
      </c>
      <c r="G207" t="s">
        <v>14</v>
      </c>
      <c r="H207" t="s">
        <v>604</v>
      </c>
    </row>
    <row r="208" spans="1:8" x14ac:dyDescent="0.25">
      <c r="A208" t="s">
        <v>8</v>
      </c>
      <c r="B208" t="s">
        <v>26</v>
      </c>
      <c r="C208" t="s">
        <v>605</v>
      </c>
      <c r="D208" t="s">
        <v>606</v>
      </c>
      <c r="E208" t="s">
        <v>116</v>
      </c>
      <c r="F208" t="s">
        <v>30</v>
      </c>
      <c r="G208" t="s">
        <v>14</v>
      </c>
      <c r="H208" t="s">
        <v>502</v>
      </c>
    </row>
    <row r="209" spans="1:8" x14ac:dyDescent="0.25">
      <c r="A209" t="s">
        <v>8</v>
      </c>
      <c r="B209" t="s">
        <v>32</v>
      </c>
      <c r="C209" t="s">
        <v>607</v>
      </c>
      <c r="D209" t="s">
        <v>608</v>
      </c>
      <c r="E209" t="s">
        <v>12</v>
      </c>
      <c r="F209" t="s">
        <v>13</v>
      </c>
      <c r="G209" t="s">
        <v>14</v>
      </c>
      <c r="H209" t="s">
        <v>609</v>
      </c>
    </row>
    <row r="210" spans="1:8" x14ac:dyDescent="0.25">
      <c r="A210" t="s">
        <v>8</v>
      </c>
      <c r="B210" t="s">
        <v>113</v>
      </c>
      <c r="C210" t="s">
        <v>610</v>
      </c>
      <c r="D210" t="s">
        <v>610</v>
      </c>
      <c r="E210" t="s">
        <v>29</v>
      </c>
      <c r="F210" t="s">
        <v>30</v>
      </c>
      <c r="G210" t="s">
        <v>63</v>
      </c>
      <c r="H210" t="s">
        <v>611</v>
      </c>
    </row>
    <row r="211" spans="1:8" x14ac:dyDescent="0.25">
      <c r="A211" t="s">
        <v>8</v>
      </c>
      <c r="B211" t="s">
        <v>37</v>
      </c>
      <c r="C211" t="s">
        <v>612</v>
      </c>
      <c r="D211" t="s">
        <v>613</v>
      </c>
      <c r="E211" t="s">
        <v>172</v>
      </c>
      <c r="F211" t="s">
        <v>30</v>
      </c>
      <c r="G211" t="s">
        <v>14</v>
      </c>
      <c r="H211" t="s">
        <v>549</v>
      </c>
    </row>
    <row r="212" spans="1:8" x14ac:dyDescent="0.25">
      <c r="A212" t="s">
        <v>8</v>
      </c>
      <c r="B212" t="s">
        <v>42</v>
      </c>
      <c r="C212" t="s">
        <v>614</v>
      </c>
      <c r="D212" t="s">
        <v>615</v>
      </c>
      <c r="E212" t="s">
        <v>67</v>
      </c>
      <c r="F212" t="s">
        <v>24</v>
      </c>
      <c r="G212" t="s">
        <v>67</v>
      </c>
      <c r="H212" t="s">
        <v>611</v>
      </c>
    </row>
    <row r="213" spans="1:8" x14ac:dyDescent="0.25">
      <c r="A213" t="s">
        <v>8</v>
      </c>
      <c r="B213" t="s">
        <v>9</v>
      </c>
      <c r="C213" t="s">
        <v>616</v>
      </c>
      <c r="D213" t="s">
        <v>617</v>
      </c>
      <c r="E213" t="s">
        <v>12</v>
      </c>
      <c r="F213" t="s">
        <v>30</v>
      </c>
      <c r="G213" t="s">
        <v>14</v>
      </c>
      <c r="H213" t="s">
        <v>618</v>
      </c>
    </row>
    <row r="214" spans="1:8" x14ac:dyDescent="0.25">
      <c r="A214" t="s">
        <v>8</v>
      </c>
      <c r="B214" t="s">
        <v>100</v>
      </c>
      <c r="C214" t="s">
        <v>619</v>
      </c>
      <c r="D214" t="s">
        <v>619</v>
      </c>
      <c r="E214" t="s">
        <v>172</v>
      </c>
      <c r="F214" t="s">
        <v>30</v>
      </c>
      <c r="G214" t="s">
        <v>63</v>
      </c>
      <c r="H214" t="s">
        <v>620</v>
      </c>
    </row>
    <row r="215" spans="1:8" x14ac:dyDescent="0.25">
      <c r="A215" t="s">
        <v>8</v>
      </c>
      <c r="B215" t="s">
        <v>9</v>
      </c>
      <c r="C215" t="s">
        <v>621</v>
      </c>
      <c r="D215" t="s">
        <v>622</v>
      </c>
      <c r="E215" t="s">
        <v>623</v>
      </c>
      <c r="F215" t="s">
        <v>24</v>
      </c>
      <c r="G215" t="s">
        <v>14</v>
      </c>
      <c r="H215" t="s">
        <v>484</v>
      </c>
    </row>
    <row r="216" spans="1:8" x14ac:dyDescent="0.25">
      <c r="A216" t="s">
        <v>8</v>
      </c>
      <c r="B216" t="s">
        <v>32</v>
      </c>
      <c r="C216" t="s">
        <v>624</v>
      </c>
      <c r="D216" t="s">
        <v>625</v>
      </c>
      <c r="E216" t="s">
        <v>12</v>
      </c>
      <c r="F216" t="s">
        <v>13</v>
      </c>
      <c r="G216" t="s">
        <v>14</v>
      </c>
      <c r="H216" t="s">
        <v>626</v>
      </c>
    </row>
    <row r="217" spans="1:8" x14ac:dyDescent="0.25">
      <c r="A217" t="s">
        <v>8</v>
      </c>
      <c r="B217" t="s">
        <v>91</v>
      </c>
      <c r="C217" t="s">
        <v>627</v>
      </c>
      <c r="D217" t="s">
        <v>628</v>
      </c>
      <c r="E217" t="s">
        <v>116</v>
      </c>
      <c r="F217" t="s">
        <v>30</v>
      </c>
      <c r="G217" t="s">
        <v>14</v>
      </c>
      <c r="H217" t="s">
        <v>629</v>
      </c>
    </row>
    <row r="218" spans="1:8" x14ac:dyDescent="0.25">
      <c r="A218" t="s">
        <v>8</v>
      </c>
      <c r="B218" t="s">
        <v>42</v>
      </c>
      <c r="C218" t="s">
        <v>630</v>
      </c>
      <c r="D218" t="s">
        <v>631</v>
      </c>
      <c r="E218" t="s">
        <v>67</v>
      </c>
      <c r="F218" t="s">
        <v>19</v>
      </c>
      <c r="G218" t="s">
        <v>67</v>
      </c>
      <c r="H218" t="s">
        <v>632</v>
      </c>
    </row>
    <row r="219" spans="1:8" x14ac:dyDescent="0.25">
      <c r="A219" t="s">
        <v>8</v>
      </c>
      <c r="B219" t="s">
        <v>9</v>
      </c>
      <c r="C219" t="s">
        <v>633</v>
      </c>
      <c r="D219" t="s">
        <v>634</v>
      </c>
      <c r="E219" t="s">
        <v>635</v>
      </c>
      <c r="F219" t="s">
        <v>51</v>
      </c>
      <c r="G219" t="s">
        <v>14</v>
      </c>
      <c r="H219" t="s">
        <v>636</v>
      </c>
    </row>
    <row r="220" spans="1:8" x14ac:dyDescent="0.25">
      <c r="A220" t="s">
        <v>8</v>
      </c>
      <c r="B220" t="s">
        <v>32</v>
      </c>
      <c r="C220" t="s">
        <v>637</v>
      </c>
      <c r="D220" t="s">
        <v>638</v>
      </c>
      <c r="E220" t="s">
        <v>29</v>
      </c>
      <c r="F220" t="s">
        <v>30</v>
      </c>
      <c r="G220" t="s">
        <v>14</v>
      </c>
      <c r="H220" t="s">
        <v>20</v>
      </c>
    </row>
    <row r="221" spans="1:8" x14ac:dyDescent="0.25">
      <c r="A221" t="s">
        <v>8</v>
      </c>
      <c r="B221" t="s">
        <v>37</v>
      </c>
      <c r="C221" t="s">
        <v>639</v>
      </c>
      <c r="D221" t="s">
        <v>640</v>
      </c>
      <c r="E221" t="s">
        <v>641</v>
      </c>
      <c r="F221" t="s">
        <v>19</v>
      </c>
      <c r="G221" t="s">
        <v>14</v>
      </c>
      <c r="H221" t="s">
        <v>642</v>
      </c>
    </row>
    <row r="222" spans="1:8" x14ac:dyDescent="0.25">
      <c r="A222" t="s">
        <v>8</v>
      </c>
      <c r="B222" t="s">
        <v>32</v>
      </c>
      <c r="C222" t="s">
        <v>643</v>
      </c>
      <c r="D222" t="s">
        <v>644</v>
      </c>
      <c r="E222" t="s">
        <v>29</v>
      </c>
      <c r="F222" t="s">
        <v>51</v>
      </c>
      <c r="G222" t="s">
        <v>67</v>
      </c>
      <c r="H222" t="s">
        <v>645</v>
      </c>
    </row>
    <row r="223" spans="1:8" x14ac:dyDescent="0.25">
      <c r="A223" t="s">
        <v>8</v>
      </c>
      <c r="B223" t="s">
        <v>26</v>
      </c>
      <c r="C223" t="s">
        <v>646</v>
      </c>
      <c r="D223" t="s">
        <v>646</v>
      </c>
      <c r="E223" t="s">
        <v>23</v>
      </c>
      <c r="F223" t="s">
        <v>24</v>
      </c>
      <c r="G223" t="s">
        <v>63</v>
      </c>
      <c r="H223" t="s">
        <v>378</v>
      </c>
    </row>
    <row r="224" spans="1:8" x14ac:dyDescent="0.25">
      <c r="A224" t="s">
        <v>8</v>
      </c>
      <c r="B224" t="s">
        <v>9</v>
      </c>
      <c r="C224" t="s">
        <v>647</v>
      </c>
      <c r="D224" t="s">
        <v>647</v>
      </c>
      <c r="E224" t="s">
        <v>12</v>
      </c>
      <c r="F224" t="s">
        <v>13</v>
      </c>
      <c r="G224" t="s">
        <v>63</v>
      </c>
      <c r="H224" t="s">
        <v>160</v>
      </c>
    </row>
    <row r="225" spans="1:8" x14ac:dyDescent="0.25">
      <c r="A225" t="s">
        <v>8</v>
      </c>
      <c r="B225" t="s">
        <v>9</v>
      </c>
      <c r="C225" t="s">
        <v>648</v>
      </c>
      <c r="D225" t="s">
        <v>649</v>
      </c>
      <c r="E225" t="s">
        <v>23</v>
      </c>
      <c r="F225" t="s">
        <v>30</v>
      </c>
      <c r="G225" t="s">
        <v>14</v>
      </c>
      <c r="H225" t="s">
        <v>282</v>
      </c>
    </row>
    <row r="226" spans="1:8" x14ac:dyDescent="0.25">
      <c r="A226" t="s">
        <v>8</v>
      </c>
      <c r="B226" t="s">
        <v>37</v>
      </c>
      <c r="C226" t="s">
        <v>650</v>
      </c>
      <c r="D226" t="s">
        <v>651</v>
      </c>
      <c r="E226" t="s">
        <v>328</v>
      </c>
      <c r="F226" t="s">
        <v>51</v>
      </c>
      <c r="G226" t="s">
        <v>14</v>
      </c>
      <c r="H226" t="s">
        <v>652</v>
      </c>
    </row>
    <row r="227" spans="1:8" x14ac:dyDescent="0.25">
      <c r="A227" t="s">
        <v>8</v>
      </c>
      <c r="B227" t="s">
        <v>113</v>
      </c>
      <c r="C227" t="s">
        <v>653</v>
      </c>
      <c r="D227" t="s">
        <v>653</v>
      </c>
      <c r="E227" t="s">
        <v>45</v>
      </c>
      <c r="F227" t="s">
        <v>30</v>
      </c>
      <c r="G227" t="s">
        <v>63</v>
      </c>
      <c r="H227" t="s">
        <v>654</v>
      </c>
    </row>
    <row r="228" spans="1:8" x14ac:dyDescent="0.25">
      <c r="A228" t="s">
        <v>8</v>
      </c>
      <c r="B228" t="s">
        <v>16</v>
      </c>
      <c r="C228" t="s">
        <v>655</v>
      </c>
      <c r="D228" t="s">
        <v>656</v>
      </c>
      <c r="E228" t="s">
        <v>529</v>
      </c>
      <c r="F228" t="s">
        <v>51</v>
      </c>
      <c r="G228" t="s">
        <v>14</v>
      </c>
      <c r="H228" t="s">
        <v>657</v>
      </c>
    </row>
    <row r="229" spans="1:8" x14ac:dyDescent="0.25">
      <c r="A229" t="s">
        <v>8</v>
      </c>
      <c r="B229" t="s">
        <v>26</v>
      </c>
      <c r="C229" t="s">
        <v>658</v>
      </c>
      <c r="D229" t="s">
        <v>659</v>
      </c>
      <c r="E229" t="s">
        <v>40</v>
      </c>
      <c r="F229" t="s">
        <v>51</v>
      </c>
      <c r="G229" t="s">
        <v>14</v>
      </c>
      <c r="H229" t="s">
        <v>654</v>
      </c>
    </row>
    <row r="230" spans="1:8" x14ac:dyDescent="0.25">
      <c r="A230" t="s">
        <v>8</v>
      </c>
      <c r="B230" t="s">
        <v>113</v>
      </c>
      <c r="C230" t="s">
        <v>660</v>
      </c>
      <c r="D230" t="s">
        <v>661</v>
      </c>
      <c r="E230" t="s">
        <v>45</v>
      </c>
      <c r="F230" t="s">
        <v>24</v>
      </c>
      <c r="G230" t="s">
        <v>14</v>
      </c>
      <c r="H230" t="s">
        <v>342</v>
      </c>
    </row>
    <row r="231" spans="1:8" x14ac:dyDescent="0.25">
      <c r="A231" t="s">
        <v>8</v>
      </c>
      <c r="B231" t="s">
        <v>42</v>
      </c>
      <c r="C231" t="s">
        <v>662</v>
      </c>
      <c r="D231" t="s">
        <v>663</v>
      </c>
      <c r="E231" t="s">
        <v>40</v>
      </c>
      <c r="F231" t="s">
        <v>80</v>
      </c>
      <c r="G231" t="s">
        <v>14</v>
      </c>
      <c r="H231" t="s">
        <v>312</v>
      </c>
    </row>
    <row r="232" spans="1:8" x14ac:dyDescent="0.25">
      <c r="A232" t="s">
        <v>8</v>
      </c>
      <c r="B232" t="s">
        <v>42</v>
      </c>
      <c r="C232" t="s">
        <v>664</v>
      </c>
      <c r="D232" t="s">
        <v>665</v>
      </c>
      <c r="E232" t="s">
        <v>12</v>
      </c>
      <c r="F232" t="s">
        <v>30</v>
      </c>
      <c r="G232" t="s">
        <v>14</v>
      </c>
      <c r="H232" t="s">
        <v>666</v>
      </c>
    </row>
    <row r="233" spans="1:8" x14ac:dyDescent="0.25">
      <c r="A233" t="s">
        <v>8</v>
      </c>
      <c r="B233" t="s">
        <v>77</v>
      </c>
      <c r="C233" t="s">
        <v>667</v>
      </c>
      <c r="D233" t="s">
        <v>668</v>
      </c>
      <c r="E233" t="s">
        <v>12</v>
      </c>
      <c r="F233" t="s">
        <v>13</v>
      </c>
      <c r="G233" t="s">
        <v>14</v>
      </c>
      <c r="H233" t="s">
        <v>669</v>
      </c>
    </row>
    <row r="234" spans="1:8" x14ac:dyDescent="0.25">
      <c r="A234" t="s">
        <v>8</v>
      </c>
      <c r="B234" t="s">
        <v>26</v>
      </c>
      <c r="C234" t="s">
        <v>670</v>
      </c>
      <c r="D234" t="s">
        <v>671</v>
      </c>
      <c r="E234" t="s">
        <v>23</v>
      </c>
      <c r="F234" t="s">
        <v>24</v>
      </c>
      <c r="G234" t="s">
        <v>56</v>
      </c>
      <c r="H234" t="s">
        <v>421</v>
      </c>
    </row>
    <row r="235" spans="1:8" x14ac:dyDescent="0.25">
      <c r="A235" t="s">
        <v>8</v>
      </c>
      <c r="B235" t="s">
        <v>73</v>
      </c>
      <c r="C235" t="s">
        <v>672</v>
      </c>
      <c r="D235" t="s">
        <v>673</v>
      </c>
      <c r="E235" t="s">
        <v>12</v>
      </c>
      <c r="F235" t="s">
        <v>13</v>
      </c>
      <c r="G235" t="s">
        <v>14</v>
      </c>
      <c r="H235" t="s">
        <v>674</v>
      </c>
    </row>
    <row r="236" spans="1:8" x14ac:dyDescent="0.25">
      <c r="A236" t="s">
        <v>8</v>
      </c>
      <c r="B236" t="s">
        <v>100</v>
      </c>
      <c r="C236" t="s">
        <v>675</v>
      </c>
      <c r="D236" t="s">
        <v>676</v>
      </c>
      <c r="E236" t="s">
        <v>23</v>
      </c>
      <c r="F236" t="s">
        <v>24</v>
      </c>
      <c r="G236" t="s">
        <v>14</v>
      </c>
      <c r="H236" t="s">
        <v>370</v>
      </c>
    </row>
    <row r="237" spans="1:8" x14ac:dyDescent="0.25">
      <c r="A237" t="s">
        <v>8</v>
      </c>
      <c r="B237" t="s">
        <v>16</v>
      </c>
      <c r="C237" t="s">
        <v>677</v>
      </c>
      <c r="D237" t="s">
        <v>678</v>
      </c>
      <c r="E237" t="s">
        <v>35</v>
      </c>
      <c r="F237" t="s">
        <v>30</v>
      </c>
      <c r="G237" t="s">
        <v>14</v>
      </c>
      <c r="H237" t="s">
        <v>679</v>
      </c>
    </row>
    <row r="238" spans="1:8" x14ac:dyDescent="0.25">
      <c r="A238" t="s">
        <v>8</v>
      </c>
      <c r="B238" t="s">
        <v>91</v>
      </c>
      <c r="C238" t="s">
        <v>680</v>
      </c>
      <c r="D238" t="s">
        <v>681</v>
      </c>
      <c r="E238" t="s">
        <v>67</v>
      </c>
      <c r="F238" t="s">
        <v>24</v>
      </c>
      <c r="G238" t="s">
        <v>67</v>
      </c>
      <c r="H238" t="s">
        <v>682</v>
      </c>
    </row>
    <row r="239" spans="1:8" x14ac:dyDescent="0.25">
      <c r="A239" t="s">
        <v>8</v>
      </c>
      <c r="B239" t="s">
        <v>91</v>
      </c>
      <c r="C239" t="s">
        <v>683</v>
      </c>
      <c r="D239" t="s">
        <v>684</v>
      </c>
      <c r="E239" t="s">
        <v>116</v>
      </c>
      <c r="F239" t="s">
        <v>24</v>
      </c>
      <c r="G239" t="s">
        <v>14</v>
      </c>
      <c r="H239" t="s">
        <v>685</v>
      </c>
    </row>
    <row r="240" spans="1:8" x14ac:dyDescent="0.25">
      <c r="A240" t="s">
        <v>8</v>
      </c>
      <c r="B240" t="s">
        <v>37</v>
      </c>
      <c r="C240" t="s">
        <v>686</v>
      </c>
      <c r="D240" t="s">
        <v>687</v>
      </c>
      <c r="E240" t="s">
        <v>40</v>
      </c>
      <c r="F240" t="s">
        <v>80</v>
      </c>
      <c r="G240" t="s">
        <v>14</v>
      </c>
      <c r="H240" t="s">
        <v>688</v>
      </c>
    </row>
    <row r="241" spans="1:8" x14ac:dyDescent="0.25">
      <c r="A241" t="s">
        <v>8</v>
      </c>
      <c r="B241" t="s">
        <v>77</v>
      </c>
      <c r="C241" t="s">
        <v>689</v>
      </c>
      <c r="D241" t="s">
        <v>690</v>
      </c>
      <c r="E241" t="s">
        <v>40</v>
      </c>
      <c r="F241" t="s">
        <v>80</v>
      </c>
      <c r="G241" t="s">
        <v>14</v>
      </c>
      <c r="H241" t="s">
        <v>691</v>
      </c>
    </row>
    <row r="242" spans="1:8" x14ac:dyDescent="0.25">
      <c r="A242" t="s">
        <v>8</v>
      </c>
      <c r="B242" t="s">
        <v>42</v>
      </c>
      <c r="C242" t="s">
        <v>692</v>
      </c>
      <c r="D242" t="s">
        <v>693</v>
      </c>
      <c r="E242" t="s">
        <v>29</v>
      </c>
      <c r="F242" t="s">
        <v>51</v>
      </c>
      <c r="G242" t="s">
        <v>67</v>
      </c>
      <c r="H242" t="s">
        <v>426</v>
      </c>
    </row>
    <row r="243" spans="1:8" x14ac:dyDescent="0.25">
      <c r="A243" t="s">
        <v>8</v>
      </c>
      <c r="B243" t="s">
        <v>32</v>
      </c>
      <c r="C243" t="s">
        <v>694</v>
      </c>
      <c r="D243" t="s">
        <v>695</v>
      </c>
      <c r="E243" t="s">
        <v>29</v>
      </c>
      <c r="F243" t="s">
        <v>51</v>
      </c>
      <c r="G243" t="s">
        <v>67</v>
      </c>
      <c r="H243" t="s">
        <v>342</v>
      </c>
    </row>
    <row r="244" spans="1:8" x14ac:dyDescent="0.25">
      <c r="A244" t="s">
        <v>8</v>
      </c>
      <c r="B244" t="s">
        <v>91</v>
      </c>
      <c r="C244" t="s">
        <v>696</v>
      </c>
      <c r="D244" t="s">
        <v>697</v>
      </c>
      <c r="E244" t="s">
        <v>29</v>
      </c>
      <c r="F244" t="s">
        <v>51</v>
      </c>
      <c r="G244" t="s">
        <v>67</v>
      </c>
      <c r="H244" t="s">
        <v>440</v>
      </c>
    </row>
    <row r="245" spans="1:8" x14ac:dyDescent="0.25">
      <c r="A245" t="s">
        <v>8</v>
      </c>
      <c r="B245" t="s">
        <v>100</v>
      </c>
      <c r="C245" t="s">
        <v>698</v>
      </c>
      <c r="D245" t="s">
        <v>699</v>
      </c>
      <c r="E245" t="s">
        <v>67</v>
      </c>
      <c r="F245" t="s">
        <v>30</v>
      </c>
      <c r="G245" t="s">
        <v>67</v>
      </c>
      <c r="H245" t="s">
        <v>173</v>
      </c>
    </row>
    <row r="246" spans="1:8" x14ac:dyDescent="0.25">
      <c r="A246" t="s">
        <v>8</v>
      </c>
      <c r="B246" t="s">
        <v>9</v>
      </c>
      <c r="C246" t="s">
        <v>700</v>
      </c>
      <c r="D246" t="s">
        <v>701</v>
      </c>
      <c r="E246" t="s">
        <v>702</v>
      </c>
      <c r="F246" t="s">
        <v>24</v>
      </c>
      <c r="G246" t="s">
        <v>14</v>
      </c>
      <c r="H246" t="s">
        <v>342</v>
      </c>
    </row>
    <row r="247" spans="1:8" x14ac:dyDescent="0.25">
      <c r="A247" t="s">
        <v>8</v>
      </c>
      <c r="B247" t="s">
        <v>37</v>
      </c>
      <c r="C247" t="s">
        <v>703</v>
      </c>
      <c r="D247" t="s">
        <v>704</v>
      </c>
      <c r="E247" t="s">
        <v>35</v>
      </c>
      <c r="F247" t="s">
        <v>24</v>
      </c>
      <c r="G247" t="s">
        <v>14</v>
      </c>
      <c r="H247" t="s">
        <v>705</v>
      </c>
    </row>
    <row r="248" spans="1:8" x14ac:dyDescent="0.25">
      <c r="A248" t="s">
        <v>8</v>
      </c>
      <c r="B248" t="s">
        <v>91</v>
      </c>
      <c r="C248" t="s">
        <v>706</v>
      </c>
      <c r="D248" t="s">
        <v>706</v>
      </c>
      <c r="E248" t="s">
        <v>23</v>
      </c>
      <c r="F248" t="s">
        <v>24</v>
      </c>
      <c r="G248" t="s">
        <v>63</v>
      </c>
      <c r="H248" t="s">
        <v>707</v>
      </c>
    </row>
    <row r="249" spans="1:8" x14ac:dyDescent="0.25">
      <c r="A249" t="s">
        <v>8</v>
      </c>
      <c r="B249" t="s">
        <v>100</v>
      </c>
      <c r="C249" t="s">
        <v>708</v>
      </c>
      <c r="D249" t="s">
        <v>709</v>
      </c>
      <c r="E249" t="s">
        <v>60</v>
      </c>
      <c r="F249" t="s">
        <v>13</v>
      </c>
      <c r="G249" t="s">
        <v>14</v>
      </c>
      <c r="H249" t="s">
        <v>710</v>
      </c>
    </row>
    <row r="250" spans="1:8" x14ac:dyDescent="0.25">
      <c r="A250" t="s">
        <v>8</v>
      </c>
      <c r="B250" t="s">
        <v>16</v>
      </c>
      <c r="C250" t="s">
        <v>711</v>
      </c>
      <c r="D250" t="s">
        <v>712</v>
      </c>
      <c r="E250" t="s">
        <v>40</v>
      </c>
      <c r="F250" t="s">
        <v>80</v>
      </c>
      <c r="G250" t="s">
        <v>14</v>
      </c>
      <c r="H250" t="s">
        <v>713</v>
      </c>
    </row>
    <row r="251" spans="1:8" x14ac:dyDescent="0.25">
      <c r="A251" t="s">
        <v>8</v>
      </c>
      <c r="B251" t="s">
        <v>9</v>
      </c>
      <c r="C251" t="s">
        <v>714</v>
      </c>
      <c r="D251" t="s">
        <v>715</v>
      </c>
      <c r="E251" t="s">
        <v>29</v>
      </c>
      <c r="F251" t="s">
        <v>19</v>
      </c>
      <c r="G251" t="s">
        <v>14</v>
      </c>
      <c r="H251" t="s">
        <v>509</v>
      </c>
    </row>
    <row r="252" spans="1:8" x14ac:dyDescent="0.25">
      <c r="A252" t="s">
        <v>8</v>
      </c>
      <c r="B252" t="s">
        <v>37</v>
      </c>
      <c r="C252" t="s">
        <v>716</v>
      </c>
      <c r="D252" t="s">
        <v>717</v>
      </c>
      <c r="E252" t="s">
        <v>45</v>
      </c>
      <c r="F252" t="s">
        <v>71</v>
      </c>
      <c r="G252" t="s">
        <v>14</v>
      </c>
      <c r="H252" t="s">
        <v>122</v>
      </c>
    </row>
    <row r="253" spans="1:8" x14ac:dyDescent="0.25">
      <c r="A253" t="s">
        <v>8</v>
      </c>
      <c r="B253" t="s">
        <v>9</v>
      </c>
      <c r="C253" t="s">
        <v>718</v>
      </c>
      <c r="D253" t="s">
        <v>719</v>
      </c>
      <c r="E253" t="s">
        <v>720</v>
      </c>
      <c r="F253" t="s">
        <v>19</v>
      </c>
      <c r="G253" t="s">
        <v>14</v>
      </c>
      <c r="H253" t="s">
        <v>205</v>
      </c>
    </row>
    <row r="254" spans="1:8" x14ac:dyDescent="0.25">
      <c r="A254" t="s">
        <v>8</v>
      </c>
      <c r="B254" t="s">
        <v>77</v>
      </c>
      <c r="C254" t="s">
        <v>721</v>
      </c>
      <c r="D254" t="s">
        <v>722</v>
      </c>
      <c r="E254" t="s">
        <v>45</v>
      </c>
      <c r="F254" t="s">
        <v>19</v>
      </c>
      <c r="G254" t="s">
        <v>14</v>
      </c>
      <c r="H254" t="s">
        <v>282</v>
      </c>
    </row>
    <row r="255" spans="1:8" x14ac:dyDescent="0.25">
      <c r="A255" t="s">
        <v>8</v>
      </c>
      <c r="B255" t="s">
        <v>77</v>
      </c>
      <c r="C255" t="s">
        <v>723</v>
      </c>
      <c r="D255" t="s">
        <v>724</v>
      </c>
      <c r="E255" t="s">
        <v>12</v>
      </c>
      <c r="F255" t="s">
        <v>13</v>
      </c>
      <c r="G255" t="s">
        <v>14</v>
      </c>
      <c r="H255" t="s">
        <v>446</v>
      </c>
    </row>
    <row r="256" spans="1:8" x14ac:dyDescent="0.25">
      <c r="A256" t="s">
        <v>8</v>
      </c>
      <c r="B256" t="s">
        <v>183</v>
      </c>
      <c r="C256" t="s">
        <v>725</v>
      </c>
      <c r="D256" t="s">
        <v>726</v>
      </c>
      <c r="E256" t="s">
        <v>12</v>
      </c>
      <c r="F256" t="s">
        <v>13</v>
      </c>
      <c r="G256" t="s">
        <v>14</v>
      </c>
      <c r="H256" t="s">
        <v>727</v>
      </c>
    </row>
    <row r="257" spans="1:8" x14ac:dyDescent="0.25">
      <c r="A257" t="s">
        <v>8</v>
      </c>
      <c r="B257" t="s">
        <v>123</v>
      </c>
      <c r="C257" t="s">
        <v>728</v>
      </c>
      <c r="D257" t="s">
        <v>729</v>
      </c>
      <c r="E257" t="s">
        <v>45</v>
      </c>
      <c r="F257" t="s">
        <v>30</v>
      </c>
      <c r="G257" t="s">
        <v>56</v>
      </c>
      <c r="H257" t="s">
        <v>228</v>
      </c>
    </row>
    <row r="258" spans="1:8" x14ac:dyDescent="0.25">
      <c r="A258" t="s">
        <v>8</v>
      </c>
      <c r="B258" t="s">
        <v>91</v>
      </c>
      <c r="C258" t="s">
        <v>730</v>
      </c>
      <c r="D258" t="s">
        <v>731</v>
      </c>
      <c r="E258" t="s">
        <v>45</v>
      </c>
      <c r="F258" t="s">
        <v>30</v>
      </c>
      <c r="G258" t="s">
        <v>14</v>
      </c>
      <c r="H258" t="s">
        <v>502</v>
      </c>
    </row>
    <row r="259" spans="1:8" x14ac:dyDescent="0.25">
      <c r="A259" t="s">
        <v>8</v>
      </c>
      <c r="B259" t="s">
        <v>9</v>
      </c>
      <c r="C259" t="s">
        <v>732</v>
      </c>
      <c r="D259" t="s">
        <v>733</v>
      </c>
      <c r="E259" t="s">
        <v>29</v>
      </c>
      <c r="F259" t="s">
        <v>30</v>
      </c>
      <c r="G259" t="s">
        <v>14</v>
      </c>
      <c r="H259" t="s">
        <v>205</v>
      </c>
    </row>
    <row r="260" spans="1:8" x14ac:dyDescent="0.25">
      <c r="A260" t="s">
        <v>8</v>
      </c>
      <c r="B260" t="s">
        <v>9</v>
      </c>
      <c r="C260" t="s">
        <v>734</v>
      </c>
      <c r="D260" t="s">
        <v>735</v>
      </c>
      <c r="E260" t="s">
        <v>29</v>
      </c>
      <c r="F260" t="s">
        <v>30</v>
      </c>
      <c r="G260" t="s">
        <v>14</v>
      </c>
      <c r="H260" t="s">
        <v>736</v>
      </c>
    </row>
    <row r="261" spans="1:8" x14ac:dyDescent="0.25">
      <c r="A261" t="s">
        <v>8</v>
      </c>
      <c r="B261" t="s">
        <v>183</v>
      </c>
      <c r="C261" t="s">
        <v>737</v>
      </c>
      <c r="D261" t="s">
        <v>738</v>
      </c>
      <c r="E261" t="s">
        <v>60</v>
      </c>
      <c r="F261" t="s">
        <v>13</v>
      </c>
      <c r="G261" t="s">
        <v>14</v>
      </c>
      <c r="H261" t="s">
        <v>739</v>
      </c>
    </row>
    <row r="262" spans="1:8" x14ac:dyDescent="0.25">
      <c r="A262" t="s">
        <v>8</v>
      </c>
      <c r="B262" t="s">
        <v>53</v>
      </c>
      <c r="C262" t="s">
        <v>740</v>
      </c>
      <c r="D262" t="s">
        <v>741</v>
      </c>
      <c r="E262" t="s">
        <v>35</v>
      </c>
      <c r="F262" t="s">
        <v>30</v>
      </c>
      <c r="G262" t="s">
        <v>14</v>
      </c>
      <c r="H262" t="s">
        <v>443</v>
      </c>
    </row>
    <row r="263" spans="1:8" x14ac:dyDescent="0.25">
      <c r="A263" t="s">
        <v>8</v>
      </c>
      <c r="B263" t="s">
        <v>91</v>
      </c>
      <c r="C263" t="s">
        <v>742</v>
      </c>
      <c r="D263" t="s">
        <v>743</v>
      </c>
      <c r="E263" t="s">
        <v>35</v>
      </c>
      <c r="F263" t="s">
        <v>30</v>
      </c>
      <c r="G263" t="s">
        <v>14</v>
      </c>
      <c r="H263" t="s">
        <v>710</v>
      </c>
    </row>
    <row r="264" spans="1:8" x14ac:dyDescent="0.25">
      <c r="A264" t="s">
        <v>8</v>
      </c>
      <c r="B264" t="s">
        <v>42</v>
      </c>
      <c r="C264" t="s">
        <v>744</v>
      </c>
      <c r="D264" t="s">
        <v>745</v>
      </c>
      <c r="E264" t="s">
        <v>12</v>
      </c>
      <c r="F264" t="s">
        <v>13</v>
      </c>
      <c r="G264" t="s">
        <v>14</v>
      </c>
      <c r="H264" t="s">
        <v>140</v>
      </c>
    </row>
    <row r="265" spans="1:8" x14ac:dyDescent="0.25">
      <c r="A265" t="s">
        <v>8</v>
      </c>
      <c r="B265" t="s">
        <v>42</v>
      </c>
      <c r="C265" t="s">
        <v>746</v>
      </c>
      <c r="D265" t="s">
        <v>747</v>
      </c>
      <c r="E265" t="s">
        <v>60</v>
      </c>
      <c r="F265" t="s">
        <v>13</v>
      </c>
      <c r="G265" t="s">
        <v>14</v>
      </c>
      <c r="H265" t="s">
        <v>748</v>
      </c>
    </row>
    <row r="266" spans="1:8" x14ac:dyDescent="0.25">
      <c r="A266" t="s">
        <v>8</v>
      </c>
      <c r="B266" t="s">
        <v>37</v>
      </c>
      <c r="C266" t="s">
        <v>749</v>
      </c>
      <c r="D266" t="s">
        <v>750</v>
      </c>
      <c r="E266" t="s">
        <v>172</v>
      </c>
      <c r="F266" t="s">
        <v>24</v>
      </c>
      <c r="G266" t="s">
        <v>14</v>
      </c>
      <c r="H266" t="s">
        <v>471</v>
      </c>
    </row>
    <row r="267" spans="1:8" x14ac:dyDescent="0.25">
      <c r="A267" t="s">
        <v>8</v>
      </c>
      <c r="B267" t="s">
        <v>91</v>
      </c>
      <c r="C267" t="s">
        <v>751</v>
      </c>
      <c r="D267" t="s">
        <v>752</v>
      </c>
      <c r="E267" t="s">
        <v>29</v>
      </c>
      <c r="F267" t="s">
        <v>97</v>
      </c>
      <c r="G267" t="s">
        <v>98</v>
      </c>
      <c r="H267" t="s">
        <v>176</v>
      </c>
    </row>
    <row r="268" spans="1:8" x14ac:dyDescent="0.25">
      <c r="A268" t="s">
        <v>8</v>
      </c>
      <c r="B268" t="s">
        <v>16</v>
      </c>
      <c r="C268" t="s">
        <v>753</v>
      </c>
      <c r="D268" t="s">
        <v>754</v>
      </c>
      <c r="E268" t="s">
        <v>641</v>
      </c>
      <c r="F268" t="s">
        <v>19</v>
      </c>
      <c r="G268" t="s">
        <v>14</v>
      </c>
      <c r="H268" t="s">
        <v>755</v>
      </c>
    </row>
    <row r="269" spans="1:8" x14ac:dyDescent="0.25">
      <c r="A269" t="s">
        <v>8</v>
      </c>
      <c r="B269" t="s">
        <v>91</v>
      </c>
      <c r="C269" t="s">
        <v>756</v>
      </c>
      <c r="D269" t="s">
        <v>757</v>
      </c>
      <c r="E269" t="s">
        <v>23</v>
      </c>
      <c r="F269" t="s">
        <v>24</v>
      </c>
      <c r="G269" t="s">
        <v>14</v>
      </c>
      <c r="H269" t="s">
        <v>758</v>
      </c>
    </row>
    <row r="270" spans="1:8" x14ac:dyDescent="0.25">
      <c r="A270" t="s">
        <v>8</v>
      </c>
      <c r="B270" t="s">
        <v>9</v>
      </c>
      <c r="C270" t="s">
        <v>759</v>
      </c>
      <c r="D270" t="s">
        <v>760</v>
      </c>
      <c r="E270" t="s">
        <v>116</v>
      </c>
      <c r="F270" t="s">
        <v>30</v>
      </c>
      <c r="G270" t="s">
        <v>14</v>
      </c>
      <c r="H270" t="s">
        <v>761</v>
      </c>
    </row>
    <row r="271" spans="1:8" x14ac:dyDescent="0.25">
      <c r="A271" t="s">
        <v>8</v>
      </c>
      <c r="B271" t="s">
        <v>42</v>
      </c>
      <c r="C271" t="s">
        <v>762</v>
      </c>
      <c r="D271" t="s">
        <v>763</v>
      </c>
      <c r="E271" t="s">
        <v>23</v>
      </c>
      <c r="F271" t="s">
        <v>30</v>
      </c>
      <c r="G271" t="s">
        <v>14</v>
      </c>
      <c r="H271" t="s">
        <v>764</v>
      </c>
    </row>
    <row r="272" spans="1:8" x14ac:dyDescent="0.25">
      <c r="A272" t="s">
        <v>8</v>
      </c>
      <c r="B272" t="s">
        <v>113</v>
      </c>
      <c r="C272" t="s">
        <v>765</v>
      </c>
      <c r="D272" t="s">
        <v>766</v>
      </c>
      <c r="E272" t="s">
        <v>35</v>
      </c>
      <c r="F272" t="s">
        <v>30</v>
      </c>
      <c r="G272" t="s">
        <v>14</v>
      </c>
      <c r="H272" t="s">
        <v>122</v>
      </c>
    </row>
    <row r="273" spans="1:8" x14ac:dyDescent="0.25">
      <c r="A273" t="s">
        <v>8</v>
      </c>
      <c r="B273" t="s">
        <v>100</v>
      </c>
      <c r="C273" t="s">
        <v>767</v>
      </c>
      <c r="D273" t="s">
        <v>768</v>
      </c>
      <c r="E273" t="s">
        <v>45</v>
      </c>
      <c r="F273" t="s">
        <v>30</v>
      </c>
      <c r="G273" t="s">
        <v>56</v>
      </c>
      <c r="H273" t="s">
        <v>769</v>
      </c>
    </row>
    <row r="274" spans="1:8" x14ac:dyDescent="0.25">
      <c r="A274" t="s">
        <v>8</v>
      </c>
      <c r="B274" t="s">
        <v>42</v>
      </c>
      <c r="C274" t="s">
        <v>770</v>
      </c>
      <c r="D274" t="s">
        <v>771</v>
      </c>
      <c r="E274" t="s">
        <v>772</v>
      </c>
      <c r="F274" t="s">
        <v>51</v>
      </c>
      <c r="G274" t="s">
        <v>14</v>
      </c>
      <c r="H274" t="s">
        <v>773</v>
      </c>
    </row>
    <row r="275" spans="1:8" x14ac:dyDescent="0.25">
      <c r="A275" t="s">
        <v>8</v>
      </c>
      <c r="B275" t="s">
        <v>26</v>
      </c>
      <c r="C275" t="s">
        <v>774</v>
      </c>
      <c r="D275" t="s">
        <v>775</v>
      </c>
      <c r="E275" t="s">
        <v>29</v>
      </c>
      <c r="F275" t="s">
        <v>30</v>
      </c>
      <c r="G275" t="s">
        <v>14</v>
      </c>
      <c r="H275" t="s">
        <v>544</v>
      </c>
    </row>
    <row r="276" spans="1:8" x14ac:dyDescent="0.25">
      <c r="A276" t="s">
        <v>8</v>
      </c>
      <c r="B276" t="s">
        <v>77</v>
      </c>
      <c r="C276" t="s">
        <v>776</v>
      </c>
      <c r="D276" t="s">
        <v>777</v>
      </c>
      <c r="E276" t="s">
        <v>35</v>
      </c>
      <c r="F276" t="s">
        <v>30</v>
      </c>
      <c r="G276" t="s">
        <v>14</v>
      </c>
      <c r="H276" t="s">
        <v>464</v>
      </c>
    </row>
    <row r="277" spans="1:8" x14ac:dyDescent="0.25">
      <c r="A277" t="s">
        <v>8</v>
      </c>
      <c r="B277" t="s">
        <v>37</v>
      </c>
      <c r="C277" t="s">
        <v>778</v>
      </c>
      <c r="D277" t="s">
        <v>779</v>
      </c>
      <c r="E277" t="s">
        <v>29</v>
      </c>
      <c r="F277" t="s">
        <v>24</v>
      </c>
      <c r="G277" t="s">
        <v>14</v>
      </c>
      <c r="H277" t="s">
        <v>780</v>
      </c>
    </row>
    <row r="278" spans="1:8" x14ac:dyDescent="0.25">
      <c r="A278" t="s">
        <v>8</v>
      </c>
      <c r="B278" t="s">
        <v>9</v>
      </c>
      <c r="C278" t="s">
        <v>781</v>
      </c>
      <c r="D278" t="s">
        <v>782</v>
      </c>
      <c r="E278" t="s">
        <v>23</v>
      </c>
      <c r="F278" t="s">
        <v>30</v>
      </c>
      <c r="G278" t="s">
        <v>14</v>
      </c>
      <c r="H278" t="s">
        <v>783</v>
      </c>
    </row>
    <row r="279" spans="1:8" x14ac:dyDescent="0.25">
      <c r="A279" t="s">
        <v>8</v>
      </c>
      <c r="B279" t="s">
        <v>42</v>
      </c>
      <c r="C279" t="s">
        <v>784</v>
      </c>
      <c r="D279" t="s">
        <v>785</v>
      </c>
      <c r="E279" t="s">
        <v>29</v>
      </c>
      <c r="F279" t="s">
        <v>51</v>
      </c>
      <c r="G279" t="s">
        <v>67</v>
      </c>
      <c r="H279" t="s">
        <v>57</v>
      </c>
    </row>
    <row r="280" spans="1:8" x14ac:dyDescent="0.25">
      <c r="A280" t="s">
        <v>8</v>
      </c>
      <c r="B280" t="s">
        <v>32</v>
      </c>
      <c r="C280" t="s">
        <v>786</v>
      </c>
      <c r="D280" t="s">
        <v>787</v>
      </c>
      <c r="E280" t="s">
        <v>67</v>
      </c>
      <c r="F280" t="s">
        <v>19</v>
      </c>
      <c r="G280" t="s">
        <v>67</v>
      </c>
      <c r="H280" t="s">
        <v>788</v>
      </c>
    </row>
    <row r="281" spans="1:8" x14ac:dyDescent="0.25">
      <c r="A281" t="s">
        <v>8</v>
      </c>
      <c r="B281" t="s">
        <v>37</v>
      </c>
      <c r="C281" t="s">
        <v>789</v>
      </c>
      <c r="D281" t="s">
        <v>790</v>
      </c>
      <c r="E281" t="s">
        <v>29</v>
      </c>
      <c r="F281" t="s">
        <v>19</v>
      </c>
      <c r="G281" t="s">
        <v>14</v>
      </c>
      <c r="H281" t="s">
        <v>367</v>
      </c>
    </row>
    <row r="282" spans="1:8" x14ac:dyDescent="0.25">
      <c r="A282" t="s">
        <v>8</v>
      </c>
      <c r="B282" t="s">
        <v>37</v>
      </c>
      <c r="C282" t="s">
        <v>791</v>
      </c>
      <c r="D282" t="s">
        <v>791</v>
      </c>
      <c r="E282" t="s">
        <v>29</v>
      </c>
      <c r="F282" t="s">
        <v>30</v>
      </c>
      <c r="G282" t="s">
        <v>63</v>
      </c>
      <c r="H282" t="s">
        <v>792</v>
      </c>
    </row>
    <row r="283" spans="1:8" x14ac:dyDescent="0.25">
      <c r="A283" t="s">
        <v>8</v>
      </c>
      <c r="B283" t="s">
        <v>42</v>
      </c>
      <c r="C283" t="s">
        <v>793</v>
      </c>
      <c r="D283" t="s">
        <v>794</v>
      </c>
      <c r="E283" t="s">
        <v>23</v>
      </c>
      <c r="F283" t="s">
        <v>19</v>
      </c>
      <c r="G283" t="s">
        <v>14</v>
      </c>
      <c r="H283" t="s">
        <v>506</v>
      </c>
    </row>
    <row r="284" spans="1:8" x14ac:dyDescent="0.25">
      <c r="A284" t="s">
        <v>8</v>
      </c>
      <c r="B284" t="s">
        <v>113</v>
      </c>
      <c r="C284" t="s">
        <v>795</v>
      </c>
      <c r="D284" t="s">
        <v>796</v>
      </c>
      <c r="E284" t="s">
        <v>67</v>
      </c>
      <c r="F284" t="s">
        <v>24</v>
      </c>
      <c r="G284" t="s">
        <v>67</v>
      </c>
      <c r="H284" t="s">
        <v>223</v>
      </c>
    </row>
    <row r="285" spans="1:8" x14ac:dyDescent="0.25">
      <c r="A285" t="s">
        <v>8</v>
      </c>
      <c r="B285" t="s">
        <v>42</v>
      </c>
      <c r="C285" t="s">
        <v>797</v>
      </c>
      <c r="D285" t="s">
        <v>798</v>
      </c>
      <c r="E285" t="s">
        <v>12</v>
      </c>
      <c r="F285" t="s">
        <v>13</v>
      </c>
      <c r="G285" t="s">
        <v>14</v>
      </c>
      <c r="H285" t="s">
        <v>799</v>
      </c>
    </row>
    <row r="286" spans="1:8" x14ac:dyDescent="0.25">
      <c r="A286" t="s">
        <v>8</v>
      </c>
      <c r="B286" t="s">
        <v>26</v>
      </c>
      <c r="C286" t="s">
        <v>800</v>
      </c>
      <c r="D286" t="s">
        <v>801</v>
      </c>
      <c r="E286" t="s">
        <v>12</v>
      </c>
      <c r="F286" t="s">
        <v>19</v>
      </c>
      <c r="G286" t="s">
        <v>14</v>
      </c>
      <c r="H286" t="s">
        <v>802</v>
      </c>
    </row>
    <row r="287" spans="1:8" x14ac:dyDescent="0.25">
      <c r="A287" t="s">
        <v>8</v>
      </c>
      <c r="B287" t="s">
        <v>100</v>
      </c>
      <c r="C287" t="s">
        <v>803</v>
      </c>
      <c r="D287" t="s">
        <v>804</v>
      </c>
      <c r="E287" t="s">
        <v>29</v>
      </c>
      <c r="F287" t="s">
        <v>24</v>
      </c>
      <c r="G287" t="s">
        <v>14</v>
      </c>
      <c r="H287" t="s">
        <v>247</v>
      </c>
    </row>
    <row r="288" spans="1:8" x14ac:dyDescent="0.25">
      <c r="A288" t="s">
        <v>8</v>
      </c>
      <c r="B288" t="s">
        <v>37</v>
      </c>
      <c r="C288" t="s">
        <v>805</v>
      </c>
      <c r="D288" t="s">
        <v>806</v>
      </c>
      <c r="E288" t="s">
        <v>29</v>
      </c>
      <c r="F288" t="s">
        <v>51</v>
      </c>
      <c r="G288" t="s">
        <v>67</v>
      </c>
      <c r="H288" t="s">
        <v>306</v>
      </c>
    </row>
    <row r="289" spans="1:8" x14ac:dyDescent="0.25">
      <c r="A289" t="s">
        <v>8</v>
      </c>
      <c r="B289" t="s">
        <v>9</v>
      </c>
      <c r="C289" t="s">
        <v>807</v>
      </c>
      <c r="D289" t="s">
        <v>808</v>
      </c>
      <c r="E289" t="s">
        <v>29</v>
      </c>
      <c r="F289" t="s">
        <v>51</v>
      </c>
      <c r="G289" t="s">
        <v>67</v>
      </c>
      <c r="H289" t="s">
        <v>799</v>
      </c>
    </row>
    <row r="290" spans="1:8" x14ac:dyDescent="0.25">
      <c r="A290" t="s">
        <v>8</v>
      </c>
      <c r="B290" t="s">
        <v>91</v>
      </c>
      <c r="C290" t="s">
        <v>809</v>
      </c>
      <c r="D290" t="s">
        <v>809</v>
      </c>
      <c r="E290" t="s">
        <v>29</v>
      </c>
      <c r="F290" t="s">
        <v>13</v>
      </c>
      <c r="G290" t="s">
        <v>63</v>
      </c>
      <c r="H290" t="s">
        <v>358</v>
      </c>
    </row>
    <row r="291" spans="1:8" x14ac:dyDescent="0.25">
      <c r="A291" t="s">
        <v>8</v>
      </c>
      <c r="B291" t="s">
        <v>42</v>
      </c>
      <c r="C291" t="s">
        <v>810</v>
      </c>
      <c r="D291" t="s">
        <v>811</v>
      </c>
      <c r="E291" t="s">
        <v>390</v>
      </c>
      <c r="F291" t="s">
        <v>51</v>
      </c>
      <c r="G291" t="s">
        <v>14</v>
      </c>
      <c r="H291" t="s">
        <v>473</v>
      </c>
    </row>
    <row r="292" spans="1:8" x14ac:dyDescent="0.25">
      <c r="A292" t="s">
        <v>8</v>
      </c>
      <c r="B292" t="s">
        <v>100</v>
      </c>
      <c r="C292" t="s">
        <v>812</v>
      </c>
      <c r="D292" t="s">
        <v>813</v>
      </c>
      <c r="E292" t="s">
        <v>67</v>
      </c>
      <c r="F292" t="s">
        <v>19</v>
      </c>
      <c r="G292" t="s">
        <v>67</v>
      </c>
      <c r="H292" t="s">
        <v>773</v>
      </c>
    </row>
    <row r="293" spans="1:8" x14ac:dyDescent="0.25">
      <c r="A293" t="s">
        <v>8</v>
      </c>
      <c r="B293" t="s">
        <v>32</v>
      </c>
      <c r="C293" t="s">
        <v>814</v>
      </c>
      <c r="D293" t="s">
        <v>815</v>
      </c>
      <c r="E293" t="s">
        <v>172</v>
      </c>
      <c r="F293" t="s">
        <v>24</v>
      </c>
      <c r="G293" t="s">
        <v>14</v>
      </c>
      <c r="H293" t="s">
        <v>122</v>
      </c>
    </row>
    <row r="294" spans="1:8" x14ac:dyDescent="0.25">
      <c r="A294" t="s">
        <v>8</v>
      </c>
      <c r="B294" t="s">
        <v>73</v>
      </c>
      <c r="C294" t="s">
        <v>816</v>
      </c>
      <c r="D294" t="s">
        <v>817</v>
      </c>
      <c r="E294" t="s">
        <v>45</v>
      </c>
      <c r="F294" t="s">
        <v>71</v>
      </c>
      <c r="G294" t="s">
        <v>14</v>
      </c>
      <c r="H294" t="s">
        <v>87</v>
      </c>
    </row>
    <row r="295" spans="1:8" x14ac:dyDescent="0.25">
      <c r="A295" t="s">
        <v>8</v>
      </c>
      <c r="B295" t="s">
        <v>37</v>
      </c>
      <c r="C295" t="s">
        <v>818</v>
      </c>
      <c r="D295" t="s">
        <v>819</v>
      </c>
      <c r="E295" t="s">
        <v>23</v>
      </c>
      <c r="F295" t="s">
        <v>19</v>
      </c>
      <c r="G295" t="s">
        <v>14</v>
      </c>
      <c r="H295" t="s">
        <v>820</v>
      </c>
    </row>
    <row r="296" spans="1:8" x14ac:dyDescent="0.25">
      <c r="A296" t="s">
        <v>8</v>
      </c>
      <c r="B296" t="s">
        <v>32</v>
      </c>
      <c r="C296" t="s">
        <v>821</v>
      </c>
      <c r="D296" t="s">
        <v>822</v>
      </c>
      <c r="E296" t="s">
        <v>29</v>
      </c>
      <c r="F296" t="s">
        <v>51</v>
      </c>
      <c r="G296" t="s">
        <v>67</v>
      </c>
      <c r="H296" t="s">
        <v>823</v>
      </c>
    </row>
    <row r="297" spans="1:8" x14ac:dyDescent="0.25">
      <c r="A297" t="s">
        <v>8</v>
      </c>
      <c r="B297" t="s">
        <v>77</v>
      </c>
      <c r="C297" t="s">
        <v>824</v>
      </c>
      <c r="D297" t="s">
        <v>825</v>
      </c>
      <c r="E297" t="s">
        <v>50</v>
      </c>
      <c r="F297" t="s">
        <v>51</v>
      </c>
      <c r="G297" t="s">
        <v>14</v>
      </c>
      <c r="H297" t="s">
        <v>471</v>
      </c>
    </row>
    <row r="298" spans="1:8" x14ac:dyDescent="0.25">
      <c r="A298" t="s">
        <v>8</v>
      </c>
      <c r="B298" t="s">
        <v>37</v>
      </c>
      <c r="C298" t="s">
        <v>826</v>
      </c>
      <c r="D298" t="s">
        <v>827</v>
      </c>
      <c r="E298" t="s">
        <v>12</v>
      </c>
      <c r="F298" t="s">
        <v>13</v>
      </c>
      <c r="G298" t="s">
        <v>14</v>
      </c>
      <c r="H298" t="s">
        <v>828</v>
      </c>
    </row>
    <row r="299" spans="1:8" x14ac:dyDescent="0.25">
      <c r="A299" t="s">
        <v>8</v>
      </c>
      <c r="B299" t="s">
        <v>37</v>
      </c>
      <c r="C299" t="s">
        <v>829</v>
      </c>
      <c r="D299" t="s">
        <v>830</v>
      </c>
      <c r="E299" t="s">
        <v>172</v>
      </c>
      <c r="F299" t="s">
        <v>51</v>
      </c>
      <c r="G299" t="s">
        <v>14</v>
      </c>
      <c r="H299" t="s">
        <v>68</v>
      </c>
    </row>
    <row r="300" spans="1:8" x14ac:dyDescent="0.25">
      <c r="A300" t="s">
        <v>8</v>
      </c>
      <c r="B300" t="s">
        <v>9</v>
      </c>
      <c r="C300" t="s">
        <v>831</v>
      </c>
      <c r="D300" t="s">
        <v>832</v>
      </c>
      <c r="E300" t="s">
        <v>172</v>
      </c>
      <c r="F300" t="s">
        <v>24</v>
      </c>
      <c r="G300" t="s">
        <v>14</v>
      </c>
      <c r="H300" t="s">
        <v>833</v>
      </c>
    </row>
    <row r="301" spans="1:8" x14ac:dyDescent="0.25">
      <c r="A301" t="s">
        <v>8</v>
      </c>
      <c r="B301" t="s">
        <v>9</v>
      </c>
      <c r="C301" t="s">
        <v>834</v>
      </c>
      <c r="D301" t="s">
        <v>835</v>
      </c>
      <c r="E301" t="s">
        <v>505</v>
      </c>
      <c r="F301" t="s">
        <v>51</v>
      </c>
      <c r="G301" t="s">
        <v>14</v>
      </c>
      <c r="H301" t="s">
        <v>836</v>
      </c>
    </row>
    <row r="302" spans="1:8" x14ac:dyDescent="0.25">
      <c r="A302" t="s">
        <v>8</v>
      </c>
      <c r="B302" t="s">
        <v>42</v>
      </c>
      <c r="C302" t="s">
        <v>837</v>
      </c>
      <c r="D302" t="s">
        <v>838</v>
      </c>
      <c r="E302" t="s">
        <v>23</v>
      </c>
      <c r="F302" t="s">
        <v>24</v>
      </c>
      <c r="G302" t="s">
        <v>14</v>
      </c>
      <c r="H302" t="s">
        <v>833</v>
      </c>
    </row>
    <row r="303" spans="1:8" x14ac:dyDescent="0.25">
      <c r="A303" t="s">
        <v>8</v>
      </c>
      <c r="B303" t="s">
        <v>42</v>
      </c>
      <c r="C303" t="s">
        <v>839</v>
      </c>
      <c r="D303" t="s">
        <v>840</v>
      </c>
      <c r="E303" t="s">
        <v>635</v>
      </c>
      <c r="F303" t="s">
        <v>51</v>
      </c>
      <c r="G303" t="s">
        <v>14</v>
      </c>
      <c r="H303" t="s">
        <v>506</v>
      </c>
    </row>
    <row r="304" spans="1:8" x14ac:dyDescent="0.25">
      <c r="A304" t="s">
        <v>8</v>
      </c>
      <c r="B304" t="s">
        <v>91</v>
      </c>
      <c r="C304" t="s">
        <v>841</v>
      </c>
      <c r="D304" t="s">
        <v>842</v>
      </c>
      <c r="E304" t="s">
        <v>67</v>
      </c>
      <c r="F304" t="s">
        <v>19</v>
      </c>
      <c r="G304" t="s">
        <v>67</v>
      </c>
      <c r="H304" t="s">
        <v>87</v>
      </c>
    </row>
    <row r="305" spans="1:8" x14ac:dyDescent="0.25">
      <c r="A305" t="s">
        <v>8</v>
      </c>
      <c r="B305" t="s">
        <v>113</v>
      </c>
      <c r="C305" t="s">
        <v>843</v>
      </c>
      <c r="D305" t="s">
        <v>844</v>
      </c>
      <c r="E305" t="s">
        <v>845</v>
      </c>
      <c r="F305" t="s">
        <v>51</v>
      </c>
      <c r="G305" t="s">
        <v>14</v>
      </c>
      <c r="H305" t="s">
        <v>846</v>
      </c>
    </row>
    <row r="306" spans="1:8" x14ac:dyDescent="0.25">
      <c r="A306" t="s">
        <v>8</v>
      </c>
      <c r="B306" t="s">
        <v>73</v>
      </c>
      <c r="C306" t="s">
        <v>847</v>
      </c>
      <c r="D306" t="s">
        <v>848</v>
      </c>
      <c r="E306" t="s">
        <v>35</v>
      </c>
      <c r="F306" t="s">
        <v>24</v>
      </c>
      <c r="G306" t="s">
        <v>14</v>
      </c>
      <c r="H306" t="s">
        <v>405</v>
      </c>
    </row>
    <row r="307" spans="1:8" x14ac:dyDescent="0.25">
      <c r="A307" t="s">
        <v>8</v>
      </c>
      <c r="B307" t="s">
        <v>77</v>
      </c>
      <c r="C307" t="s">
        <v>849</v>
      </c>
      <c r="D307" t="s">
        <v>850</v>
      </c>
      <c r="E307" t="s">
        <v>172</v>
      </c>
      <c r="F307" t="s">
        <v>30</v>
      </c>
      <c r="G307" t="s">
        <v>14</v>
      </c>
      <c r="H307" t="s">
        <v>851</v>
      </c>
    </row>
    <row r="308" spans="1:8" x14ac:dyDescent="0.25">
      <c r="A308" t="s">
        <v>8</v>
      </c>
      <c r="B308" t="s">
        <v>42</v>
      </c>
      <c r="C308" t="s">
        <v>852</v>
      </c>
      <c r="D308" t="s">
        <v>853</v>
      </c>
      <c r="E308" t="s">
        <v>29</v>
      </c>
      <c r="F308" t="s">
        <v>51</v>
      </c>
      <c r="G308" t="s">
        <v>67</v>
      </c>
      <c r="H308" t="s">
        <v>122</v>
      </c>
    </row>
    <row r="309" spans="1:8" x14ac:dyDescent="0.25">
      <c r="A309" t="s">
        <v>8</v>
      </c>
      <c r="B309" t="s">
        <v>37</v>
      </c>
      <c r="C309" t="s">
        <v>854</v>
      </c>
      <c r="D309" t="s">
        <v>855</v>
      </c>
      <c r="E309" t="s">
        <v>172</v>
      </c>
      <c r="F309" t="s">
        <v>24</v>
      </c>
      <c r="G309" t="s">
        <v>14</v>
      </c>
      <c r="H309" t="s">
        <v>408</v>
      </c>
    </row>
    <row r="310" spans="1:8" x14ac:dyDescent="0.25">
      <c r="A310" t="s">
        <v>8</v>
      </c>
      <c r="B310" t="s">
        <v>37</v>
      </c>
      <c r="C310" t="s">
        <v>856</v>
      </c>
      <c r="D310" t="s">
        <v>857</v>
      </c>
      <c r="E310" t="s">
        <v>276</v>
      </c>
      <c r="F310" t="s">
        <v>51</v>
      </c>
      <c r="G310" t="s">
        <v>14</v>
      </c>
      <c r="H310" t="s">
        <v>858</v>
      </c>
    </row>
    <row r="311" spans="1:8" x14ac:dyDescent="0.25">
      <c r="A311" t="s">
        <v>8</v>
      </c>
      <c r="B311" t="s">
        <v>37</v>
      </c>
      <c r="C311" t="s">
        <v>859</v>
      </c>
      <c r="D311" t="s">
        <v>859</v>
      </c>
      <c r="E311" t="s">
        <v>29</v>
      </c>
      <c r="F311" t="s">
        <v>30</v>
      </c>
      <c r="G311" t="s">
        <v>63</v>
      </c>
      <c r="H311" t="s">
        <v>860</v>
      </c>
    </row>
    <row r="312" spans="1:8" x14ac:dyDescent="0.25">
      <c r="A312" t="s">
        <v>8</v>
      </c>
      <c r="B312" t="s">
        <v>9</v>
      </c>
      <c r="C312" t="s">
        <v>861</v>
      </c>
      <c r="D312" t="s">
        <v>862</v>
      </c>
      <c r="E312" t="s">
        <v>29</v>
      </c>
      <c r="F312" t="s">
        <v>24</v>
      </c>
      <c r="G312" t="s">
        <v>14</v>
      </c>
      <c r="H312" t="s">
        <v>446</v>
      </c>
    </row>
    <row r="313" spans="1:8" x14ac:dyDescent="0.25">
      <c r="A313" t="s">
        <v>8</v>
      </c>
      <c r="B313" t="s">
        <v>113</v>
      </c>
      <c r="C313" t="s">
        <v>863</v>
      </c>
      <c r="D313" t="s">
        <v>864</v>
      </c>
      <c r="E313" t="s">
        <v>12</v>
      </c>
      <c r="F313" t="s">
        <v>30</v>
      </c>
      <c r="G313" t="s">
        <v>14</v>
      </c>
      <c r="H313" t="s">
        <v>865</v>
      </c>
    </row>
    <row r="314" spans="1:8" x14ac:dyDescent="0.25">
      <c r="A314" t="s">
        <v>8</v>
      </c>
      <c r="B314" t="s">
        <v>53</v>
      </c>
      <c r="C314" t="s">
        <v>866</v>
      </c>
      <c r="D314" t="s">
        <v>867</v>
      </c>
      <c r="E314" t="s">
        <v>29</v>
      </c>
      <c r="F314" t="s">
        <v>13</v>
      </c>
      <c r="G314" t="s">
        <v>56</v>
      </c>
      <c r="H314" t="s">
        <v>375</v>
      </c>
    </row>
    <row r="315" spans="1:8" x14ac:dyDescent="0.25">
      <c r="A315" t="s">
        <v>8</v>
      </c>
      <c r="B315" t="s">
        <v>42</v>
      </c>
      <c r="C315" t="s">
        <v>868</v>
      </c>
      <c r="D315" t="s">
        <v>869</v>
      </c>
      <c r="E315" t="s">
        <v>390</v>
      </c>
      <c r="F315" t="s">
        <v>51</v>
      </c>
      <c r="G315" t="s">
        <v>14</v>
      </c>
      <c r="H315" t="s">
        <v>258</v>
      </c>
    </row>
    <row r="316" spans="1:8" x14ac:dyDescent="0.25">
      <c r="A316" t="s">
        <v>8</v>
      </c>
      <c r="B316" t="s">
        <v>32</v>
      </c>
      <c r="C316" t="s">
        <v>870</v>
      </c>
      <c r="D316" t="s">
        <v>871</v>
      </c>
      <c r="E316" t="s">
        <v>50</v>
      </c>
      <c r="F316" t="s">
        <v>24</v>
      </c>
      <c r="G316" t="s">
        <v>14</v>
      </c>
      <c r="H316" t="s">
        <v>872</v>
      </c>
    </row>
    <row r="317" spans="1:8" x14ac:dyDescent="0.25">
      <c r="A317" t="s">
        <v>8</v>
      </c>
      <c r="B317" t="s">
        <v>37</v>
      </c>
      <c r="C317" t="s">
        <v>873</v>
      </c>
      <c r="D317" t="s">
        <v>874</v>
      </c>
      <c r="E317" t="s">
        <v>29</v>
      </c>
      <c r="F317" t="s">
        <v>24</v>
      </c>
      <c r="G317" t="s">
        <v>14</v>
      </c>
      <c r="H317" t="s">
        <v>282</v>
      </c>
    </row>
    <row r="318" spans="1:8" x14ac:dyDescent="0.25">
      <c r="A318" t="s">
        <v>8</v>
      </c>
      <c r="B318" t="s">
        <v>32</v>
      </c>
      <c r="C318" t="s">
        <v>875</v>
      </c>
      <c r="D318" t="s">
        <v>876</v>
      </c>
      <c r="E318" t="s">
        <v>172</v>
      </c>
      <c r="F318" t="s">
        <v>51</v>
      </c>
      <c r="G318" t="s">
        <v>14</v>
      </c>
      <c r="H318" t="s">
        <v>140</v>
      </c>
    </row>
    <row r="319" spans="1:8" x14ac:dyDescent="0.25">
      <c r="A319" t="s">
        <v>8</v>
      </c>
      <c r="B319" t="s">
        <v>9</v>
      </c>
      <c r="C319" t="s">
        <v>877</v>
      </c>
      <c r="D319" t="s">
        <v>877</v>
      </c>
      <c r="E319" t="s">
        <v>23</v>
      </c>
      <c r="F319" t="s">
        <v>24</v>
      </c>
      <c r="G319" t="s">
        <v>63</v>
      </c>
      <c r="H319" t="s">
        <v>446</v>
      </c>
    </row>
    <row r="320" spans="1:8" x14ac:dyDescent="0.25">
      <c r="A320" t="s">
        <v>8</v>
      </c>
      <c r="B320" t="s">
        <v>113</v>
      </c>
      <c r="C320" t="s">
        <v>878</v>
      </c>
      <c r="D320" t="s">
        <v>879</v>
      </c>
      <c r="E320" t="s">
        <v>390</v>
      </c>
      <c r="F320" t="s">
        <v>51</v>
      </c>
      <c r="G320" t="s">
        <v>14</v>
      </c>
      <c r="H320" t="s">
        <v>880</v>
      </c>
    </row>
    <row r="321" spans="1:8" x14ac:dyDescent="0.25">
      <c r="A321" t="s">
        <v>8</v>
      </c>
      <c r="B321" t="s">
        <v>42</v>
      </c>
      <c r="C321" t="s">
        <v>881</v>
      </c>
      <c r="D321" t="s">
        <v>882</v>
      </c>
      <c r="E321" t="s">
        <v>29</v>
      </c>
      <c r="F321" t="s">
        <v>51</v>
      </c>
      <c r="G321" t="s">
        <v>67</v>
      </c>
      <c r="H321" t="s">
        <v>408</v>
      </c>
    </row>
    <row r="322" spans="1:8" x14ac:dyDescent="0.25">
      <c r="A322" t="s">
        <v>8</v>
      </c>
      <c r="B322" t="s">
        <v>26</v>
      </c>
      <c r="C322" t="s">
        <v>883</v>
      </c>
      <c r="D322" t="s">
        <v>884</v>
      </c>
      <c r="E322" t="s">
        <v>29</v>
      </c>
      <c r="F322" t="s">
        <v>97</v>
      </c>
      <c r="G322" t="s">
        <v>98</v>
      </c>
      <c r="H322" t="s">
        <v>267</v>
      </c>
    </row>
    <row r="323" spans="1:8" x14ac:dyDescent="0.25">
      <c r="A323" t="s">
        <v>8</v>
      </c>
      <c r="B323" t="s">
        <v>77</v>
      </c>
      <c r="C323" t="s">
        <v>885</v>
      </c>
      <c r="D323" t="s">
        <v>886</v>
      </c>
      <c r="E323" t="s">
        <v>35</v>
      </c>
      <c r="F323" t="s">
        <v>30</v>
      </c>
      <c r="G323" t="s">
        <v>14</v>
      </c>
      <c r="H323" t="s">
        <v>887</v>
      </c>
    </row>
    <row r="324" spans="1:8" x14ac:dyDescent="0.25">
      <c r="A324" t="s">
        <v>8</v>
      </c>
      <c r="B324" t="s">
        <v>100</v>
      </c>
      <c r="C324" t="s">
        <v>888</v>
      </c>
      <c r="D324" t="s">
        <v>889</v>
      </c>
      <c r="E324" t="s">
        <v>40</v>
      </c>
      <c r="F324" t="s">
        <v>19</v>
      </c>
      <c r="G324" t="s">
        <v>14</v>
      </c>
      <c r="H324" t="s">
        <v>890</v>
      </c>
    </row>
    <row r="325" spans="1:8" x14ac:dyDescent="0.25">
      <c r="A325" t="s">
        <v>8</v>
      </c>
      <c r="B325" t="s">
        <v>9</v>
      </c>
      <c r="C325" t="s">
        <v>891</v>
      </c>
      <c r="D325" t="s">
        <v>892</v>
      </c>
      <c r="E325" t="s">
        <v>67</v>
      </c>
      <c r="F325" t="s">
        <v>24</v>
      </c>
      <c r="G325" t="s">
        <v>67</v>
      </c>
      <c r="H325" t="s">
        <v>128</v>
      </c>
    </row>
    <row r="326" spans="1:8" x14ac:dyDescent="0.25">
      <c r="A326" t="s">
        <v>8</v>
      </c>
      <c r="B326" t="s">
        <v>183</v>
      </c>
      <c r="C326" t="s">
        <v>893</v>
      </c>
      <c r="D326" t="s">
        <v>894</v>
      </c>
      <c r="E326" t="s">
        <v>12</v>
      </c>
      <c r="F326" t="s">
        <v>13</v>
      </c>
      <c r="G326" t="s">
        <v>14</v>
      </c>
      <c r="H326" t="s">
        <v>895</v>
      </c>
    </row>
    <row r="327" spans="1:8" x14ac:dyDescent="0.25">
      <c r="A327" t="s">
        <v>8</v>
      </c>
      <c r="B327" t="s">
        <v>32</v>
      </c>
      <c r="C327" t="s">
        <v>896</v>
      </c>
      <c r="D327" t="s">
        <v>897</v>
      </c>
      <c r="E327" t="s">
        <v>29</v>
      </c>
      <c r="F327" t="s">
        <v>24</v>
      </c>
      <c r="G327" t="s">
        <v>14</v>
      </c>
      <c r="H327" t="s">
        <v>898</v>
      </c>
    </row>
    <row r="328" spans="1:8" x14ac:dyDescent="0.25">
      <c r="A328" t="s">
        <v>8</v>
      </c>
      <c r="B328" t="s">
        <v>100</v>
      </c>
      <c r="C328" t="s">
        <v>899</v>
      </c>
      <c r="D328" t="s">
        <v>899</v>
      </c>
      <c r="E328" t="s">
        <v>12</v>
      </c>
      <c r="F328" t="s">
        <v>13</v>
      </c>
      <c r="G328" t="s">
        <v>63</v>
      </c>
      <c r="H328" t="s">
        <v>900</v>
      </c>
    </row>
    <row r="329" spans="1:8" x14ac:dyDescent="0.25">
      <c r="A329" t="s">
        <v>8</v>
      </c>
      <c r="B329" t="s">
        <v>42</v>
      </c>
      <c r="C329" t="s">
        <v>901</v>
      </c>
      <c r="D329" t="s">
        <v>902</v>
      </c>
      <c r="E329" t="s">
        <v>12</v>
      </c>
      <c r="F329" t="s">
        <v>13</v>
      </c>
      <c r="G329" t="s">
        <v>14</v>
      </c>
      <c r="H329" t="s">
        <v>903</v>
      </c>
    </row>
    <row r="330" spans="1:8" x14ac:dyDescent="0.25">
      <c r="A330" t="s">
        <v>8</v>
      </c>
      <c r="B330" t="s">
        <v>113</v>
      </c>
      <c r="C330" t="s">
        <v>904</v>
      </c>
      <c r="D330" t="s">
        <v>905</v>
      </c>
      <c r="E330" t="s">
        <v>29</v>
      </c>
      <c r="F330" t="s">
        <v>24</v>
      </c>
      <c r="G330" t="s">
        <v>14</v>
      </c>
      <c r="H330" t="s">
        <v>906</v>
      </c>
    </row>
    <row r="331" spans="1:8" x14ac:dyDescent="0.25">
      <c r="A331" t="s">
        <v>8</v>
      </c>
      <c r="B331" t="s">
        <v>183</v>
      </c>
      <c r="C331" t="s">
        <v>907</v>
      </c>
      <c r="D331" t="s">
        <v>908</v>
      </c>
      <c r="E331" t="s">
        <v>29</v>
      </c>
      <c r="F331" t="s">
        <v>51</v>
      </c>
      <c r="G331" t="s">
        <v>67</v>
      </c>
      <c r="H331" t="s">
        <v>87</v>
      </c>
    </row>
    <row r="332" spans="1:8" x14ac:dyDescent="0.25">
      <c r="A332" t="s">
        <v>8</v>
      </c>
      <c r="B332" t="s">
        <v>100</v>
      </c>
      <c r="C332" t="s">
        <v>909</v>
      </c>
      <c r="D332" t="s">
        <v>910</v>
      </c>
      <c r="E332" t="s">
        <v>29</v>
      </c>
      <c r="F332" t="s">
        <v>97</v>
      </c>
      <c r="G332" t="s">
        <v>98</v>
      </c>
      <c r="H332" t="s">
        <v>911</v>
      </c>
    </row>
    <row r="333" spans="1:8" x14ac:dyDescent="0.25">
      <c r="A333" t="s">
        <v>8</v>
      </c>
      <c r="B333" t="s">
        <v>32</v>
      </c>
      <c r="C333" t="s">
        <v>912</v>
      </c>
      <c r="D333" t="s">
        <v>913</v>
      </c>
      <c r="E333" t="s">
        <v>29</v>
      </c>
      <c r="F333" t="s">
        <v>51</v>
      </c>
      <c r="G333" t="s">
        <v>67</v>
      </c>
      <c r="H333" t="s">
        <v>914</v>
      </c>
    </row>
    <row r="334" spans="1:8" x14ac:dyDescent="0.25">
      <c r="A334" t="s">
        <v>8</v>
      </c>
      <c r="B334" t="s">
        <v>91</v>
      </c>
      <c r="C334" t="s">
        <v>915</v>
      </c>
      <c r="D334" t="s">
        <v>915</v>
      </c>
      <c r="E334" t="s">
        <v>45</v>
      </c>
      <c r="F334" t="s">
        <v>24</v>
      </c>
      <c r="G334" t="s">
        <v>63</v>
      </c>
      <c r="H334" t="s">
        <v>473</v>
      </c>
    </row>
    <row r="335" spans="1:8" x14ac:dyDescent="0.25">
      <c r="A335" t="s">
        <v>8</v>
      </c>
      <c r="B335" t="s">
        <v>73</v>
      </c>
      <c r="C335" t="s">
        <v>916</v>
      </c>
      <c r="D335" t="s">
        <v>917</v>
      </c>
      <c r="E335" t="s">
        <v>50</v>
      </c>
      <c r="F335" t="s">
        <v>51</v>
      </c>
      <c r="G335" t="s">
        <v>14</v>
      </c>
      <c r="H335" t="s">
        <v>918</v>
      </c>
    </row>
    <row r="336" spans="1:8" x14ac:dyDescent="0.25">
      <c r="A336" t="s">
        <v>8</v>
      </c>
      <c r="B336" t="s">
        <v>42</v>
      </c>
      <c r="C336" t="s">
        <v>919</v>
      </c>
      <c r="D336" t="s">
        <v>919</v>
      </c>
      <c r="E336" t="s">
        <v>45</v>
      </c>
      <c r="F336" t="s">
        <v>30</v>
      </c>
      <c r="G336" t="s">
        <v>63</v>
      </c>
      <c r="H336" t="s">
        <v>61</v>
      </c>
    </row>
    <row r="337" spans="1:8" x14ac:dyDescent="0.25">
      <c r="A337" t="s">
        <v>8</v>
      </c>
      <c r="B337" t="s">
        <v>16</v>
      </c>
      <c r="C337" t="s">
        <v>920</v>
      </c>
      <c r="D337" t="s">
        <v>921</v>
      </c>
      <c r="E337" t="s">
        <v>67</v>
      </c>
      <c r="F337" t="s">
        <v>19</v>
      </c>
      <c r="G337" t="s">
        <v>67</v>
      </c>
      <c r="H337" t="s">
        <v>922</v>
      </c>
    </row>
    <row r="338" spans="1:8" x14ac:dyDescent="0.25">
      <c r="A338" t="s">
        <v>8</v>
      </c>
      <c r="B338" t="s">
        <v>16</v>
      </c>
      <c r="C338" t="s">
        <v>923</v>
      </c>
      <c r="D338" t="s">
        <v>923</v>
      </c>
      <c r="E338" t="s">
        <v>23</v>
      </c>
      <c r="F338" t="s">
        <v>24</v>
      </c>
      <c r="G338" t="s">
        <v>63</v>
      </c>
      <c r="H338" t="s">
        <v>924</v>
      </c>
    </row>
    <row r="339" spans="1:8" x14ac:dyDescent="0.25">
      <c r="A339" t="s">
        <v>8</v>
      </c>
      <c r="B339" t="s">
        <v>91</v>
      </c>
      <c r="C339" t="s">
        <v>925</v>
      </c>
      <c r="D339" t="s">
        <v>926</v>
      </c>
      <c r="E339" t="s">
        <v>29</v>
      </c>
      <c r="F339" t="s">
        <v>24</v>
      </c>
      <c r="G339" t="s">
        <v>14</v>
      </c>
      <c r="H339" t="s">
        <v>576</v>
      </c>
    </row>
    <row r="340" spans="1:8" x14ac:dyDescent="0.25">
      <c r="A340" t="s">
        <v>8</v>
      </c>
      <c r="B340" t="s">
        <v>9</v>
      </c>
      <c r="C340" t="s">
        <v>927</v>
      </c>
      <c r="D340" t="s">
        <v>927</v>
      </c>
      <c r="E340" t="s">
        <v>29</v>
      </c>
      <c r="F340" t="s">
        <v>13</v>
      </c>
      <c r="G340" t="s">
        <v>63</v>
      </c>
      <c r="H340" t="s">
        <v>928</v>
      </c>
    </row>
    <row r="341" spans="1:8" x14ac:dyDescent="0.25">
      <c r="A341" t="s">
        <v>8</v>
      </c>
      <c r="B341" t="s">
        <v>113</v>
      </c>
      <c r="C341" t="s">
        <v>929</v>
      </c>
      <c r="D341" t="s">
        <v>930</v>
      </c>
      <c r="E341" t="s">
        <v>67</v>
      </c>
      <c r="F341" t="s">
        <v>30</v>
      </c>
      <c r="G341" t="s">
        <v>67</v>
      </c>
      <c r="H341" t="s">
        <v>91</v>
      </c>
    </row>
    <row r="342" spans="1:8" x14ac:dyDescent="0.25">
      <c r="A342" t="s">
        <v>8</v>
      </c>
      <c r="B342" t="s">
        <v>37</v>
      </c>
      <c r="C342" t="s">
        <v>931</v>
      </c>
      <c r="D342" t="s">
        <v>932</v>
      </c>
      <c r="E342" t="s">
        <v>40</v>
      </c>
      <c r="F342" t="s">
        <v>19</v>
      </c>
      <c r="G342" t="s">
        <v>14</v>
      </c>
      <c r="H342" t="s">
        <v>933</v>
      </c>
    </row>
    <row r="343" spans="1:8" x14ac:dyDescent="0.25">
      <c r="A343" t="s">
        <v>8</v>
      </c>
      <c r="B343" t="s">
        <v>26</v>
      </c>
      <c r="C343" t="s">
        <v>934</v>
      </c>
      <c r="D343" t="s">
        <v>934</v>
      </c>
      <c r="E343" t="s">
        <v>12</v>
      </c>
      <c r="F343" t="s">
        <v>13</v>
      </c>
      <c r="G343" t="s">
        <v>63</v>
      </c>
      <c r="H343" t="s">
        <v>64</v>
      </c>
    </row>
    <row r="344" spans="1:8" x14ac:dyDescent="0.25">
      <c r="A344" t="s">
        <v>8</v>
      </c>
      <c r="B344" t="s">
        <v>113</v>
      </c>
      <c r="C344" t="s">
        <v>935</v>
      </c>
      <c r="D344" t="s">
        <v>935</v>
      </c>
      <c r="E344" t="s">
        <v>936</v>
      </c>
      <c r="F344" t="s">
        <v>24</v>
      </c>
      <c r="G344" t="s">
        <v>63</v>
      </c>
      <c r="H344" t="s">
        <v>937</v>
      </c>
    </row>
    <row r="345" spans="1:8" x14ac:dyDescent="0.25">
      <c r="A345" t="s">
        <v>8</v>
      </c>
      <c r="B345" t="s">
        <v>42</v>
      </c>
      <c r="C345" t="s">
        <v>938</v>
      </c>
      <c r="D345" t="s">
        <v>939</v>
      </c>
      <c r="E345" t="s">
        <v>35</v>
      </c>
      <c r="F345" t="s">
        <v>30</v>
      </c>
      <c r="G345" t="s">
        <v>14</v>
      </c>
      <c r="H345" t="s">
        <v>36</v>
      </c>
    </row>
    <row r="346" spans="1:8" x14ac:dyDescent="0.25">
      <c r="A346" t="s">
        <v>8</v>
      </c>
      <c r="B346" t="s">
        <v>9</v>
      </c>
      <c r="C346" t="s">
        <v>940</v>
      </c>
      <c r="D346" t="s">
        <v>941</v>
      </c>
      <c r="E346" t="s">
        <v>845</v>
      </c>
      <c r="F346" t="s">
        <v>51</v>
      </c>
      <c r="G346" t="s">
        <v>14</v>
      </c>
      <c r="H346" t="s">
        <v>942</v>
      </c>
    </row>
    <row r="347" spans="1:8" x14ac:dyDescent="0.25">
      <c r="A347" t="s">
        <v>8</v>
      </c>
      <c r="B347" t="s">
        <v>32</v>
      </c>
      <c r="C347" t="s">
        <v>943</v>
      </c>
      <c r="D347" t="s">
        <v>944</v>
      </c>
      <c r="E347" t="s">
        <v>29</v>
      </c>
      <c r="F347" t="s">
        <v>51</v>
      </c>
      <c r="G347" t="s">
        <v>67</v>
      </c>
      <c r="H347" t="s">
        <v>579</v>
      </c>
    </row>
    <row r="348" spans="1:8" x14ac:dyDescent="0.25">
      <c r="A348" t="s">
        <v>8</v>
      </c>
      <c r="B348" t="s">
        <v>37</v>
      </c>
      <c r="C348" t="s">
        <v>945</v>
      </c>
      <c r="D348" t="s">
        <v>945</v>
      </c>
      <c r="E348" t="s">
        <v>50</v>
      </c>
      <c r="F348" t="s">
        <v>30</v>
      </c>
      <c r="G348" t="s">
        <v>63</v>
      </c>
      <c r="H348" t="s">
        <v>946</v>
      </c>
    </row>
    <row r="349" spans="1:8" x14ac:dyDescent="0.25">
      <c r="A349" t="s">
        <v>8</v>
      </c>
      <c r="B349" t="s">
        <v>42</v>
      </c>
      <c r="C349" t="s">
        <v>947</v>
      </c>
      <c r="D349" t="s">
        <v>948</v>
      </c>
      <c r="E349" t="s">
        <v>116</v>
      </c>
      <c r="F349" t="s">
        <v>30</v>
      </c>
      <c r="G349" t="s">
        <v>14</v>
      </c>
      <c r="H349" t="s">
        <v>476</v>
      </c>
    </row>
    <row r="350" spans="1:8" x14ac:dyDescent="0.25">
      <c r="A350" t="s">
        <v>8</v>
      </c>
      <c r="B350" t="s">
        <v>26</v>
      </c>
      <c r="C350" t="s">
        <v>949</v>
      </c>
      <c r="D350" t="s">
        <v>949</v>
      </c>
      <c r="E350" t="s">
        <v>172</v>
      </c>
      <c r="F350" t="s">
        <v>30</v>
      </c>
      <c r="G350" t="s">
        <v>63</v>
      </c>
      <c r="H350" t="s">
        <v>950</v>
      </c>
    </row>
    <row r="351" spans="1:8" x14ac:dyDescent="0.25">
      <c r="A351" t="s">
        <v>8</v>
      </c>
      <c r="B351" t="s">
        <v>42</v>
      </c>
      <c r="C351" t="s">
        <v>951</v>
      </c>
      <c r="D351" t="s">
        <v>952</v>
      </c>
      <c r="E351" t="s">
        <v>12</v>
      </c>
      <c r="F351" t="s">
        <v>30</v>
      </c>
      <c r="G351" t="s">
        <v>14</v>
      </c>
      <c r="H351" t="s">
        <v>953</v>
      </c>
    </row>
    <row r="352" spans="1:8" x14ac:dyDescent="0.25">
      <c r="A352" t="s">
        <v>8</v>
      </c>
      <c r="B352" t="s">
        <v>113</v>
      </c>
      <c r="C352" t="s">
        <v>954</v>
      </c>
      <c r="D352" t="s">
        <v>955</v>
      </c>
      <c r="E352" t="s">
        <v>276</v>
      </c>
      <c r="F352" t="s">
        <v>51</v>
      </c>
      <c r="G352" t="s">
        <v>14</v>
      </c>
      <c r="H352" t="s">
        <v>956</v>
      </c>
    </row>
    <row r="353" spans="1:8" x14ac:dyDescent="0.25">
      <c r="A353" t="s">
        <v>8</v>
      </c>
      <c r="B353" t="s">
        <v>42</v>
      </c>
      <c r="C353" t="s">
        <v>957</v>
      </c>
      <c r="D353" t="s">
        <v>958</v>
      </c>
      <c r="E353" t="s">
        <v>29</v>
      </c>
      <c r="F353" t="s">
        <v>24</v>
      </c>
      <c r="G353" t="s">
        <v>14</v>
      </c>
      <c r="H353" t="s">
        <v>959</v>
      </c>
    </row>
    <row r="354" spans="1:8" x14ac:dyDescent="0.25">
      <c r="A354" t="s">
        <v>8</v>
      </c>
      <c r="B354" t="s">
        <v>77</v>
      </c>
      <c r="C354" t="s">
        <v>960</v>
      </c>
      <c r="D354" t="s">
        <v>960</v>
      </c>
      <c r="E354" t="s">
        <v>172</v>
      </c>
      <c r="F354" t="s">
        <v>30</v>
      </c>
      <c r="G354" t="s">
        <v>63</v>
      </c>
      <c r="H354" t="s">
        <v>961</v>
      </c>
    </row>
    <row r="355" spans="1:8" x14ac:dyDescent="0.25">
      <c r="A355" t="s">
        <v>8</v>
      </c>
      <c r="B355" t="s">
        <v>113</v>
      </c>
      <c r="C355" t="s">
        <v>962</v>
      </c>
      <c r="D355" t="s">
        <v>963</v>
      </c>
      <c r="E355" t="s">
        <v>45</v>
      </c>
      <c r="F355" t="s">
        <v>71</v>
      </c>
      <c r="G355" t="s">
        <v>14</v>
      </c>
      <c r="H355" t="s">
        <v>375</v>
      </c>
    </row>
    <row r="356" spans="1:8" x14ac:dyDescent="0.25">
      <c r="A356" t="s">
        <v>8</v>
      </c>
      <c r="B356" t="s">
        <v>113</v>
      </c>
      <c r="C356" t="s">
        <v>964</v>
      </c>
      <c r="D356" t="s">
        <v>965</v>
      </c>
      <c r="E356" t="s">
        <v>67</v>
      </c>
      <c r="F356" t="s">
        <v>24</v>
      </c>
      <c r="G356" t="s">
        <v>67</v>
      </c>
      <c r="H356" t="s">
        <v>966</v>
      </c>
    </row>
    <row r="357" spans="1:8" x14ac:dyDescent="0.25">
      <c r="A357" t="s">
        <v>8</v>
      </c>
      <c r="B357" t="s">
        <v>42</v>
      </c>
      <c r="C357" t="s">
        <v>967</v>
      </c>
      <c r="D357" t="s">
        <v>967</v>
      </c>
      <c r="E357" t="s">
        <v>35</v>
      </c>
      <c r="F357" t="s">
        <v>19</v>
      </c>
      <c r="G357" t="s">
        <v>63</v>
      </c>
      <c r="H357" t="s">
        <v>968</v>
      </c>
    </row>
    <row r="358" spans="1:8" x14ac:dyDescent="0.25">
      <c r="A358" t="s">
        <v>8</v>
      </c>
      <c r="B358" t="s">
        <v>9</v>
      </c>
      <c r="C358" t="s">
        <v>969</v>
      </c>
      <c r="D358" t="s">
        <v>969</v>
      </c>
      <c r="E358" t="s">
        <v>29</v>
      </c>
      <c r="F358" t="s">
        <v>13</v>
      </c>
      <c r="G358" t="s">
        <v>63</v>
      </c>
      <c r="H358" t="s">
        <v>355</v>
      </c>
    </row>
    <row r="359" spans="1:8" x14ac:dyDescent="0.25">
      <c r="A359" t="s">
        <v>8</v>
      </c>
      <c r="B359" t="s">
        <v>16</v>
      </c>
      <c r="C359" t="s">
        <v>970</v>
      </c>
      <c r="D359" t="s">
        <v>971</v>
      </c>
      <c r="E359" t="s">
        <v>29</v>
      </c>
      <c r="F359" t="s">
        <v>97</v>
      </c>
      <c r="G359" t="s">
        <v>98</v>
      </c>
      <c r="H359" t="s">
        <v>99</v>
      </c>
    </row>
    <row r="360" spans="1:8" x14ac:dyDescent="0.25">
      <c r="A360" t="s">
        <v>8</v>
      </c>
      <c r="B360" t="s">
        <v>183</v>
      </c>
      <c r="C360" t="s">
        <v>972</v>
      </c>
      <c r="D360" t="s">
        <v>973</v>
      </c>
      <c r="E360" t="s">
        <v>12</v>
      </c>
      <c r="F360" t="s">
        <v>13</v>
      </c>
      <c r="G360" t="s">
        <v>14</v>
      </c>
      <c r="H360" t="s">
        <v>140</v>
      </c>
    </row>
    <row r="361" spans="1:8" x14ac:dyDescent="0.25">
      <c r="A361" t="s">
        <v>8</v>
      </c>
      <c r="B361" t="s">
        <v>16</v>
      </c>
      <c r="C361" t="s">
        <v>974</v>
      </c>
      <c r="D361" t="s">
        <v>974</v>
      </c>
      <c r="E361" t="s">
        <v>60</v>
      </c>
      <c r="F361" t="s">
        <v>13</v>
      </c>
      <c r="G361" t="s">
        <v>63</v>
      </c>
      <c r="H361" t="s">
        <v>516</v>
      </c>
    </row>
    <row r="362" spans="1:8" x14ac:dyDescent="0.25">
      <c r="A362" t="s">
        <v>8</v>
      </c>
      <c r="B362" t="s">
        <v>91</v>
      </c>
      <c r="C362" t="s">
        <v>975</v>
      </c>
      <c r="D362" t="s">
        <v>976</v>
      </c>
      <c r="E362" t="s">
        <v>45</v>
      </c>
      <c r="F362" t="s">
        <v>19</v>
      </c>
      <c r="G362" t="s">
        <v>14</v>
      </c>
      <c r="H362" t="s">
        <v>977</v>
      </c>
    </row>
    <row r="363" spans="1:8" x14ac:dyDescent="0.25">
      <c r="A363" t="s">
        <v>8</v>
      </c>
      <c r="B363" t="s">
        <v>42</v>
      </c>
      <c r="C363" t="s">
        <v>978</v>
      </c>
      <c r="D363" t="s">
        <v>978</v>
      </c>
      <c r="E363" t="s">
        <v>23</v>
      </c>
      <c r="F363" t="s">
        <v>24</v>
      </c>
      <c r="G363" t="s">
        <v>63</v>
      </c>
      <c r="H363" t="s">
        <v>979</v>
      </c>
    </row>
    <row r="364" spans="1:8" x14ac:dyDescent="0.25">
      <c r="A364" t="s">
        <v>8</v>
      </c>
      <c r="B364" t="s">
        <v>42</v>
      </c>
      <c r="C364" t="s">
        <v>980</v>
      </c>
      <c r="D364" t="s">
        <v>981</v>
      </c>
      <c r="E364" t="s">
        <v>29</v>
      </c>
      <c r="F364" t="s">
        <v>51</v>
      </c>
      <c r="G364" t="s">
        <v>67</v>
      </c>
      <c r="H364" t="s">
        <v>982</v>
      </c>
    </row>
    <row r="365" spans="1:8" x14ac:dyDescent="0.25">
      <c r="A365" t="s">
        <v>8</v>
      </c>
      <c r="B365" t="s">
        <v>26</v>
      </c>
      <c r="C365" t="s">
        <v>983</v>
      </c>
      <c r="D365" t="s">
        <v>984</v>
      </c>
      <c r="E365" t="s">
        <v>345</v>
      </c>
      <c r="F365" t="s">
        <v>30</v>
      </c>
      <c r="G365" t="s">
        <v>14</v>
      </c>
      <c r="H365" t="s">
        <v>985</v>
      </c>
    </row>
    <row r="366" spans="1:8" x14ac:dyDescent="0.25">
      <c r="A366" t="s">
        <v>8</v>
      </c>
      <c r="B366" t="s">
        <v>91</v>
      </c>
      <c r="C366" t="s">
        <v>986</v>
      </c>
      <c r="D366" t="s">
        <v>986</v>
      </c>
      <c r="E366" t="s">
        <v>40</v>
      </c>
      <c r="F366" t="s">
        <v>191</v>
      </c>
      <c r="G366" t="s">
        <v>63</v>
      </c>
      <c r="H366" t="s">
        <v>987</v>
      </c>
    </row>
    <row r="367" spans="1:8" x14ac:dyDescent="0.25">
      <c r="A367" t="s">
        <v>8</v>
      </c>
      <c r="B367" t="s">
        <v>100</v>
      </c>
      <c r="C367" t="s">
        <v>988</v>
      </c>
      <c r="D367" t="s">
        <v>988</v>
      </c>
      <c r="E367" t="s">
        <v>116</v>
      </c>
      <c r="F367" t="s">
        <v>30</v>
      </c>
      <c r="G367" t="s">
        <v>63</v>
      </c>
      <c r="H367" t="s">
        <v>387</v>
      </c>
    </row>
    <row r="368" spans="1:8" x14ac:dyDescent="0.25">
      <c r="A368" t="s">
        <v>8</v>
      </c>
      <c r="B368" t="s">
        <v>91</v>
      </c>
      <c r="C368" t="s">
        <v>989</v>
      </c>
      <c r="D368" t="s">
        <v>989</v>
      </c>
      <c r="E368" t="s">
        <v>40</v>
      </c>
      <c r="F368" t="s">
        <v>191</v>
      </c>
      <c r="G368" t="s">
        <v>63</v>
      </c>
      <c r="H368" t="s">
        <v>990</v>
      </c>
    </row>
    <row r="369" spans="1:8" x14ac:dyDescent="0.25">
      <c r="A369" t="s">
        <v>8</v>
      </c>
      <c r="B369" t="s">
        <v>9</v>
      </c>
      <c r="C369" t="s">
        <v>991</v>
      </c>
      <c r="D369" t="s">
        <v>992</v>
      </c>
      <c r="E369" t="s">
        <v>702</v>
      </c>
      <c r="F369" t="s">
        <v>24</v>
      </c>
      <c r="G369" t="s">
        <v>14</v>
      </c>
      <c r="H369" t="s">
        <v>993</v>
      </c>
    </row>
    <row r="370" spans="1:8" x14ac:dyDescent="0.25">
      <c r="A370" t="s">
        <v>8</v>
      </c>
      <c r="B370" t="s">
        <v>91</v>
      </c>
      <c r="C370" t="s">
        <v>994</v>
      </c>
      <c r="D370" t="s">
        <v>995</v>
      </c>
      <c r="E370" t="s">
        <v>60</v>
      </c>
      <c r="F370" t="s">
        <v>13</v>
      </c>
      <c r="G370" t="s">
        <v>14</v>
      </c>
      <c r="H370" t="s">
        <v>996</v>
      </c>
    </row>
    <row r="371" spans="1:8" x14ac:dyDescent="0.25">
      <c r="A371" t="s">
        <v>8</v>
      </c>
      <c r="B371" t="s">
        <v>42</v>
      </c>
      <c r="C371" t="s">
        <v>997</v>
      </c>
      <c r="D371" t="s">
        <v>998</v>
      </c>
      <c r="E371" t="s">
        <v>67</v>
      </c>
      <c r="F371" t="s">
        <v>24</v>
      </c>
      <c r="G371" t="s">
        <v>67</v>
      </c>
      <c r="H371" t="s">
        <v>999</v>
      </c>
    </row>
    <row r="372" spans="1:8" x14ac:dyDescent="0.25">
      <c r="A372" t="s">
        <v>8</v>
      </c>
      <c r="B372" t="s">
        <v>37</v>
      </c>
      <c r="C372" t="s">
        <v>1000</v>
      </c>
      <c r="D372" t="s">
        <v>1001</v>
      </c>
      <c r="E372" t="s">
        <v>12</v>
      </c>
      <c r="F372" t="s">
        <v>19</v>
      </c>
      <c r="G372" t="s">
        <v>14</v>
      </c>
      <c r="H372" t="s">
        <v>1002</v>
      </c>
    </row>
    <row r="373" spans="1:8" x14ac:dyDescent="0.25">
      <c r="A373" t="s">
        <v>8</v>
      </c>
      <c r="B373" t="s">
        <v>26</v>
      </c>
      <c r="C373" t="s">
        <v>1003</v>
      </c>
      <c r="D373" t="s">
        <v>1004</v>
      </c>
      <c r="E373" t="s">
        <v>29</v>
      </c>
      <c r="F373" t="s">
        <v>51</v>
      </c>
      <c r="G373" t="s">
        <v>67</v>
      </c>
      <c r="H373" t="s">
        <v>57</v>
      </c>
    </row>
    <row r="374" spans="1:8" x14ac:dyDescent="0.25">
      <c r="A374" t="s">
        <v>8</v>
      </c>
      <c r="B374" t="s">
        <v>32</v>
      </c>
      <c r="C374" t="s">
        <v>1005</v>
      </c>
      <c r="D374" t="s">
        <v>1006</v>
      </c>
      <c r="E374" t="s">
        <v>12</v>
      </c>
      <c r="F374" t="s">
        <v>30</v>
      </c>
      <c r="G374" t="s">
        <v>14</v>
      </c>
      <c r="H374" t="s">
        <v>1007</v>
      </c>
    </row>
    <row r="375" spans="1:8" x14ac:dyDescent="0.25">
      <c r="A375" t="s">
        <v>8</v>
      </c>
      <c r="B375" t="s">
        <v>37</v>
      </c>
      <c r="C375" t="s">
        <v>1008</v>
      </c>
      <c r="D375" t="s">
        <v>1009</v>
      </c>
      <c r="E375" t="s">
        <v>35</v>
      </c>
      <c r="F375" t="s">
        <v>24</v>
      </c>
      <c r="G375" t="s">
        <v>14</v>
      </c>
      <c r="H375" t="s">
        <v>57</v>
      </c>
    </row>
    <row r="376" spans="1:8" x14ac:dyDescent="0.25">
      <c r="A376" t="s">
        <v>8</v>
      </c>
      <c r="B376" t="s">
        <v>183</v>
      </c>
      <c r="C376" t="s">
        <v>1010</v>
      </c>
      <c r="D376" t="s">
        <v>1011</v>
      </c>
      <c r="E376" t="s">
        <v>29</v>
      </c>
      <c r="F376" t="s">
        <v>51</v>
      </c>
      <c r="G376" t="s">
        <v>67</v>
      </c>
      <c r="H376" t="s">
        <v>261</v>
      </c>
    </row>
    <row r="377" spans="1:8" x14ac:dyDescent="0.25">
      <c r="A377" t="s">
        <v>8</v>
      </c>
      <c r="B377" t="s">
        <v>26</v>
      </c>
      <c r="C377" t="s">
        <v>1012</v>
      </c>
      <c r="D377" t="s">
        <v>1013</v>
      </c>
      <c r="E377" t="s">
        <v>12</v>
      </c>
      <c r="F377" t="s">
        <v>30</v>
      </c>
      <c r="G377" t="s">
        <v>14</v>
      </c>
      <c r="H377" t="s">
        <v>1014</v>
      </c>
    </row>
    <row r="378" spans="1:8" x14ac:dyDescent="0.25">
      <c r="A378" t="s">
        <v>8</v>
      </c>
      <c r="B378" t="s">
        <v>91</v>
      </c>
      <c r="C378" t="s">
        <v>1015</v>
      </c>
      <c r="D378" t="s">
        <v>1015</v>
      </c>
      <c r="E378" t="s">
        <v>23</v>
      </c>
      <c r="F378" t="s">
        <v>24</v>
      </c>
      <c r="G378" t="s">
        <v>63</v>
      </c>
      <c r="H378" t="s">
        <v>378</v>
      </c>
    </row>
    <row r="379" spans="1:8" x14ac:dyDescent="0.25">
      <c r="A379" t="s">
        <v>8</v>
      </c>
      <c r="B379" t="s">
        <v>73</v>
      </c>
      <c r="C379" t="s">
        <v>1016</v>
      </c>
      <c r="D379" t="s">
        <v>1017</v>
      </c>
      <c r="E379" t="s">
        <v>29</v>
      </c>
      <c r="F379" t="s">
        <v>30</v>
      </c>
      <c r="G379" t="s">
        <v>14</v>
      </c>
      <c r="H379" t="s">
        <v>205</v>
      </c>
    </row>
    <row r="380" spans="1:8" x14ac:dyDescent="0.25">
      <c r="A380" t="s">
        <v>8</v>
      </c>
      <c r="B380" t="s">
        <v>16</v>
      </c>
      <c r="C380" t="s">
        <v>1018</v>
      </c>
      <c r="D380" t="s">
        <v>1019</v>
      </c>
      <c r="E380" t="s">
        <v>35</v>
      </c>
      <c r="F380" t="s">
        <v>24</v>
      </c>
      <c r="G380" t="s">
        <v>14</v>
      </c>
      <c r="H380" t="s">
        <v>1020</v>
      </c>
    </row>
    <row r="381" spans="1:8" x14ac:dyDescent="0.25">
      <c r="A381" t="s">
        <v>8</v>
      </c>
      <c r="B381" t="s">
        <v>32</v>
      </c>
      <c r="C381" t="s">
        <v>1021</v>
      </c>
      <c r="D381" t="s">
        <v>1022</v>
      </c>
      <c r="E381" t="s">
        <v>29</v>
      </c>
      <c r="F381" t="s">
        <v>51</v>
      </c>
      <c r="G381" t="s">
        <v>67</v>
      </c>
      <c r="H381" t="s">
        <v>173</v>
      </c>
    </row>
    <row r="382" spans="1:8" x14ac:dyDescent="0.25">
      <c r="A382" t="s">
        <v>8</v>
      </c>
      <c r="B382" t="s">
        <v>42</v>
      </c>
      <c r="C382" t="s">
        <v>1023</v>
      </c>
      <c r="D382" t="s">
        <v>1024</v>
      </c>
      <c r="E382" t="s">
        <v>35</v>
      </c>
      <c r="F382" t="s">
        <v>30</v>
      </c>
      <c r="G382" t="s">
        <v>14</v>
      </c>
      <c r="H382" t="s">
        <v>464</v>
      </c>
    </row>
    <row r="383" spans="1:8" x14ac:dyDescent="0.25">
      <c r="A383" t="s">
        <v>8</v>
      </c>
      <c r="B383" t="s">
        <v>16</v>
      </c>
      <c r="C383" t="s">
        <v>1025</v>
      </c>
      <c r="D383" t="s">
        <v>1026</v>
      </c>
      <c r="E383" t="s">
        <v>35</v>
      </c>
      <c r="F383" t="s">
        <v>30</v>
      </c>
      <c r="G383" t="s">
        <v>14</v>
      </c>
      <c r="H383" t="s">
        <v>1027</v>
      </c>
    </row>
    <row r="384" spans="1:8" x14ac:dyDescent="0.25">
      <c r="A384" t="s">
        <v>8</v>
      </c>
      <c r="B384" t="s">
        <v>16</v>
      </c>
      <c r="C384" t="s">
        <v>1028</v>
      </c>
      <c r="D384" t="s">
        <v>1029</v>
      </c>
      <c r="E384" t="s">
        <v>12</v>
      </c>
      <c r="F384" t="s">
        <v>13</v>
      </c>
      <c r="G384" t="s">
        <v>14</v>
      </c>
      <c r="H384" t="s">
        <v>375</v>
      </c>
    </row>
    <row r="385" spans="1:8" x14ac:dyDescent="0.25">
      <c r="A385" t="s">
        <v>8</v>
      </c>
      <c r="B385" t="s">
        <v>26</v>
      </c>
      <c r="C385" t="s">
        <v>1030</v>
      </c>
      <c r="D385" t="s">
        <v>1031</v>
      </c>
      <c r="E385" t="s">
        <v>67</v>
      </c>
      <c r="F385" t="s">
        <v>24</v>
      </c>
      <c r="G385" t="s">
        <v>67</v>
      </c>
      <c r="H385" t="s">
        <v>57</v>
      </c>
    </row>
    <row r="386" spans="1:8" x14ac:dyDescent="0.25">
      <c r="A386" t="s">
        <v>8</v>
      </c>
      <c r="B386" t="s">
        <v>77</v>
      </c>
      <c r="C386" t="s">
        <v>1032</v>
      </c>
      <c r="D386" t="s">
        <v>1032</v>
      </c>
      <c r="E386" t="s">
        <v>29</v>
      </c>
      <c r="F386" t="s">
        <v>13</v>
      </c>
      <c r="G386" t="s">
        <v>63</v>
      </c>
      <c r="H386" t="s">
        <v>421</v>
      </c>
    </row>
    <row r="387" spans="1:8" x14ac:dyDescent="0.25">
      <c r="A387" t="s">
        <v>8</v>
      </c>
      <c r="B387" t="s">
        <v>42</v>
      </c>
      <c r="C387" t="s">
        <v>1033</v>
      </c>
      <c r="D387" t="s">
        <v>1034</v>
      </c>
      <c r="E387" t="s">
        <v>45</v>
      </c>
      <c r="F387" t="s">
        <v>30</v>
      </c>
      <c r="G387" t="s">
        <v>14</v>
      </c>
      <c r="H387" t="s">
        <v>122</v>
      </c>
    </row>
    <row r="388" spans="1:8" x14ac:dyDescent="0.25">
      <c r="A388" t="s">
        <v>8</v>
      </c>
      <c r="B388" t="s">
        <v>26</v>
      </c>
      <c r="C388" t="s">
        <v>1035</v>
      </c>
      <c r="D388" t="s">
        <v>1036</v>
      </c>
      <c r="E388" t="s">
        <v>29</v>
      </c>
      <c r="F388" t="s">
        <v>24</v>
      </c>
      <c r="G388" t="s">
        <v>14</v>
      </c>
      <c r="H388" t="s">
        <v>205</v>
      </c>
    </row>
    <row r="389" spans="1:8" x14ac:dyDescent="0.25">
      <c r="A389" t="s">
        <v>8</v>
      </c>
      <c r="B389" t="s">
        <v>16</v>
      </c>
      <c r="C389" t="s">
        <v>1037</v>
      </c>
      <c r="D389" t="s">
        <v>1038</v>
      </c>
      <c r="E389" t="s">
        <v>29</v>
      </c>
      <c r="F389" t="s">
        <v>24</v>
      </c>
      <c r="G389" t="s">
        <v>14</v>
      </c>
      <c r="H389" t="s">
        <v>1039</v>
      </c>
    </row>
    <row r="390" spans="1:8" x14ac:dyDescent="0.25">
      <c r="A390" t="s">
        <v>8</v>
      </c>
      <c r="B390" t="s">
        <v>26</v>
      </c>
      <c r="C390" t="s">
        <v>1040</v>
      </c>
      <c r="D390" t="s">
        <v>1040</v>
      </c>
      <c r="E390" t="s">
        <v>23</v>
      </c>
      <c r="F390" t="s">
        <v>24</v>
      </c>
      <c r="G390" t="s">
        <v>63</v>
      </c>
      <c r="H390" t="s">
        <v>378</v>
      </c>
    </row>
    <row r="391" spans="1:8" x14ac:dyDescent="0.25">
      <c r="A391" t="s">
        <v>8</v>
      </c>
      <c r="B391" t="s">
        <v>73</v>
      </c>
      <c r="C391" t="s">
        <v>1041</v>
      </c>
      <c r="D391" t="s">
        <v>1042</v>
      </c>
      <c r="E391" t="s">
        <v>276</v>
      </c>
      <c r="F391" t="s">
        <v>51</v>
      </c>
      <c r="G391" t="s">
        <v>14</v>
      </c>
      <c r="H391" t="s">
        <v>1043</v>
      </c>
    </row>
    <row r="392" spans="1:8" x14ac:dyDescent="0.25">
      <c r="A392" t="s">
        <v>8</v>
      </c>
      <c r="B392" t="s">
        <v>26</v>
      </c>
      <c r="C392" t="s">
        <v>1044</v>
      </c>
      <c r="D392" t="s">
        <v>1045</v>
      </c>
      <c r="E392" t="s">
        <v>29</v>
      </c>
      <c r="F392" t="s">
        <v>19</v>
      </c>
      <c r="G392" t="s">
        <v>14</v>
      </c>
      <c r="H392" t="s">
        <v>576</v>
      </c>
    </row>
    <row r="393" spans="1:8" x14ac:dyDescent="0.25">
      <c r="A393" t="s">
        <v>8</v>
      </c>
      <c r="B393" t="s">
        <v>42</v>
      </c>
      <c r="C393" t="s">
        <v>1046</v>
      </c>
      <c r="D393" t="s">
        <v>1047</v>
      </c>
      <c r="E393" t="s">
        <v>67</v>
      </c>
      <c r="F393" t="s">
        <v>24</v>
      </c>
      <c r="G393" t="s">
        <v>67</v>
      </c>
      <c r="H393" t="s">
        <v>416</v>
      </c>
    </row>
    <row r="394" spans="1:8" x14ac:dyDescent="0.25">
      <c r="A394" t="s">
        <v>8</v>
      </c>
      <c r="B394" t="s">
        <v>9</v>
      </c>
      <c r="C394" t="s">
        <v>1048</v>
      </c>
      <c r="D394" t="s">
        <v>1049</v>
      </c>
      <c r="E394" t="s">
        <v>35</v>
      </c>
      <c r="F394" t="s">
        <v>19</v>
      </c>
      <c r="G394" t="s">
        <v>14</v>
      </c>
      <c r="H394" t="s">
        <v>509</v>
      </c>
    </row>
    <row r="395" spans="1:8" x14ac:dyDescent="0.25">
      <c r="A395" t="s">
        <v>8</v>
      </c>
      <c r="B395" t="s">
        <v>42</v>
      </c>
      <c r="C395" t="s">
        <v>1050</v>
      </c>
      <c r="D395" t="s">
        <v>1051</v>
      </c>
      <c r="E395" t="s">
        <v>328</v>
      </c>
      <c r="F395" t="s">
        <v>51</v>
      </c>
      <c r="G395" t="s">
        <v>14</v>
      </c>
      <c r="H395" t="s">
        <v>1052</v>
      </c>
    </row>
    <row r="396" spans="1:8" x14ac:dyDescent="0.25">
      <c r="A396" t="s">
        <v>8</v>
      </c>
      <c r="B396" t="s">
        <v>37</v>
      </c>
      <c r="C396" t="s">
        <v>1053</v>
      </c>
      <c r="D396" t="s">
        <v>1054</v>
      </c>
      <c r="E396" t="s">
        <v>116</v>
      </c>
      <c r="F396" t="s">
        <v>30</v>
      </c>
      <c r="G396" t="s">
        <v>14</v>
      </c>
      <c r="H396" t="s">
        <v>1055</v>
      </c>
    </row>
    <row r="397" spans="1:8" x14ac:dyDescent="0.25">
      <c r="A397" t="s">
        <v>8</v>
      </c>
      <c r="B397" t="s">
        <v>73</v>
      </c>
      <c r="C397" t="s">
        <v>1056</v>
      </c>
      <c r="D397" t="s">
        <v>1057</v>
      </c>
      <c r="E397" t="s">
        <v>29</v>
      </c>
      <c r="F397" t="s">
        <v>24</v>
      </c>
      <c r="G397" t="s">
        <v>14</v>
      </c>
      <c r="H397" t="s">
        <v>277</v>
      </c>
    </row>
    <row r="398" spans="1:8" x14ac:dyDescent="0.25">
      <c r="A398" t="s">
        <v>8</v>
      </c>
      <c r="B398" t="s">
        <v>9</v>
      </c>
      <c r="C398" t="s">
        <v>1058</v>
      </c>
      <c r="D398" t="s">
        <v>1059</v>
      </c>
      <c r="E398" t="s">
        <v>23</v>
      </c>
      <c r="F398" t="s">
        <v>19</v>
      </c>
      <c r="G398" t="s">
        <v>14</v>
      </c>
      <c r="H398" t="s">
        <v>1060</v>
      </c>
    </row>
    <row r="399" spans="1:8" x14ac:dyDescent="0.25">
      <c r="A399" t="s">
        <v>8</v>
      </c>
      <c r="B399" t="s">
        <v>37</v>
      </c>
      <c r="C399" t="s">
        <v>1061</v>
      </c>
      <c r="D399" t="s">
        <v>1061</v>
      </c>
      <c r="E399" t="s">
        <v>40</v>
      </c>
      <c r="F399" t="s">
        <v>191</v>
      </c>
      <c r="G399" t="s">
        <v>63</v>
      </c>
      <c r="H399" t="s">
        <v>1062</v>
      </c>
    </row>
    <row r="400" spans="1:8" x14ac:dyDescent="0.25">
      <c r="A400" t="s">
        <v>8</v>
      </c>
      <c r="B400" t="s">
        <v>91</v>
      </c>
      <c r="C400" t="s">
        <v>1063</v>
      </c>
      <c r="D400" t="s">
        <v>1064</v>
      </c>
      <c r="E400" t="s">
        <v>467</v>
      </c>
      <c r="F400" t="s">
        <v>51</v>
      </c>
      <c r="G400" t="s">
        <v>14</v>
      </c>
      <c r="H400" t="s">
        <v>1065</v>
      </c>
    </row>
    <row r="401" spans="1:8" x14ac:dyDescent="0.25">
      <c r="A401" t="s">
        <v>8</v>
      </c>
      <c r="B401" t="s">
        <v>91</v>
      </c>
      <c r="C401" t="s">
        <v>1066</v>
      </c>
      <c r="D401" t="s">
        <v>1067</v>
      </c>
      <c r="E401" t="s">
        <v>50</v>
      </c>
      <c r="F401" t="s">
        <v>19</v>
      </c>
      <c r="G401" t="s">
        <v>14</v>
      </c>
      <c r="H401" t="s">
        <v>1068</v>
      </c>
    </row>
    <row r="402" spans="1:8" x14ac:dyDescent="0.25">
      <c r="A402" t="s">
        <v>8</v>
      </c>
      <c r="B402" t="s">
        <v>32</v>
      </c>
      <c r="C402" t="s">
        <v>1069</v>
      </c>
      <c r="D402" t="s">
        <v>1069</v>
      </c>
      <c r="E402" t="s">
        <v>29</v>
      </c>
      <c r="F402" t="s">
        <v>13</v>
      </c>
      <c r="G402" t="s">
        <v>63</v>
      </c>
      <c r="H402" t="s">
        <v>303</v>
      </c>
    </row>
    <row r="403" spans="1:8" x14ac:dyDescent="0.25">
      <c r="A403" t="s">
        <v>8</v>
      </c>
      <c r="B403" t="s">
        <v>9</v>
      </c>
      <c r="C403" t="s">
        <v>1070</v>
      </c>
      <c r="D403" t="s">
        <v>1071</v>
      </c>
      <c r="E403" t="s">
        <v>390</v>
      </c>
      <c r="F403" t="s">
        <v>51</v>
      </c>
      <c r="G403" t="s">
        <v>14</v>
      </c>
      <c r="H403" t="s">
        <v>1072</v>
      </c>
    </row>
    <row r="404" spans="1:8" x14ac:dyDescent="0.25">
      <c r="A404" t="s">
        <v>8</v>
      </c>
      <c r="B404" t="s">
        <v>32</v>
      </c>
      <c r="C404" t="s">
        <v>1073</v>
      </c>
      <c r="D404" t="s">
        <v>1074</v>
      </c>
      <c r="E404" t="s">
        <v>29</v>
      </c>
      <c r="F404" t="s">
        <v>30</v>
      </c>
      <c r="G404" t="s">
        <v>14</v>
      </c>
      <c r="H404" t="s">
        <v>1075</v>
      </c>
    </row>
    <row r="405" spans="1:8" x14ac:dyDescent="0.25">
      <c r="A405" t="s">
        <v>8</v>
      </c>
      <c r="B405" t="s">
        <v>91</v>
      </c>
      <c r="C405" t="s">
        <v>1076</v>
      </c>
      <c r="D405" t="s">
        <v>1077</v>
      </c>
      <c r="E405" t="s">
        <v>29</v>
      </c>
      <c r="F405" t="s">
        <v>97</v>
      </c>
      <c r="G405" t="s">
        <v>98</v>
      </c>
      <c r="H405" t="s">
        <v>267</v>
      </c>
    </row>
    <row r="406" spans="1:8" x14ac:dyDescent="0.25">
      <c r="A406" t="s">
        <v>8</v>
      </c>
      <c r="B406" t="s">
        <v>77</v>
      </c>
      <c r="C406" t="s">
        <v>1078</v>
      </c>
      <c r="D406" t="s">
        <v>1079</v>
      </c>
      <c r="E406" t="s">
        <v>29</v>
      </c>
      <c r="F406" t="s">
        <v>51</v>
      </c>
      <c r="G406" t="s">
        <v>67</v>
      </c>
      <c r="H406" t="s">
        <v>336</v>
      </c>
    </row>
    <row r="407" spans="1:8" x14ac:dyDescent="0.25">
      <c r="A407" t="s">
        <v>8</v>
      </c>
      <c r="B407" t="s">
        <v>37</v>
      </c>
      <c r="C407" t="s">
        <v>1080</v>
      </c>
      <c r="D407" t="s">
        <v>1081</v>
      </c>
      <c r="E407" t="s">
        <v>12</v>
      </c>
      <c r="F407" t="s">
        <v>13</v>
      </c>
      <c r="G407" t="s">
        <v>14</v>
      </c>
      <c r="H407" t="s">
        <v>299</v>
      </c>
    </row>
    <row r="408" spans="1:8" x14ac:dyDescent="0.25">
      <c r="A408" t="s">
        <v>8</v>
      </c>
      <c r="B408" t="s">
        <v>42</v>
      </c>
      <c r="C408" t="s">
        <v>1082</v>
      </c>
      <c r="D408" t="s">
        <v>1083</v>
      </c>
      <c r="E408" t="s">
        <v>40</v>
      </c>
      <c r="F408" t="s">
        <v>80</v>
      </c>
      <c r="G408" t="s">
        <v>14</v>
      </c>
      <c r="H408" t="s">
        <v>1084</v>
      </c>
    </row>
    <row r="409" spans="1:8" x14ac:dyDescent="0.25">
      <c r="A409" t="s">
        <v>8</v>
      </c>
      <c r="B409" t="s">
        <v>26</v>
      </c>
      <c r="C409" t="s">
        <v>1085</v>
      </c>
      <c r="D409" t="s">
        <v>1086</v>
      </c>
      <c r="E409" t="s">
        <v>12</v>
      </c>
      <c r="F409" t="s">
        <v>13</v>
      </c>
      <c r="G409" t="s">
        <v>14</v>
      </c>
      <c r="H409" t="s">
        <v>1087</v>
      </c>
    </row>
    <row r="410" spans="1:8" x14ac:dyDescent="0.25">
      <c r="A410" t="s">
        <v>8</v>
      </c>
      <c r="B410" t="s">
        <v>42</v>
      </c>
      <c r="C410" t="s">
        <v>1088</v>
      </c>
      <c r="D410" t="s">
        <v>1089</v>
      </c>
      <c r="E410" t="s">
        <v>29</v>
      </c>
      <c r="F410" t="s">
        <v>30</v>
      </c>
      <c r="G410" t="s">
        <v>14</v>
      </c>
      <c r="H410" t="s">
        <v>539</v>
      </c>
    </row>
    <row r="411" spans="1:8" x14ac:dyDescent="0.25">
      <c r="A411" t="s">
        <v>8</v>
      </c>
      <c r="B411" t="s">
        <v>77</v>
      </c>
      <c r="C411" t="s">
        <v>1090</v>
      </c>
      <c r="D411" t="s">
        <v>1091</v>
      </c>
      <c r="E411" t="s">
        <v>45</v>
      </c>
      <c r="F411" t="s">
        <v>71</v>
      </c>
      <c r="G411" t="s">
        <v>14</v>
      </c>
      <c r="H411" t="s">
        <v>36</v>
      </c>
    </row>
    <row r="412" spans="1:8" x14ac:dyDescent="0.25">
      <c r="A412" t="s">
        <v>8</v>
      </c>
      <c r="B412" t="s">
        <v>183</v>
      </c>
      <c r="C412" t="s">
        <v>1092</v>
      </c>
      <c r="D412" t="s">
        <v>1093</v>
      </c>
      <c r="E412" t="s">
        <v>29</v>
      </c>
      <c r="F412" t="s">
        <v>51</v>
      </c>
      <c r="G412" t="s">
        <v>67</v>
      </c>
      <c r="H412" t="s">
        <v>1094</v>
      </c>
    </row>
    <row r="413" spans="1:8" x14ac:dyDescent="0.25">
      <c r="A413" t="s">
        <v>8</v>
      </c>
      <c r="B413" t="s">
        <v>100</v>
      </c>
      <c r="C413" t="s">
        <v>1095</v>
      </c>
      <c r="D413" t="s">
        <v>1096</v>
      </c>
      <c r="E413" t="s">
        <v>641</v>
      </c>
      <c r="F413" t="s">
        <v>19</v>
      </c>
      <c r="G413" t="s">
        <v>14</v>
      </c>
      <c r="H413" t="s">
        <v>1097</v>
      </c>
    </row>
    <row r="414" spans="1:8" x14ac:dyDescent="0.25">
      <c r="A414" t="s">
        <v>8</v>
      </c>
      <c r="B414" t="s">
        <v>16</v>
      </c>
      <c r="C414" t="s">
        <v>1098</v>
      </c>
      <c r="D414" t="s">
        <v>1099</v>
      </c>
      <c r="E414" t="s">
        <v>1100</v>
      </c>
      <c r="F414" t="s">
        <v>51</v>
      </c>
      <c r="G414" t="s">
        <v>14</v>
      </c>
      <c r="H414" t="s">
        <v>1101</v>
      </c>
    </row>
    <row r="415" spans="1:8" x14ac:dyDescent="0.25">
      <c r="A415" t="s">
        <v>8</v>
      </c>
      <c r="B415" t="s">
        <v>42</v>
      </c>
      <c r="C415" t="s">
        <v>1102</v>
      </c>
      <c r="D415" t="s">
        <v>1103</v>
      </c>
      <c r="E415" t="s">
        <v>29</v>
      </c>
      <c r="F415" t="s">
        <v>51</v>
      </c>
      <c r="G415" t="s">
        <v>67</v>
      </c>
      <c r="H415" t="s">
        <v>57</v>
      </c>
    </row>
    <row r="416" spans="1:8" x14ac:dyDescent="0.25">
      <c r="A416" t="s">
        <v>8</v>
      </c>
      <c r="B416" t="s">
        <v>91</v>
      </c>
      <c r="C416" t="s">
        <v>1104</v>
      </c>
      <c r="D416" t="s">
        <v>1105</v>
      </c>
      <c r="E416" t="s">
        <v>67</v>
      </c>
      <c r="F416" t="s">
        <v>19</v>
      </c>
      <c r="G416" t="s">
        <v>67</v>
      </c>
      <c r="H416" t="s">
        <v>999</v>
      </c>
    </row>
    <row r="417" spans="1:8" x14ac:dyDescent="0.25">
      <c r="A417" t="s">
        <v>8</v>
      </c>
      <c r="B417" t="s">
        <v>42</v>
      </c>
      <c r="C417" t="s">
        <v>1106</v>
      </c>
      <c r="D417" t="s">
        <v>1107</v>
      </c>
      <c r="E417" t="s">
        <v>29</v>
      </c>
      <c r="F417" t="s">
        <v>51</v>
      </c>
      <c r="G417" t="s">
        <v>67</v>
      </c>
      <c r="H417" t="s">
        <v>122</v>
      </c>
    </row>
    <row r="418" spans="1:8" x14ac:dyDescent="0.25">
      <c r="A418" t="s">
        <v>8</v>
      </c>
      <c r="B418" t="s">
        <v>91</v>
      </c>
      <c r="C418" t="s">
        <v>1108</v>
      </c>
      <c r="D418" t="s">
        <v>1108</v>
      </c>
      <c r="E418" t="s">
        <v>50</v>
      </c>
      <c r="F418" t="s">
        <v>24</v>
      </c>
      <c r="G418" t="s">
        <v>63</v>
      </c>
      <c r="H418" t="s">
        <v>516</v>
      </c>
    </row>
    <row r="419" spans="1:8" x14ac:dyDescent="0.25">
      <c r="A419" t="s">
        <v>8</v>
      </c>
      <c r="B419" t="s">
        <v>9</v>
      </c>
      <c r="C419" t="s">
        <v>1109</v>
      </c>
      <c r="D419" t="s">
        <v>1110</v>
      </c>
      <c r="E419" t="s">
        <v>23</v>
      </c>
      <c r="F419" t="s">
        <v>30</v>
      </c>
      <c r="G419" t="s">
        <v>14</v>
      </c>
      <c r="H419" t="s">
        <v>282</v>
      </c>
    </row>
    <row r="420" spans="1:8" x14ac:dyDescent="0.25">
      <c r="A420" t="s">
        <v>8</v>
      </c>
      <c r="B420" t="s">
        <v>100</v>
      </c>
      <c r="C420" t="s">
        <v>1111</v>
      </c>
      <c r="D420" t="s">
        <v>1112</v>
      </c>
      <c r="E420" t="s">
        <v>45</v>
      </c>
      <c r="F420" t="s">
        <v>71</v>
      </c>
      <c r="G420" t="s">
        <v>14</v>
      </c>
      <c r="H420" t="s">
        <v>1113</v>
      </c>
    </row>
    <row r="421" spans="1:8" x14ac:dyDescent="0.25">
      <c r="A421" t="s">
        <v>8</v>
      </c>
      <c r="B421" t="s">
        <v>100</v>
      </c>
      <c r="C421" t="s">
        <v>1114</v>
      </c>
      <c r="D421" t="s">
        <v>1115</v>
      </c>
      <c r="E421" t="s">
        <v>50</v>
      </c>
      <c r="F421" t="s">
        <v>51</v>
      </c>
      <c r="G421" t="s">
        <v>14</v>
      </c>
      <c r="H421" t="s">
        <v>252</v>
      </c>
    </row>
    <row r="422" spans="1:8" x14ac:dyDescent="0.25">
      <c r="A422" t="s">
        <v>8</v>
      </c>
      <c r="B422" t="s">
        <v>77</v>
      </c>
      <c r="C422" t="s">
        <v>1116</v>
      </c>
      <c r="D422" t="s">
        <v>1117</v>
      </c>
      <c r="E422" t="s">
        <v>29</v>
      </c>
      <c r="F422" t="s">
        <v>51</v>
      </c>
      <c r="G422" t="s">
        <v>67</v>
      </c>
      <c r="H422" t="s">
        <v>336</v>
      </c>
    </row>
    <row r="423" spans="1:8" x14ac:dyDescent="0.25">
      <c r="A423" t="s">
        <v>8</v>
      </c>
      <c r="B423" t="s">
        <v>183</v>
      </c>
      <c r="C423" t="s">
        <v>1118</v>
      </c>
      <c r="D423" t="s">
        <v>1119</v>
      </c>
      <c r="E423" t="s">
        <v>29</v>
      </c>
      <c r="F423" t="s">
        <v>51</v>
      </c>
      <c r="G423" t="s">
        <v>67</v>
      </c>
      <c r="H423" t="s">
        <v>122</v>
      </c>
    </row>
    <row r="424" spans="1:8" x14ac:dyDescent="0.25">
      <c r="A424" t="s">
        <v>8</v>
      </c>
      <c r="B424" t="s">
        <v>42</v>
      </c>
      <c r="C424" t="s">
        <v>1120</v>
      </c>
      <c r="D424" t="s">
        <v>1120</v>
      </c>
      <c r="E424" t="s">
        <v>40</v>
      </c>
      <c r="F424" t="s">
        <v>191</v>
      </c>
      <c r="G424" t="s">
        <v>63</v>
      </c>
      <c r="H424" t="s">
        <v>301</v>
      </c>
    </row>
    <row r="425" spans="1:8" x14ac:dyDescent="0.25">
      <c r="A425" t="s">
        <v>8</v>
      </c>
      <c r="B425" t="s">
        <v>9</v>
      </c>
      <c r="C425" t="s">
        <v>1121</v>
      </c>
      <c r="D425" t="s">
        <v>1122</v>
      </c>
      <c r="E425" t="s">
        <v>29</v>
      </c>
      <c r="F425" t="s">
        <v>24</v>
      </c>
      <c r="G425" t="s">
        <v>14</v>
      </c>
      <c r="H425" t="s">
        <v>205</v>
      </c>
    </row>
    <row r="426" spans="1:8" x14ac:dyDescent="0.25">
      <c r="A426" t="s">
        <v>8</v>
      </c>
      <c r="B426" t="s">
        <v>9</v>
      </c>
      <c r="C426" t="s">
        <v>1123</v>
      </c>
      <c r="D426" t="s">
        <v>1124</v>
      </c>
      <c r="E426" t="s">
        <v>172</v>
      </c>
      <c r="F426" t="s">
        <v>24</v>
      </c>
      <c r="G426" t="s">
        <v>14</v>
      </c>
      <c r="H426" t="s">
        <v>112</v>
      </c>
    </row>
    <row r="427" spans="1:8" x14ac:dyDescent="0.25">
      <c r="A427" t="s">
        <v>8</v>
      </c>
      <c r="B427" t="s">
        <v>77</v>
      </c>
      <c r="C427" t="s">
        <v>1125</v>
      </c>
      <c r="D427" t="s">
        <v>1126</v>
      </c>
      <c r="E427" t="s">
        <v>60</v>
      </c>
      <c r="F427" t="s">
        <v>13</v>
      </c>
      <c r="G427" t="s">
        <v>14</v>
      </c>
      <c r="H427" t="s">
        <v>611</v>
      </c>
    </row>
    <row r="428" spans="1:8" x14ac:dyDescent="0.25">
      <c r="A428" t="s">
        <v>8</v>
      </c>
      <c r="B428" t="s">
        <v>100</v>
      </c>
      <c r="C428" t="s">
        <v>1127</v>
      </c>
      <c r="D428" t="s">
        <v>1128</v>
      </c>
      <c r="E428" t="s">
        <v>67</v>
      </c>
      <c r="F428" t="s">
        <v>19</v>
      </c>
      <c r="G428" t="s">
        <v>67</v>
      </c>
      <c r="H428" t="s">
        <v>261</v>
      </c>
    </row>
    <row r="429" spans="1:8" x14ac:dyDescent="0.25">
      <c r="A429" t="s">
        <v>8</v>
      </c>
      <c r="B429" t="s">
        <v>37</v>
      </c>
      <c r="C429" t="s">
        <v>1129</v>
      </c>
      <c r="D429" t="s">
        <v>1130</v>
      </c>
      <c r="E429" t="s">
        <v>29</v>
      </c>
      <c r="F429" t="s">
        <v>51</v>
      </c>
      <c r="G429" t="s">
        <v>67</v>
      </c>
      <c r="H429" t="s">
        <v>443</v>
      </c>
    </row>
    <row r="430" spans="1:8" x14ac:dyDescent="0.25">
      <c r="A430" t="s">
        <v>8</v>
      </c>
      <c r="B430" t="s">
        <v>26</v>
      </c>
      <c r="C430" t="s">
        <v>1131</v>
      </c>
      <c r="D430" t="s">
        <v>1132</v>
      </c>
      <c r="E430" t="s">
        <v>50</v>
      </c>
      <c r="F430" t="s">
        <v>19</v>
      </c>
      <c r="G430" t="s">
        <v>14</v>
      </c>
      <c r="H430" t="s">
        <v>1133</v>
      </c>
    </row>
    <row r="431" spans="1:8" x14ac:dyDescent="0.25">
      <c r="A431" t="s">
        <v>8</v>
      </c>
      <c r="B431" t="s">
        <v>100</v>
      </c>
      <c r="C431" t="s">
        <v>1134</v>
      </c>
      <c r="D431" t="s">
        <v>1135</v>
      </c>
      <c r="E431" t="s">
        <v>29</v>
      </c>
      <c r="F431" t="s">
        <v>24</v>
      </c>
      <c r="G431" t="s">
        <v>14</v>
      </c>
      <c r="H431" t="s">
        <v>287</v>
      </c>
    </row>
    <row r="432" spans="1:8" x14ac:dyDescent="0.25">
      <c r="A432" t="s">
        <v>8</v>
      </c>
      <c r="B432" t="s">
        <v>73</v>
      </c>
      <c r="C432" t="s">
        <v>1136</v>
      </c>
      <c r="D432" t="s">
        <v>1136</v>
      </c>
      <c r="E432" t="s">
        <v>172</v>
      </c>
      <c r="F432" t="s">
        <v>30</v>
      </c>
      <c r="G432" t="s">
        <v>63</v>
      </c>
      <c r="H432" t="s">
        <v>519</v>
      </c>
    </row>
    <row r="433" spans="1:8" x14ac:dyDescent="0.25">
      <c r="A433" t="s">
        <v>8</v>
      </c>
      <c r="B433" t="s">
        <v>100</v>
      </c>
      <c r="C433" t="s">
        <v>1137</v>
      </c>
      <c r="D433" t="s">
        <v>1138</v>
      </c>
      <c r="E433" t="s">
        <v>67</v>
      </c>
      <c r="F433" t="s">
        <v>19</v>
      </c>
      <c r="G433" t="s">
        <v>67</v>
      </c>
      <c r="H433" t="s">
        <v>36</v>
      </c>
    </row>
    <row r="434" spans="1:8" x14ac:dyDescent="0.25">
      <c r="A434" t="s">
        <v>8</v>
      </c>
      <c r="B434" t="s">
        <v>37</v>
      </c>
      <c r="C434" t="s">
        <v>1139</v>
      </c>
      <c r="D434" t="s">
        <v>1140</v>
      </c>
      <c r="E434" t="s">
        <v>29</v>
      </c>
      <c r="F434" t="s">
        <v>97</v>
      </c>
      <c r="G434" t="s">
        <v>98</v>
      </c>
      <c r="H434" t="s">
        <v>1141</v>
      </c>
    </row>
    <row r="435" spans="1:8" x14ac:dyDescent="0.25">
      <c r="A435" t="s">
        <v>8</v>
      </c>
      <c r="B435" t="s">
        <v>37</v>
      </c>
      <c r="C435" t="s">
        <v>1142</v>
      </c>
      <c r="D435" t="s">
        <v>1143</v>
      </c>
      <c r="E435" t="s">
        <v>116</v>
      </c>
      <c r="F435" t="s">
        <v>24</v>
      </c>
      <c r="G435" t="s">
        <v>14</v>
      </c>
      <c r="H435" t="s">
        <v>1144</v>
      </c>
    </row>
    <row r="436" spans="1:8" x14ac:dyDescent="0.25">
      <c r="A436" t="s">
        <v>8</v>
      </c>
      <c r="B436" t="s">
        <v>26</v>
      </c>
      <c r="C436" t="s">
        <v>1145</v>
      </c>
      <c r="D436" t="s">
        <v>1146</v>
      </c>
      <c r="E436" t="s">
        <v>29</v>
      </c>
      <c r="F436" t="s">
        <v>24</v>
      </c>
      <c r="G436" t="s">
        <v>14</v>
      </c>
      <c r="H436" t="s">
        <v>1147</v>
      </c>
    </row>
    <row r="437" spans="1:8" x14ac:dyDescent="0.25">
      <c r="A437" t="s">
        <v>8</v>
      </c>
      <c r="B437" t="s">
        <v>26</v>
      </c>
      <c r="C437" t="s">
        <v>1148</v>
      </c>
      <c r="D437" t="s">
        <v>1149</v>
      </c>
      <c r="E437" t="s">
        <v>623</v>
      </c>
      <c r="F437" t="s">
        <v>24</v>
      </c>
      <c r="G437" t="s">
        <v>14</v>
      </c>
      <c r="H437" t="s">
        <v>674</v>
      </c>
    </row>
    <row r="438" spans="1:8" x14ac:dyDescent="0.25">
      <c r="A438" t="s">
        <v>8</v>
      </c>
      <c r="B438" t="s">
        <v>32</v>
      </c>
      <c r="C438" t="s">
        <v>1150</v>
      </c>
      <c r="D438" t="s">
        <v>1151</v>
      </c>
      <c r="E438" t="s">
        <v>45</v>
      </c>
      <c r="F438" t="s">
        <v>24</v>
      </c>
      <c r="G438" t="s">
        <v>14</v>
      </c>
      <c r="H438" t="s">
        <v>1152</v>
      </c>
    </row>
    <row r="439" spans="1:8" x14ac:dyDescent="0.25">
      <c r="A439" t="s">
        <v>8</v>
      </c>
      <c r="B439" t="s">
        <v>26</v>
      </c>
      <c r="C439" t="s">
        <v>1153</v>
      </c>
      <c r="D439" t="s">
        <v>1154</v>
      </c>
      <c r="E439" t="s">
        <v>467</v>
      </c>
      <c r="F439" t="s">
        <v>51</v>
      </c>
      <c r="G439" t="s">
        <v>14</v>
      </c>
      <c r="H439" t="s">
        <v>1155</v>
      </c>
    </row>
    <row r="440" spans="1:8" x14ac:dyDescent="0.25">
      <c r="A440" t="s">
        <v>8</v>
      </c>
      <c r="B440" t="s">
        <v>26</v>
      </c>
      <c r="C440" t="s">
        <v>1156</v>
      </c>
      <c r="D440" t="s">
        <v>1157</v>
      </c>
      <c r="E440" t="s">
        <v>116</v>
      </c>
      <c r="F440" t="s">
        <v>24</v>
      </c>
      <c r="G440" t="s">
        <v>14</v>
      </c>
      <c r="H440" t="s">
        <v>1158</v>
      </c>
    </row>
    <row r="441" spans="1:8" x14ac:dyDescent="0.25">
      <c r="A441" t="s">
        <v>8</v>
      </c>
      <c r="B441" t="s">
        <v>26</v>
      </c>
      <c r="C441" t="s">
        <v>1159</v>
      </c>
      <c r="D441" t="s">
        <v>1160</v>
      </c>
      <c r="E441" t="s">
        <v>29</v>
      </c>
      <c r="F441" t="s">
        <v>30</v>
      </c>
      <c r="G441" t="s">
        <v>14</v>
      </c>
      <c r="H441" t="s">
        <v>587</v>
      </c>
    </row>
    <row r="442" spans="1:8" x14ac:dyDescent="0.25">
      <c r="A442" t="s">
        <v>8</v>
      </c>
      <c r="B442" t="s">
        <v>42</v>
      </c>
      <c r="C442" t="s">
        <v>1161</v>
      </c>
      <c r="D442" t="s">
        <v>1161</v>
      </c>
      <c r="E442" t="s">
        <v>35</v>
      </c>
      <c r="F442" t="s">
        <v>19</v>
      </c>
      <c r="G442" t="s">
        <v>63</v>
      </c>
      <c r="H442" t="s">
        <v>570</v>
      </c>
    </row>
    <row r="443" spans="1:8" x14ac:dyDescent="0.25">
      <c r="A443" t="s">
        <v>8</v>
      </c>
      <c r="B443" t="s">
        <v>42</v>
      </c>
      <c r="C443" t="s">
        <v>1162</v>
      </c>
      <c r="D443" t="s">
        <v>1163</v>
      </c>
      <c r="E443" t="s">
        <v>35</v>
      </c>
      <c r="F443" t="s">
        <v>30</v>
      </c>
      <c r="G443" t="s">
        <v>14</v>
      </c>
      <c r="H443" t="s">
        <v>1155</v>
      </c>
    </row>
    <row r="444" spans="1:8" x14ac:dyDescent="0.25">
      <c r="A444" t="s">
        <v>8</v>
      </c>
      <c r="B444" t="s">
        <v>77</v>
      </c>
      <c r="C444" t="s">
        <v>1164</v>
      </c>
      <c r="D444" t="s">
        <v>1165</v>
      </c>
      <c r="E444" t="s">
        <v>29</v>
      </c>
      <c r="F444" t="s">
        <v>30</v>
      </c>
      <c r="G444" t="s">
        <v>14</v>
      </c>
      <c r="H444" t="s">
        <v>1166</v>
      </c>
    </row>
    <row r="445" spans="1:8" x14ac:dyDescent="0.25">
      <c r="A445" t="s">
        <v>8</v>
      </c>
      <c r="B445" t="s">
        <v>42</v>
      </c>
      <c r="C445" t="s">
        <v>1167</v>
      </c>
      <c r="D445" t="s">
        <v>1167</v>
      </c>
      <c r="E445" t="s">
        <v>116</v>
      </c>
      <c r="F445" t="s">
        <v>30</v>
      </c>
      <c r="G445" t="s">
        <v>63</v>
      </c>
      <c r="H445" t="s">
        <v>1168</v>
      </c>
    </row>
    <row r="446" spans="1:8" x14ac:dyDescent="0.25">
      <c r="A446" t="s">
        <v>8</v>
      </c>
      <c r="B446" t="s">
        <v>91</v>
      </c>
      <c r="C446" t="s">
        <v>1169</v>
      </c>
      <c r="D446" t="s">
        <v>1169</v>
      </c>
      <c r="E446" t="s">
        <v>45</v>
      </c>
      <c r="F446" t="s">
        <v>24</v>
      </c>
      <c r="G446" t="s">
        <v>63</v>
      </c>
      <c r="H446" t="s">
        <v>769</v>
      </c>
    </row>
    <row r="447" spans="1:8" x14ac:dyDescent="0.25">
      <c r="A447" t="s">
        <v>8</v>
      </c>
      <c r="B447" t="s">
        <v>32</v>
      </c>
      <c r="C447" t="s">
        <v>1170</v>
      </c>
      <c r="D447" t="s">
        <v>1170</v>
      </c>
      <c r="E447" t="s">
        <v>12</v>
      </c>
      <c r="F447" t="s">
        <v>13</v>
      </c>
      <c r="G447" t="s">
        <v>63</v>
      </c>
      <c r="H447" t="s">
        <v>64</v>
      </c>
    </row>
    <row r="448" spans="1:8" x14ac:dyDescent="0.25">
      <c r="A448" t="s">
        <v>8</v>
      </c>
      <c r="B448" t="s">
        <v>91</v>
      </c>
      <c r="C448" t="s">
        <v>1171</v>
      </c>
      <c r="D448" t="s">
        <v>1172</v>
      </c>
      <c r="E448" t="s">
        <v>12</v>
      </c>
      <c r="F448" t="s">
        <v>30</v>
      </c>
      <c r="G448" t="s">
        <v>14</v>
      </c>
      <c r="H448" t="s">
        <v>1173</v>
      </c>
    </row>
    <row r="449" spans="1:8" x14ac:dyDescent="0.25">
      <c r="A449" t="s">
        <v>8</v>
      </c>
      <c r="B449" t="s">
        <v>32</v>
      </c>
      <c r="C449" t="s">
        <v>1174</v>
      </c>
      <c r="D449" t="s">
        <v>1174</v>
      </c>
      <c r="E449" t="s">
        <v>12</v>
      </c>
      <c r="F449" t="s">
        <v>13</v>
      </c>
      <c r="G449" t="s">
        <v>63</v>
      </c>
      <c r="H449" t="s">
        <v>1175</v>
      </c>
    </row>
    <row r="450" spans="1:8" x14ac:dyDescent="0.25">
      <c r="A450" t="s">
        <v>8</v>
      </c>
      <c r="B450" t="s">
        <v>91</v>
      </c>
      <c r="C450" t="s">
        <v>1176</v>
      </c>
      <c r="D450" t="s">
        <v>1177</v>
      </c>
      <c r="E450" t="s">
        <v>12</v>
      </c>
      <c r="F450" t="s">
        <v>30</v>
      </c>
      <c r="G450" t="s">
        <v>14</v>
      </c>
      <c r="H450" t="s">
        <v>1178</v>
      </c>
    </row>
    <row r="451" spans="1:8" x14ac:dyDescent="0.25">
      <c r="A451" t="s">
        <v>8</v>
      </c>
      <c r="B451" t="s">
        <v>91</v>
      </c>
      <c r="C451" t="s">
        <v>1179</v>
      </c>
      <c r="D451" t="s">
        <v>1179</v>
      </c>
      <c r="E451" t="s">
        <v>45</v>
      </c>
      <c r="F451" t="s">
        <v>30</v>
      </c>
      <c r="G451" t="s">
        <v>63</v>
      </c>
      <c r="H451" t="s">
        <v>426</v>
      </c>
    </row>
    <row r="452" spans="1:8" x14ac:dyDescent="0.25">
      <c r="A452" t="s">
        <v>8</v>
      </c>
      <c r="B452" t="s">
        <v>42</v>
      </c>
      <c r="C452" t="s">
        <v>1180</v>
      </c>
      <c r="D452" t="s">
        <v>1181</v>
      </c>
      <c r="E452" t="s">
        <v>12</v>
      </c>
      <c r="F452" t="s">
        <v>30</v>
      </c>
      <c r="G452" t="s">
        <v>14</v>
      </c>
      <c r="H452" t="s">
        <v>1182</v>
      </c>
    </row>
    <row r="453" spans="1:8" x14ac:dyDescent="0.25">
      <c r="A453" t="s">
        <v>8</v>
      </c>
      <c r="B453" t="s">
        <v>26</v>
      </c>
      <c r="C453" t="s">
        <v>1183</v>
      </c>
      <c r="D453" t="s">
        <v>1184</v>
      </c>
      <c r="E453" t="s">
        <v>29</v>
      </c>
      <c r="F453" t="s">
        <v>19</v>
      </c>
      <c r="G453" t="s">
        <v>14</v>
      </c>
      <c r="H453" t="s">
        <v>587</v>
      </c>
    </row>
    <row r="454" spans="1:8" x14ac:dyDescent="0.25">
      <c r="A454" t="s">
        <v>8</v>
      </c>
      <c r="B454" t="s">
        <v>113</v>
      </c>
      <c r="C454" t="s">
        <v>1185</v>
      </c>
      <c r="D454" t="s">
        <v>1186</v>
      </c>
      <c r="E454" t="s">
        <v>67</v>
      </c>
      <c r="F454" t="s">
        <v>24</v>
      </c>
      <c r="G454" t="s">
        <v>67</v>
      </c>
      <c r="H454" t="s">
        <v>1187</v>
      </c>
    </row>
    <row r="455" spans="1:8" x14ac:dyDescent="0.25">
      <c r="A455" t="s">
        <v>8</v>
      </c>
      <c r="B455" t="s">
        <v>73</v>
      </c>
      <c r="C455" t="s">
        <v>1188</v>
      </c>
      <c r="D455" t="s">
        <v>1189</v>
      </c>
      <c r="E455" t="s">
        <v>50</v>
      </c>
      <c r="F455" t="s">
        <v>51</v>
      </c>
      <c r="G455" t="s">
        <v>14</v>
      </c>
      <c r="H455" t="s">
        <v>462</v>
      </c>
    </row>
    <row r="456" spans="1:8" x14ac:dyDescent="0.25">
      <c r="A456" t="s">
        <v>8</v>
      </c>
      <c r="B456" t="s">
        <v>77</v>
      </c>
      <c r="C456" t="s">
        <v>1190</v>
      </c>
      <c r="D456" t="s">
        <v>1191</v>
      </c>
      <c r="E456" t="s">
        <v>29</v>
      </c>
      <c r="F456" t="s">
        <v>24</v>
      </c>
      <c r="G456" t="s">
        <v>14</v>
      </c>
      <c r="H456" t="s">
        <v>1192</v>
      </c>
    </row>
    <row r="457" spans="1:8" x14ac:dyDescent="0.25">
      <c r="A457" t="s">
        <v>8</v>
      </c>
      <c r="B457" t="s">
        <v>42</v>
      </c>
      <c r="C457" t="s">
        <v>1193</v>
      </c>
      <c r="D457" t="s">
        <v>1194</v>
      </c>
      <c r="E457" t="s">
        <v>40</v>
      </c>
      <c r="F457" t="s">
        <v>80</v>
      </c>
      <c r="G457" t="s">
        <v>14</v>
      </c>
      <c r="H457" t="s">
        <v>312</v>
      </c>
    </row>
    <row r="458" spans="1:8" x14ac:dyDescent="0.25">
      <c r="A458" t="s">
        <v>8</v>
      </c>
      <c r="B458" t="s">
        <v>100</v>
      </c>
      <c r="C458" t="s">
        <v>1195</v>
      </c>
      <c r="D458" t="s">
        <v>1196</v>
      </c>
      <c r="E458" t="s">
        <v>67</v>
      </c>
      <c r="F458" t="s">
        <v>19</v>
      </c>
      <c r="G458" t="s">
        <v>67</v>
      </c>
      <c r="H458" t="s">
        <v>1197</v>
      </c>
    </row>
    <row r="459" spans="1:8" x14ac:dyDescent="0.25">
      <c r="A459" t="s">
        <v>8</v>
      </c>
      <c r="B459" t="s">
        <v>42</v>
      </c>
      <c r="C459" t="s">
        <v>1198</v>
      </c>
      <c r="D459" t="s">
        <v>1198</v>
      </c>
      <c r="E459" t="s">
        <v>23</v>
      </c>
      <c r="F459" t="s">
        <v>24</v>
      </c>
      <c r="G459" t="s">
        <v>63</v>
      </c>
      <c r="H459" t="s">
        <v>707</v>
      </c>
    </row>
    <row r="460" spans="1:8" x14ac:dyDescent="0.25">
      <c r="A460" t="s">
        <v>8</v>
      </c>
      <c r="B460" t="s">
        <v>16</v>
      </c>
      <c r="C460" t="s">
        <v>1199</v>
      </c>
      <c r="D460" t="s">
        <v>1200</v>
      </c>
      <c r="E460" t="s">
        <v>45</v>
      </c>
      <c r="F460" t="s">
        <v>24</v>
      </c>
      <c r="G460" t="s">
        <v>14</v>
      </c>
      <c r="H460" t="s">
        <v>1201</v>
      </c>
    </row>
    <row r="461" spans="1:8" x14ac:dyDescent="0.25">
      <c r="A461" t="s">
        <v>8</v>
      </c>
      <c r="B461" t="s">
        <v>77</v>
      </c>
      <c r="C461" t="s">
        <v>1202</v>
      </c>
      <c r="D461" t="s">
        <v>1203</v>
      </c>
      <c r="E461" t="s">
        <v>23</v>
      </c>
      <c r="F461" t="s">
        <v>24</v>
      </c>
      <c r="G461" t="s">
        <v>14</v>
      </c>
      <c r="H461" t="s">
        <v>36</v>
      </c>
    </row>
    <row r="462" spans="1:8" x14ac:dyDescent="0.25">
      <c r="A462" t="s">
        <v>8</v>
      </c>
      <c r="B462" t="s">
        <v>9</v>
      </c>
      <c r="C462" t="s">
        <v>1204</v>
      </c>
      <c r="D462" t="s">
        <v>1205</v>
      </c>
      <c r="E462" t="s">
        <v>35</v>
      </c>
      <c r="F462" t="s">
        <v>19</v>
      </c>
      <c r="G462" t="s">
        <v>14</v>
      </c>
      <c r="H462" t="s">
        <v>1187</v>
      </c>
    </row>
    <row r="463" spans="1:8" x14ac:dyDescent="0.25">
      <c r="A463" t="s">
        <v>8</v>
      </c>
      <c r="B463" t="s">
        <v>42</v>
      </c>
      <c r="C463" t="s">
        <v>1206</v>
      </c>
      <c r="D463" t="s">
        <v>1207</v>
      </c>
      <c r="E463" t="s">
        <v>40</v>
      </c>
      <c r="F463" t="s">
        <v>51</v>
      </c>
      <c r="G463" t="s">
        <v>14</v>
      </c>
      <c r="H463" t="s">
        <v>1208</v>
      </c>
    </row>
    <row r="464" spans="1:8" x14ac:dyDescent="0.25">
      <c r="A464" t="s">
        <v>8</v>
      </c>
      <c r="B464" t="s">
        <v>73</v>
      </c>
      <c r="C464" t="s">
        <v>1209</v>
      </c>
      <c r="D464" t="s">
        <v>1210</v>
      </c>
      <c r="E464" t="s">
        <v>35</v>
      </c>
      <c r="F464" t="s">
        <v>24</v>
      </c>
      <c r="G464" t="s">
        <v>14</v>
      </c>
      <c r="H464" t="s">
        <v>312</v>
      </c>
    </row>
    <row r="465" spans="1:8" x14ac:dyDescent="0.25">
      <c r="A465" t="s">
        <v>8</v>
      </c>
      <c r="B465" t="s">
        <v>91</v>
      </c>
      <c r="C465" t="s">
        <v>1211</v>
      </c>
      <c r="D465" t="s">
        <v>1211</v>
      </c>
      <c r="E465" t="s">
        <v>172</v>
      </c>
      <c r="F465" t="s">
        <v>30</v>
      </c>
      <c r="G465" t="s">
        <v>63</v>
      </c>
      <c r="H465" t="s">
        <v>306</v>
      </c>
    </row>
    <row r="466" spans="1:8" x14ac:dyDescent="0.25">
      <c r="A466" t="s">
        <v>8</v>
      </c>
      <c r="B466" t="s">
        <v>16</v>
      </c>
      <c r="C466" t="s">
        <v>1212</v>
      </c>
      <c r="D466" t="s">
        <v>1213</v>
      </c>
      <c r="E466" t="s">
        <v>23</v>
      </c>
      <c r="F466" t="s">
        <v>19</v>
      </c>
      <c r="G466" t="s">
        <v>14</v>
      </c>
      <c r="H466" t="s">
        <v>1214</v>
      </c>
    </row>
    <row r="467" spans="1:8" x14ac:dyDescent="0.25">
      <c r="A467" t="s">
        <v>8</v>
      </c>
      <c r="B467" t="s">
        <v>37</v>
      </c>
      <c r="C467" t="s">
        <v>1215</v>
      </c>
      <c r="D467" t="s">
        <v>1216</v>
      </c>
      <c r="E467" t="s">
        <v>23</v>
      </c>
      <c r="F467" t="s">
        <v>24</v>
      </c>
      <c r="G467" t="s">
        <v>14</v>
      </c>
      <c r="H467" t="s">
        <v>306</v>
      </c>
    </row>
    <row r="468" spans="1:8" x14ac:dyDescent="0.25">
      <c r="A468" t="s">
        <v>8</v>
      </c>
      <c r="B468" t="s">
        <v>9</v>
      </c>
      <c r="C468" t="s">
        <v>1217</v>
      </c>
      <c r="D468" t="s">
        <v>1218</v>
      </c>
      <c r="E468" t="s">
        <v>29</v>
      </c>
      <c r="F468" t="s">
        <v>24</v>
      </c>
      <c r="G468" t="s">
        <v>14</v>
      </c>
      <c r="H468" t="s">
        <v>1219</v>
      </c>
    </row>
    <row r="469" spans="1:8" x14ac:dyDescent="0.25">
      <c r="A469" t="s">
        <v>8</v>
      </c>
      <c r="B469" t="s">
        <v>37</v>
      </c>
      <c r="C469" t="s">
        <v>1220</v>
      </c>
      <c r="D469" t="s">
        <v>1221</v>
      </c>
      <c r="E469" t="s">
        <v>29</v>
      </c>
      <c r="F469" t="s">
        <v>30</v>
      </c>
      <c r="G469" t="s">
        <v>14</v>
      </c>
      <c r="H469" t="s">
        <v>1222</v>
      </c>
    </row>
    <row r="470" spans="1:8" x14ac:dyDescent="0.25">
      <c r="A470" t="s">
        <v>8</v>
      </c>
      <c r="B470" t="s">
        <v>42</v>
      </c>
      <c r="C470" t="s">
        <v>1223</v>
      </c>
      <c r="D470" t="s">
        <v>1224</v>
      </c>
      <c r="E470" t="s">
        <v>29</v>
      </c>
      <c r="F470" t="s">
        <v>19</v>
      </c>
      <c r="G470" t="s">
        <v>14</v>
      </c>
      <c r="H470" t="s">
        <v>576</v>
      </c>
    </row>
    <row r="471" spans="1:8" x14ac:dyDescent="0.25">
      <c r="A471" t="s">
        <v>8</v>
      </c>
      <c r="B471" t="s">
        <v>77</v>
      </c>
      <c r="C471" t="s">
        <v>1225</v>
      </c>
      <c r="D471" t="s">
        <v>1225</v>
      </c>
      <c r="E471" t="s">
        <v>40</v>
      </c>
      <c r="F471" t="s">
        <v>191</v>
      </c>
      <c r="G471" t="s">
        <v>63</v>
      </c>
      <c r="H471" t="s">
        <v>1226</v>
      </c>
    </row>
    <row r="472" spans="1:8" x14ac:dyDescent="0.25">
      <c r="A472" t="s">
        <v>8</v>
      </c>
      <c r="B472" t="s">
        <v>37</v>
      </c>
      <c r="C472" t="s">
        <v>1227</v>
      </c>
      <c r="D472" t="s">
        <v>1228</v>
      </c>
      <c r="E472" t="s">
        <v>390</v>
      </c>
      <c r="F472" t="s">
        <v>51</v>
      </c>
      <c r="G472" t="s">
        <v>14</v>
      </c>
      <c r="H472" t="s">
        <v>1229</v>
      </c>
    </row>
    <row r="473" spans="1:8" x14ac:dyDescent="0.25">
      <c r="A473" t="s">
        <v>8</v>
      </c>
      <c r="B473" t="s">
        <v>26</v>
      </c>
      <c r="C473" t="s">
        <v>1230</v>
      </c>
      <c r="D473" t="s">
        <v>1231</v>
      </c>
      <c r="E473" t="s">
        <v>23</v>
      </c>
      <c r="F473" t="s">
        <v>30</v>
      </c>
      <c r="G473" t="s">
        <v>14</v>
      </c>
      <c r="H473" t="s">
        <v>282</v>
      </c>
    </row>
    <row r="474" spans="1:8" x14ac:dyDescent="0.25">
      <c r="A474" t="s">
        <v>8</v>
      </c>
      <c r="B474" t="s">
        <v>42</v>
      </c>
      <c r="C474" t="s">
        <v>1232</v>
      </c>
      <c r="D474" t="s">
        <v>1232</v>
      </c>
      <c r="E474" t="s">
        <v>23</v>
      </c>
      <c r="F474" t="s">
        <v>24</v>
      </c>
      <c r="G474" t="s">
        <v>63</v>
      </c>
      <c r="H474" t="s">
        <v>707</v>
      </c>
    </row>
    <row r="475" spans="1:8" x14ac:dyDescent="0.25">
      <c r="A475" t="s">
        <v>8</v>
      </c>
      <c r="B475" t="s">
        <v>26</v>
      </c>
      <c r="C475" t="s">
        <v>1233</v>
      </c>
      <c r="D475" t="s">
        <v>1234</v>
      </c>
      <c r="E475" t="s">
        <v>390</v>
      </c>
      <c r="F475" t="s">
        <v>51</v>
      </c>
      <c r="G475" t="s">
        <v>14</v>
      </c>
      <c r="H475" t="s">
        <v>1235</v>
      </c>
    </row>
    <row r="476" spans="1:8" x14ac:dyDescent="0.25">
      <c r="A476" t="s">
        <v>8</v>
      </c>
      <c r="B476" t="s">
        <v>100</v>
      </c>
      <c r="C476" t="s">
        <v>1236</v>
      </c>
      <c r="D476" t="s">
        <v>1237</v>
      </c>
      <c r="E476" t="s">
        <v>23</v>
      </c>
      <c r="F476" t="s">
        <v>24</v>
      </c>
      <c r="G476" t="s">
        <v>14</v>
      </c>
      <c r="H476" t="s">
        <v>36</v>
      </c>
    </row>
    <row r="477" spans="1:8" x14ac:dyDescent="0.25">
      <c r="A477" t="s">
        <v>8</v>
      </c>
      <c r="B477" t="s">
        <v>100</v>
      </c>
      <c r="C477" t="s">
        <v>1238</v>
      </c>
      <c r="D477" t="s">
        <v>1239</v>
      </c>
      <c r="E477" t="s">
        <v>67</v>
      </c>
      <c r="F477" t="s">
        <v>19</v>
      </c>
      <c r="G477" t="s">
        <v>67</v>
      </c>
      <c r="H477" t="s">
        <v>87</v>
      </c>
    </row>
    <row r="478" spans="1:8" x14ac:dyDescent="0.25">
      <c r="A478" t="s">
        <v>8</v>
      </c>
      <c r="B478" t="s">
        <v>113</v>
      </c>
      <c r="C478" t="s">
        <v>1240</v>
      </c>
      <c r="D478" t="s">
        <v>1241</v>
      </c>
      <c r="E478" t="s">
        <v>67</v>
      </c>
      <c r="F478" t="s">
        <v>24</v>
      </c>
      <c r="G478" t="s">
        <v>67</v>
      </c>
      <c r="H478" t="s">
        <v>1242</v>
      </c>
    </row>
    <row r="479" spans="1:8" x14ac:dyDescent="0.25">
      <c r="A479" t="s">
        <v>8</v>
      </c>
      <c r="B479" t="s">
        <v>42</v>
      </c>
      <c r="C479" t="s">
        <v>1243</v>
      </c>
      <c r="D479" t="s">
        <v>1244</v>
      </c>
      <c r="E479" t="s">
        <v>45</v>
      </c>
      <c r="F479" t="s">
        <v>24</v>
      </c>
      <c r="G479" t="s">
        <v>14</v>
      </c>
      <c r="H479" t="s">
        <v>1245</v>
      </c>
    </row>
    <row r="480" spans="1:8" x14ac:dyDescent="0.25">
      <c r="A480" t="s">
        <v>8</v>
      </c>
      <c r="B480" t="s">
        <v>26</v>
      </c>
      <c r="C480" t="s">
        <v>1246</v>
      </c>
      <c r="D480" t="s">
        <v>1247</v>
      </c>
      <c r="E480" t="s">
        <v>12</v>
      </c>
      <c r="F480" t="s">
        <v>13</v>
      </c>
      <c r="G480" t="s">
        <v>14</v>
      </c>
      <c r="H480" t="s">
        <v>502</v>
      </c>
    </row>
    <row r="481" spans="1:8" x14ac:dyDescent="0.25">
      <c r="A481" t="s">
        <v>8</v>
      </c>
      <c r="B481" t="s">
        <v>26</v>
      </c>
      <c r="C481" t="s">
        <v>1248</v>
      </c>
      <c r="D481" t="s">
        <v>1249</v>
      </c>
      <c r="E481" t="s">
        <v>172</v>
      </c>
      <c r="F481" t="s">
        <v>30</v>
      </c>
      <c r="G481" t="s">
        <v>14</v>
      </c>
      <c r="H481" t="s">
        <v>549</v>
      </c>
    </row>
    <row r="482" spans="1:8" x14ac:dyDescent="0.25">
      <c r="A482" t="s">
        <v>8</v>
      </c>
      <c r="B482" t="s">
        <v>91</v>
      </c>
      <c r="C482" t="s">
        <v>1250</v>
      </c>
      <c r="D482" t="s">
        <v>1250</v>
      </c>
      <c r="E482" t="s">
        <v>23</v>
      </c>
      <c r="F482" t="s">
        <v>24</v>
      </c>
      <c r="G482" t="s">
        <v>63</v>
      </c>
      <c r="H482" t="s">
        <v>502</v>
      </c>
    </row>
    <row r="483" spans="1:8" x14ac:dyDescent="0.25">
      <c r="A483" t="s">
        <v>8</v>
      </c>
      <c r="B483" t="s">
        <v>91</v>
      </c>
      <c r="C483" t="s">
        <v>1251</v>
      </c>
      <c r="D483" t="s">
        <v>1251</v>
      </c>
      <c r="E483" t="s">
        <v>172</v>
      </c>
      <c r="F483" t="s">
        <v>30</v>
      </c>
      <c r="G483" t="s">
        <v>63</v>
      </c>
      <c r="H483" t="s">
        <v>421</v>
      </c>
    </row>
    <row r="484" spans="1:8" x14ac:dyDescent="0.25">
      <c r="A484" t="s">
        <v>8</v>
      </c>
      <c r="B484" t="s">
        <v>100</v>
      </c>
      <c r="C484" t="s">
        <v>1252</v>
      </c>
      <c r="D484" t="s">
        <v>1253</v>
      </c>
      <c r="E484" t="s">
        <v>172</v>
      </c>
      <c r="F484" t="s">
        <v>30</v>
      </c>
      <c r="G484" t="s">
        <v>56</v>
      </c>
      <c r="H484" t="s">
        <v>296</v>
      </c>
    </row>
    <row r="485" spans="1:8" x14ac:dyDescent="0.25">
      <c r="A485" t="s">
        <v>8</v>
      </c>
      <c r="B485" t="s">
        <v>37</v>
      </c>
      <c r="C485" t="s">
        <v>1254</v>
      </c>
      <c r="D485" t="s">
        <v>1255</v>
      </c>
      <c r="E485" t="s">
        <v>67</v>
      </c>
      <c r="F485" t="s">
        <v>19</v>
      </c>
      <c r="G485" t="s">
        <v>67</v>
      </c>
      <c r="H485" t="s">
        <v>72</v>
      </c>
    </row>
    <row r="486" spans="1:8" x14ac:dyDescent="0.25">
      <c r="A486" t="s">
        <v>8</v>
      </c>
      <c r="B486" t="s">
        <v>77</v>
      </c>
      <c r="C486" t="s">
        <v>1256</v>
      </c>
      <c r="D486" t="s">
        <v>1257</v>
      </c>
      <c r="E486" t="s">
        <v>50</v>
      </c>
      <c r="F486" t="s">
        <v>19</v>
      </c>
      <c r="G486" t="s">
        <v>14</v>
      </c>
      <c r="H486" t="s">
        <v>509</v>
      </c>
    </row>
    <row r="487" spans="1:8" x14ac:dyDescent="0.25">
      <c r="A487" t="s">
        <v>8</v>
      </c>
      <c r="B487" t="s">
        <v>100</v>
      </c>
      <c r="C487" t="s">
        <v>1258</v>
      </c>
      <c r="D487" t="s">
        <v>1259</v>
      </c>
      <c r="E487" t="s">
        <v>29</v>
      </c>
      <c r="F487" t="s">
        <v>24</v>
      </c>
      <c r="G487" t="s">
        <v>14</v>
      </c>
      <c r="H487" t="s">
        <v>645</v>
      </c>
    </row>
    <row r="488" spans="1:8" x14ac:dyDescent="0.25">
      <c r="A488" t="s">
        <v>8</v>
      </c>
      <c r="B488" t="s">
        <v>42</v>
      </c>
      <c r="C488" t="s">
        <v>1260</v>
      </c>
      <c r="D488" t="s">
        <v>1261</v>
      </c>
      <c r="E488" t="s">
        <v>29</v>
      </c>
      <c r="F488" t="s">
        <v>97</v>
      </c>
      <c r="G488" t="s">
        <v>98</v>
      </c>
      <c r="H488" t="s">
        <v>1262</v>
      </c>
    </row>
    <row r="489" spans="1:8" x14ac:dyDescent="0.25">
      <c r="A489" t="s">
        <v>8</v>
      </c>
      <c r="B489" t="s">
        <v>77</v>
      </c>
      <c r="C489" t="s">
        <v>1263</v>
      </c>
      <c r="D489" t="s">
        <v>1264</v>
      </c>
      <c r="E489" t="s">
        <v>67</v>
      </c>
      <c r="F489" t="s">
        <v>24</v>
      </c>
      <c r="G489" t="s">
        <v>67</v>
      </c>
      <c r="H489" t="s">
        <v>223</v>
      </c>
    </row>
    <row r="490" spans="1:8" x14ac:dyDescent="0.25">
      <c r="A490" t="s">
        <v>8</v>
      </c>
      <c r="B490" t="s">
        <v>9</v>
      </c>
      <c r="C490" t="s">
        <v>1265</v>
      </c>
      <c r="D490" t="s">
        <v>1266</v>
      </c>
      <c r="E490" t="s">
        <v>45</v>
      </c>
      <c r="F490" t="s">
        <v>30</v>
      </c>
      <c r="G490" t="s">
        <v>14</v>
      </c>
      <c r="H490" t="s">
        <v>502</v>
      </c>
    </row>
    <row r="491" spans="1:8" x14ac:dyDescent="0.25">
      <c r="A491" t="s">
        <v>8</v>
      </c>
      <c r="B491" t="s">
        <v>26</v>
      </c>
      <c r="C491" t="s">
        <v>1267</v>
      </c>
      <c r="D491" t="s">
        <v>1268</v>
      </c>
      <c r="E491" t="s">
        <v>845</v>
      </c>
      <c r="F491" t="s">
        <v>51</v>
      </c>
      <c r="G491" t="s">
        <v>14</v>
      </c>
      <c r="H491" t="s">
        <v>1269</v>
      </c>
    </row>
    <row r="492" spans="1:8" x14ac:dyDescent="0.25">
      <c r="A492" t="s">
        <v>8</v>
      </c>
      <c r="B492" t="s">
        <v>37</v>
      </c>
      <c r="C492" t="s">
        <v>1270</v>
      </c>
      <c r="D492" t="s">
        <v>1271</v>
      </c>
      <c r="E492" t="s">
        <v>67</v>
      </c>
      <c r="F492" t="s">
        <v>24</v>
      </c>
      <c r="G492" t="s">
        <v>67</v>
      </c>
      <c r="H492" t="s">
        <v>217</v>
      </c>
    </row>
    <row r="493" spans="1:8" x14ac:dyDescent="0.25">
      <c r="A493" t="s">
        <v>8</v>
      </c>
      <c r="B493" t="s">
        <v>37</v>
      </c>
      <c r="C493" t="s">
        <v>1272</v>
      </c>
      <c r="D493" t="s">
        <v>1273</v>
      </c>
      <c r="E493" t="s">
        <v>12</v>
      </c>
      <c r="F493" t="s">
        <v>30</v>
      </c>
      <c r="G493" t="s">
        <v>14</v>
      </c>
      <c r="H493" t="s">
        <v>1014</v>
      </c>
    </row>
    <row r="494" spans="1:8" x14ac:dyDescent="0.25">
      <c r="A494" t="s">
        <v>8</v>
      </c>
      <c r="B494" t="s">
        <v>42</v>
      </c>
      <c r="C494" t="s">
        <v>1274</v>
      </c>
      <c r="D494" t="s">
        <v>1275</v>
      </c>
      <c r="E494" t="s">
        <v>67</v>
      </c>
      <c r="F494" t="s">
        <v>24</v>
      </c>
      <c r="G494" t="s">
        <v>67</v>
      </c>
      <c r="H494" t="s">
        <v>1276</v>
      </c>
    </row>
    <row r="495" spans="1:8" x14ac:dyDescent="0.25">
      <c r="A495" t="s">
        <v>8</v>
      </c>
      <c r="B495" t="s">
        <v>113</v>
      </c>
      <c r="C495" t="s">
        <v>1277</v>
      </c>
      <c r="D495" t="s">
        <v>1277</v>
      </c>
      <c r="E495" t="s">
        <v>29</v>
      </c>
      <c r="F495" t="s">
        <v>13</v>
      </c>
      <c r="G495" t="s">
        <v>63</v>
      </c>
      <c r="H495" t="s">
        <v>1278</v>
      </c>
    </row>
    <row r="496" spans="1:8" x14ac:dyDescent="0.25">
      <c r="A496" t="s">
        <v>8</v>
      </c>
      <c r="B496" t="s">
        <v>77</v>
      </c>
      <c r="C496" t="s">
        <v>1279</v>
      </c>
      <c r="D496" t="s">
        <v>1279</v>
      </c>
      <c r="E496" t="s">
        <v>29</v>
      </c>
      <c r="F496" t="s">
        <v>30</v>
      </c>
      <c r="G496" t="s">
        <v>63</v>
      </c>
      <c r="H496" t="s">
        <v>192</v>
      </c>
    </row>
    <row r="497" spans="1:8" x14ac:dyDescent="0.25">
      <c r="A497" t="s">
        <v>8</v>
      </c>
      <c r="B497" t="s">
        <v>32</v>
      </c>
      <c r="C497" t="s">
        <v>1280</v>
      </c>
      <c r="D497" t="s">
        <v>1281</v>
      </c>
      <c r="E497" t="s">
        <v>276</v>
      </c>
      <c r="F497" t="s">
        <v>51</v>
      </c>
      <c r="G497" t="s">
        <v>14</v>
      </c>
      <c r="H497" t="s">
        <v>858</v>
      </c>
    </row>
    <row r="498" spans="1:8" x14ac:dyDescent="0.25">
      <c r="A498" t="s">
        <v>8</v>
      </c>
      <c r="B498" t="s">
        <v>42</v>
      </c>
      <c r="C498" t="s">
        <v>1282</v>
      </c>
      <c r="D498" t="s">
        <v>1283</v>
      </c>
      <c r="E498" t="s">
        <v>172</v>
      </c>
      <c r="F498" t="s">
        <v>30</v>
      </c>
      <c r="G498" t="s">
        <v>14</v>
      </c>
      <c r="H498" t="s">
        <v>128</v>
      </c>
    </row>
    <row r="499" spans="1:8" x14ac:dyDescent="0.25">
      <c r="A499" t="s">
        <v>8</v>
      </c>
      <c r="B499" t="s">
        <v>77</v>
      </c>
      <c r="C499" t="s">
        <v>1284</v>
      </c>
      <c r="D499" t="s">
        <v>1285</v>
      </c>
      <c r="E499" t="s">
        <v>29</v>
      </c>
      <c r="F499" t="s">
        <v>51</v>
      </c>
      <c r="G499" t="s">
        <v>67</v>
      </c>
      <c r="H499" t="s">
        <v>173</v>
      </c>
    </row>
    <row r="500" spans="1:8" x14ac:dyDescent="0.25">
      <c r="A500" t="s">
        <v>8</v>
      </c>
      <c r="B500" t="s">
        <v>32</v>
      </c>
      <c r="C500" t="s">
        <v>1286</v>
      </c>
      <c r="D500" t="s">
        <v>1287</v>
      </c>
      <c r="E500" t="s">
        <v>29</v>
      </c>
      <c r="F500" t="s">
        <v>97</v>
      </c>
      <c r="G500" t="s">
        <v>98</v>
      </c>
      <c r="H500" t="s">
        <v>176</v>
      </c>
    </row>
    <row r="501" spans="1:8" x14ac:dyDescent="0.25">
      <c r="A501" t="s">
        <v>8</v>
      </c>
      <c r="B501" t="s">
        <v>42</v>
      </c>
      <c r="C501" t="s">
        <v>1288</v>
      </c>
      <c r="D501" t="s">
        <v>1289</v>
      </c>
      <c r="E501" t="s">
        <v>505</v>
      </c>
      <c r="F501" t="s">
        <v>51</v>
      </c>
      <c r="G501" t="s">
        <v>14</v>
      </c>
      <c r="H501" t="s">
        <v>1290</v>
      </c>
    </row>
    <row r="502" spans="1:8" x14ac:dyDescent="0.25">
      <c r="A502" t="s">
        <v>8</v>
      </c>
      <c r="B502" t="s">
        <v>26</v>
      </c>
      <c r="C502" t="s">
        <v>1291</v>
      </c>
      <c r="D502" t="s">
        <v>1292</v>
      </c>
      <c r="E502" t="s">
        <v>29</v>
      </c>
      <c r="F502" t="s">
        <v>19</v>
      </c>
      <c r="G502" t="s">
        <v>14</v>
      </c>
      <c r="H502" t="s">
        <v>443</v>
      </c>
    </row>
    <row r="503" spans="1:8" x14ac:dyDescent="0.25">
      <c r="A503" t="s">
        <v>8</v>
      </c>
      <c r="B503" t="s">
        <v>123</v>
      </c>
      <c r="C503" t="s">
        <v>1293</v>
      </c>
      <c r="D503" t="s">
        <v>1294</v>
      </c>
      <c r="E503" t="s">
        <v>50</v>
      </c>
      <c r="F503" t="s">
        <v>51</v>
      </c>
      <c r="G503" t="s">
        <v>14</v>
      </c>
      <c r="H503" t="s">
        <v>1295</v>
      </c>
    </row>
    <row r="504" spans="1:8" x14ac:dyDescent="0.25">
      <c r="A504" t="s">
        <v>8</v>
      </c>
      <c r="B504" t="s">
        <v>26</v>
      </c>
      <c r="C504" t="s">
        <v>1296</v>
      </c>
      <c r="D504" t="s">
        <v>1297</v>
      </c>
      <c r="E504" t="s">
        <v>29</v>
      </c>
      <c r="F504" t="s">
        <v>30</v>
      </c>
      <c r="G504" t="s">
        <v>14</v>
      </c>
      <c r="H504" t="s">
        <v>823</v>
      </c>
    </row>
    <row r="505" spans="1:8" x14ac:dyDescent="0.25">
      <c r="A505" t="s">
        <v>8</v>
      </c>
      <c r="B505" t="s">
        <v>100</v>
      </c>
      <c r="C505" t="s">
        <v>1298</v>
      </c>
      <c r="D505" t="s">
        <v>1299</v>
      </c>
      <c r="E505" t="s">
        <v>116</v>
      </c>
      <c r="F505" t="s">
        <v>30</v>
      </c>
      <c r="G505" t="s">
        <v>14</v>
      </c>
      <c r="H505" t="s">
        <v>426</v>
      </c>
    </row>
    <row r="506" spans="1:8" x14ac:dyDescent="0.25">
      <c r="A506" t="s">
        <v>8</v>
      </c>
      <c r="B506" t="s">
        <v>123</v>
      </c>
      <c r="C506" t="s">
        <v>1300</v>
      </c>
      <c r="D506" t="s">
        <v>1301</v>
      </c>
      <c r="E506" t="s">
        <v>45</v>
      </c>
      <c r="F506" t="s">
        <v>24</v>
      </c>
      <c r="G506" t="s">
        <v>14</v>
      </c>
      <c r="H506" t="s">
        <v>1302</v>
      </c>
    </row>
    <row r="507" spans="1:8" x14ac:dyDescent="0.25">
      <c r="A507" t="s">
        <v>8</v>
      </c>
      <c r="B507" t="s">
        <v>42</v>
      </c>
      <c r="C507" t="s">
        <v>1303</v>
      </c>
      <c r="D507" t="s">
        <v>1304</v>
      </c>
      <c r="E507" t="s">
        <v>29</v>
      </c>
      <c r="F507" t="s">
        <v>51</v>
      </c>
      <c r="G507" t="s">
        <v>67</v>
      </c>
      <c r="H507" t="s">
        <v>333</v>
      </c>
    </row>
    <row r="508" spans="1:8" x14ac:dyDescent="0.25">
      <c r="A508" t="s">
        <v>8</v>
      </c>
      <c r="B508" t="s">
        <v>42</v>
      </c>
      <c r="C508" t="s">
        <v>1305</v>
      </c>
      <c r="D508" t="s">
        <v>1306</v>
      </c>
      <c r="E508" t="s">
        <v>276</v>
      </c>
      <c r="F508" t="s">
        <v>51</v>
      </c>
      <c r="G508" t="s">
        <v>14</v>
      </c>
      <c r="H508" t="s">
        <v>1307</v>
      </c>
    </row>
    <row r="509" spans="1:8" x14ac:dyDescent="0.25">
      <c r="A509" t="s">
        <v>8</v>
      </c>
      <c r="B509" t="s">
        <v>26</v>
      </c>
      <c r="C509" t="s">
        <v>1308</v>
      </c>
      <c r="D509" t="s">
        <v>1309</v>
      </c>
      <c r="E509" t="s">
        <v>12</v>
      </c>
      <c r="F509" t="s">
        <v>13</v>
      </c>
      <c r="G509" t="s">
        <v>14</v>
      </c>
      <c r="H509" t="s">
        <v>140</v>
      </c>
    </row>
    <row r="510" spans="1:8" x14ac:dyDescent="0.25">
      <c r="A510" t="s">
        <v>8</v>
      </c>
      <c r="B510" t="s">
        <v>9</v>
      </c>
      <c r="C510" t="s">
        <v>1310</v>
      </c>
      <c r="D510" t="s">
        <v>1311</v>
      </c>
      <c r="E510" t="s">
        <v>23</v>
      </c>
      <c r="F510" t="s">
        <v>24</v>
      </c>
      <c r="G510" t="s">
        <v>14</v>
      </c>
      <c r="H510" t="s">
        <v>57</v>
      </c>
    </row>
    <row r="511" spans="1:8" x14ac:dyDescent="0.25">
      <c r="A511" t="s">
        <v>8</v>
      </c>
      <c r="B511" t="s">
        <v>26</v>
      </c>
      <c r="C511" t="s">
        <v>1312</v>
      </c>
      <c r="D511" t="s">
        <v>1312</v>
      </c>
      <c r="E511" t="s">
        <v>12</v>
      </c>
      <c r="F511" t="s">
        <v>30</v>
      </c>
      <c r="G511" t="s">
        <v>63</v>
      </c>
      <c r="H511" t="s">
        <v>333</v>
      </c>
    </row>
    <row r="512" spans="1:8" x14ac:dyDescent="0.25">
      <c r="A512" t="s">
        <v>8</v>
      </c>
      <c r="B512" t="s">
        <v>100</v>
      </c>
      <c r="C512" t="s">
        <v>1313</v>
      </c>
      <c r="D512" t="s">
        <v>1314</v>
      </c>
      <c r="E512" t="s">
        <v>467</v>
      </c>
      <c r="F512" t="s">
        <v>51</v>
      </c>
      <c r="G512" t="s">
        <v>14</v>
      </c>
      <c r="H512" t="s">
        <v>1315</v>
      </c>
    </row>
    <row r="513" spans="1:8" x14ac:dyDescent="0.25">
      <c r="A513" t="s">
        <v>8</v>
      </c>
      <c r="B513" t="s">
        <v>42</v>
      </c>
      <c r="C513" t="s">
        <v>1316</v>
      </c>
      <c r="D513" t="s">
        <v>1317</v>
      </c>
      <c r="E513" t="s">
        <v>635</v>
      </c>
      <c r="F513" t="s">
        <v>51</v>
      </c>
      <c r="G513" t="s">
        <v>14</v>
      </c>
      <c r="H513" t="s">
        <v>1318</v>
      </c>
    </row>
    <row r="514" spans="1:8" x14ac:dyDescent="0.25">
      <c r="A514" t="s">
        <v>8</v>
      </c>
      <c r="B514" t="s">
        <v>42</v>
      </c>
      <c r="C514" t="s">
        <v>1319</v>
      </c>
      <c r="D514" t="s">
        <v>1320</v>
      </c>
      <c r="E514" t="s">
        <v>67</v>
      </c>
      <c r="F514" t="s">
        <v>30</v>
      </c>
      <c r="G514" t="s">
        <v>67</v>
      </c>
      <c r="H514" t="s">
        <v>769</v>
      </c>
    </row>
    <row r="515" spans="1:8" x14ac:dyDescent="0.25">
      <c r="A515" t="s">
        <v>8</v>
      </c>
      <c r="B515" t="s">
        <v>77</v>
      </c>
      <c r="C515" t="s">
        <v>1321</v>
      </c>
      <c r="D515" t="s">
        <v>1322</v>
      </c>
      <c r="E515" t="s">
        <v>12</v>
      </c>
      <c r="F515" t="s">
        <v>19</v>
      </c>
      <c r="G515" t="s">
        <v>14</v>
      </c>
      <c r="H515" t="s">
        <v>530</v>
      </c>
    </row>
    <row r="516" spans="1:8" x14ac:dyDescent="0.25">
      <c r="A516" t="s">
        <v>8</v>
      </c>
      <c r="B516" t="s">
        <v>37</v>
      </c>
      <c r="C516" t="s">
        <v>1323</v>
      </c>
      <c r="D516" t="s">
        <v>1324</v>
      </c>
      <c r="E516" t="s">
        <v>12</v>
      </c>
      <c r="F516" t="s">
        <v>30</v>
      </c>
      <c r="G516" t="s">
        <v>14</v>
      </c>
      <c r="H516" t="s">
        <v>1325</v>
      </c>
    </row>
    <row r="517" spans="1:8" x14ac:dyDescent="0.25">
      <c r="A517" t="s">
        <v>8</v>
      </c>
      <c r="B517" t="s">
        <v>9</v>
      </c>
      <c r="C517" t="s">
        <v>1326</v>
      </c>
      <c r="D517" t="s">
        <v>1327</v>
      </c>
      <c r="E517" t="s">
        <v>172</v>
      </c>
      <c r="F517" t="s">
        <v>24</v>
      </c>
      <c r="G517" t="s">
        <v>14</v>
      </c>
      <c r="H517" t="s">
        <v>375</v>
      </c>
    </row>
    <row r="518" spans="1:8" x14ac:dyDescent="0.25">
      <c r="A518" t="s">
        <v>8</v>
      </c>
      <c r="B518" t="s">
        <v>123</v>
      </c>
      <c r="C518" t="s">
        <v>1328</v>
      </c>
      <c r="D518" t="s">
        <v>1328</v>
      </c>
      <c r="E518" t="s">
        <v>12</v>
      </c>
      <c r="F518" t="s">
        <v>13</v>
      </c>
      <c r="G518" t="s">
        <v>63</v>
      </c>
      <c r="H518" t="s">
        <v>1168</v>
      </c>
    </row>
    <row r="519" spans="1:8" x14ac:dyDescent="0.25">
      <c r="A519" t="s">
        <v>8</v>
      </c>
      <c r="B519" t="s">
        <v>32</v>
      </c>
      <c r="C519" t="s">
        <v>1329</v>
      </c>
      <c r="D519" t="s">
        <v>1330</v>
      </c>
      <c r="E519" t="s">
        <v>12</v>
      </c>
      <c r="F519" t="s">
        <v>30</v>
      </c>
      <c r="G519" t="s">
        <v>14</v>
      </c>
      <c r="H519" t="s">
        <v>1331</v>
      </c>
    </row>
    <row r="520" spans="1:8" x14ac:dyDescent="0.25">
      <c r="A520" t="s">
        <v>8</v>
      </c>
      <c r="B520" t="s">
        <v>16</v>
      </c>
      <c r="C520" t="s">
        <v>1332</v>
      </c>
      <c r="D520" t="s">
        <v>1333</v>
      </c>
      <c r="E520" t="s">
        <v>172</v>
      </c>
      <c r="F520" t="s">
        <v>51</v>
      </c>
      <c r="G520" t="s">
        <v>14</v>
      </c>
      <c r="H520" t="s">
        <v>90</v>
      </c>
    </row>
    <row r="521" spans="1:8" x14ac:dyDescent="0.25">
      <c r="A521" t="s">
        <v>8</v>
      </c>
      <c r="B521" t="s">
        <v>9</v>
      </c>
      <c r="C521" t="s">
        <v>1334</v>
      </c>
      <c r="D521" t="s">
        <v>1335</v>
      </c>
      <c r="E521" t="s">
        <v>172</v>
      </c>
      <c r="F521" t="s">
        <v>30</v>
      </c>
      <c r="G521" t="s">
        <v>14</v>
      </c>
      <c r="H521" t="s">
        <v>72</v>
      </c>
    </row>
    <row r="522" spans="1:8" x14ac:dyDescent="0.25">
      <c r="A522" t="s">
        <v>8</v>
      </c>
      <c r="B522" t="s">
        <v>100</v>
      </c>
      <c r="C522" t="s">
        <v>1336</v>
      </c>
      <c r="D522" t="s">
        <v>1337</v>
      </c>
      <c r="E522" t="s">
        <v>29</v>
      </c>
      <c r="F522" t="s">
        <v>30</v>
      </c>
      <c r="G522" t="s">
        <v>14</v>
      </c>
      <c r="H522" t="s">
        <v>903</v>
      </c>
    </row>
    <row r="523" spans="1:8" x14ac:dyDescent="0.25">
      <c r="A523" t="s">
        <v>8</v>
      </c>
      <c r="B523" t="s">
        <v>42</v>
      </c>
      <c r="C523" t="s">
        <v>1338</v>
      </c>
      <c r="D523" t="s">
        <v>1339</v>
      </c>
      <c r="E523" t="s">
        <v>116</v>
      </c>
      <c r="F523" t="s">
        <v>30</v>
      </c>
      <c r="G523" t="s">
        <v>14</v>
      </c>
      <c r="H523" t="s">
        <v>788</v>
      </c>
    </row>
    <row r="524" spans="1:8" x14ac:dyDescent="0.25">
      <c r="A524" t="s">
        <v>8</v>
      </c>
      <c r="B524" t="s">
        <v>77</v>
      </c>
      <c r="C524" t="s">
        <v>1340</v>
      </c>
      <c r="D524" t="s">
        <v>1341</v>
      </c>
      <c r="E524" t="s">
        <v>29</v>
      </c>
      <c r="F524" t="s">
        <v>30</v>
      </c>
      <c r="G524" t="s">
        <v>14</v>
      </c>
      <c r="H524" t="s">
        <v>446</v>
      </c>
    </row>
    <row r="525" spans="1:8" x14ac:dyDescent="0.25">
      <c r="A525" t="s">
        <v>8</v>
      </c>
      <c r="B525" t="s">
        <v>91</v>
      </c>
      <c r="C525" t="s">
        <v>1342</v>
      </c>
      <c r="D525" t="s">
        <v>1343</v>
      </c>
      <c r="E525" t="s">
        <v>29</v>
      </c>
      <c r="F525" t="s">
        <v>24</v>
      </c>
      <c r="G525" t="s">
        <v>14</v>
      </c>
      <c r="H525" t="s">
        <v>205</v>
      </c>
    </row>
    <row r="526" spans="1:8" x14ac:dyDescent="0.25">
      <c r="A526" t="s">
        <v>8</v>
      </c>
      <c r="B526" t="s">
        <v>26</v>
      </c>
      <c r="C526" t="s">
        <v>1344</v>
      </c>
      <c r="D526" t="s">
        <v>1344</v>
      </c>
      <c r="E526" t="s">
        <v>12</v>
      </c>
      <c r="F526" t="s">
        <v>13</v>
      </c>
      <c r="G526" t="s">
        <v>63</v>
      </c>
      <c r="H526" t="s">
        <v>333</v>
      </c>
    </row>
    <row r="527" spans="1:8" x14ac:dyDescent="0.25">
      <c r="A527" t="s">
        <v>8</v>
      </c>
      <c r="B527" t="s">
        <v>32</v>
      </c>
      <c r="C527" t="s">
        <v>1345</v>
      </c>
      <c r="D527" t="s">
        <v>1345</v>
      </c>
      <c r="E527" t="s">
        <v>60</v>
      </c>
      <c r="F527" t="s">
        <v>13</v>
      </c>
      <c r="G527" t="s">
        <v>63</v>
      </c>
      <c r="H527" t="s">
        <v>1346</v>
      </c>
    </row>
    <row r="528" spans="1:8" x14ac:dyDescent="0.25">
      <c r="A528" t="s">
        <v>8</v>
      </c>
      <c r="B528" t="s">
        <v>100</v>
      </c>
      <c r="C528" t="s">
        <v>1347</v>
      </c>
      <c r="D528" t="s">
        <v>1348</v>
      </c>
      <c r="E528" t="s">
        <v>29</v>
      </c>
      <c r="F528" t="s">
        <v>30</v>
      </c>
      <c r="G528" t="s">
        <v>14</v>
      </c>
      <c r="H528" t="s">
        <v>1039</v>
      </c>
    </row>
    <row r="529" spans="1:8" x14ac:dyDescent="0.25">
      <c r="A529" t="s">
        <v>8</v>
      </c>
      <c r="B529" t="s">
        <v>123</v>
      </c>
      <c r="C529" t="s">
        <v>1349</v>
      </c>
      <c r="D529" t="s">
        <v>1350</v>
      </c>
      <c r="E529" t="s">
        <v>276</v>
      </c>
      <c r="F529" t="s">
        <v>191</v>
      </c>
      <c r="G529" t="s">
        <v>56</v>
      </c>
      <c r="H529" t="s">
        <v>914</v>
      </c>
    </row>
    <row r="530" spans="1:8" x14ac:dyDescent="0.25">
      <c r="A530" t="s">
        <v>8</v>
      </c>
      <c r="B530" t="s">
        <v>32</v>
      </c>
      <c r="C530" t="s">
        <v>1351</v>
      </c>
      <c r="D530" t="s">
        <v>1352</v>
      </c>
      <c r="E530" t="s">
        <v>390</v>
      </c>
      <c r="F530" t="s">
        <v>51</v>
      </c>
      <c r="G530" t="s">
        <v>14</v>
      </c>
      <c r="H530" t="s">
        <v>1353</v>
      </c>
    </row>
    <row r="531" spans="1:8" x14ac:dyDescent="0.25">
      <c r="A531" t="s">
        <v>8</v>
      </c>
      <c r="B531" t="s">
        <v>37</v>
      </c>
      <c r="C531" t="s">
        <v>1354</v>
      </c>
      <c r="D531" t="s">
        <v>1355</v>
      </c>
      <c r="E531" t="s">
        <v>29</v>
      </c>
      <c r="F531" t="s">
        <v>24</v>
      </c>
      <c r="G531" t="s">
        <v>14</v>
      </c>
      <c r="H531" t="s">
        <v>446</v>
      </c>
    </row>
    <row r="532" spans="1:8" x14ac:dyDescent="0.25">
      <c r="A532" t="s">
        <v>8</v>
      </c>
      <c r="B532" t="s">
        <v>100</v>
      </c>
      <c r="C532" t="s">
        <v>1356</v>
      </c>
      <c r="D532" t="s">
        <v>1357</v>
      </c>
      <c r="E532" t="s">
        <v>40</v>
      </c>
      <c r="F532" t="s">
        <v>80</v>
      </c>
      <c r="G532" t="s">
        <v>14</v>
      </c>
      <c r="H532" t="s">
        <v>1358</v>
      </c>
    </row>
    <row r="533" spans="1:8" x14ac:dyDescent="0.25">
      <c r="A533" t="s">
        <v>8</v>
      </c>
      <c r="B533" t="s">
        <v>9</v>
      </c>
      <c r="C533" t="s">
        <v>1359</v>
      </c>
      <c r="D533" t="s">
        <v>1360</v>
      </c>
      <c r="E533" t="s">
        <v>12</v>
      </c>
      <c r="F533" t="s">
        <v>13</v>
      </c>
      <c r="G533" t="s">
        <v>14</v>
      </c>
      <c r="H533" t="s">
        <v>72</v>
      </c>
    </row>
    <row r="534" spans="1:8" x14ac:dyDescent="0.25">
      <c r="A534" t="s">
        <v>8</v>
      </c>
      <c r="B534" t="s">
        <v>37</v>
      </c>
      <c r="C534" t="s">
        <v>1361</v>
      </c>
      <c r="D534" t="s">
        <v>1361</v>
      </c>
      <c r="E534" t="s">
        <v>12</v>
      </c>
      <c r="F534" t="s">
        <v>13</v>
      </c>
      <c r="G534" t="s">
        <v>63</v>
      </c>
      <c r="H534" t="s">
        <v>1362</v>
      </c>
    </row>
    <row r="535" spans="1:8" x14ac:dyDescent="0.25">
      <c r="A535" t="s">
        <v>8</v>
      </c>
      <c r="B535" t="s">
        <v>73</v>
      </c>
      <c r="C535" t="s">
        <v>1363</v>
      </c>
      <c r="D535" t="s">
        <v>1364</v>
      </c>
      <c r="E535" t="s">
        <v>23</v>
      </c>
      <c r="F535" t="s">
        <v>30</v>
      </c>
      <c r="G535" t="s">
        <v>14</v>
      </c>
      <c r="H535" t="s">
        <v>282</v>
      </c>
    </row>
    <row r="536" spans="1:8" x14ac:dyDescent="0.25">
      <c r="A536" t="s">
        <v>8</v>
      </c>
      <c r="B536" t="s">
        <v>77</v>
      </c>
      <c r="C536" t="s">
        <v>1365</v>
      </c>
      <c r="D536" t="s">
        <v>1365</v>
      </c>
      <c r="E536" t="s">
        <v>29</v>
      </c>
      <c r="F536" t="s">
        <v>13</v>
      </c>
      <c r="G536" t="s">
        <v>63</v>
      </c>
      <c r="H536" t="s">
        <v>157</v>
      </c>
    </row>
    <row r="537" spans="1:8" x14ac:dyDescent="0.25">
      <c r="A537" t="s">
        <v>8</v>
      </c>
      <c r="B537" t="s">
        <v>77</v>
      </c>
      <c r="C537" t="s">
        <v>1366</v>
      </c>
      <c r="D537" t="s">
        <v>1366</v>
      </c>
      <c r="E537" t="s">
        <v>12</v>
      </c>
      <c r="F537" t="s">
        <v>30</v>
      </c>
      <c r="G537" t="s">
        <v>63</v>
      </c>
      <c r="H537" t="s">
        <v>64</v>
      </c>
    </row>
    <row r="538" spans="1:8" x14ac:dyDescent="0.25">
      <c r="A538" t="s">
        <v>8</v>
      </c>
      <c r="B538" t="s">
        <v>16</v>
      </c>
      <c r="C538" t="s">
        <v>1367</v>
      </c>
      <c r="D538" t="s">
        <v>1368</v>
      </c>
      <c r="E538" t="s">
        <v>40</v>
      </c>
      <c r="F538" t="s">
        <v>80</v>
      </c>
      <c r="G538" t="s">
        <v>14</v>
      </c>
      <c r="H538" t="s">
        <v>1369</v>
      </c>
    </row>
    <row r="539" spans="1:8" x14ac:dyDescent="0.25">
      <c r="A539" t="s">
        <v>8</v>
      </c>
      <c r="B539" t="s">
        <v>113</v>
      </c>
      <c r="C539" t="s">
        <v>1370</v>
      </c>
      <c r="D539" t="s">
        <v>1371</v>
      </c>
      <c r="E539" t="s">
        <v>23</v>
      </c>
      <c r="F539" t="s">
        <v>24</v>
      </c>
      <c r="G539" t="s">
        <v>14</v>
      </c>
      <c r="H539" t="s">
        <v>122</v>
      </c>
    </row>
    <row r="540" spans="1:8" x14ac:dyDescent="0.25">
      <c r="A540" t="s">
        <v>8</v>
      </c>
      <c r="B540" t="s">
        <v>9</v>
      </c>
      <c r="C540" t="s">
        <v>1372</v>
      </c>
      <c r="D540" t="s">
        <v>1373</v>
      </c>
      <c r="E540" t="s">
        <v>12</v>
      </c>
      <c r="F540" t="s">
        <v>19</v>
      </c>
      <c r="G540" t="s">
        <v>14</v>
      </c>
      <c r="H540" t="s">
        <v>645</v>
      </c>
    </row>
    <row r="541" spans="1:8" x14ac:dyDescent="0.25">
      <c r="A541" t="s">
        <v>8</v>
      </c>
      <c r="B541" t="s">
        <v>26</v>
      </c>
      <c r="C541" t="s">
        <v>1374</v>
      </c>
      <c r="D541" t="s">
        <v>1375</v>
      </c>
      <c r="E541" t="s">
        <v>12</v>
      </c>
      <c r="F541" t="s">
        <v>13</v>
      </c>
      <c r="G541" t="s">
        <v>14</v>
      </c>
      <c r="H541" t="s">
        <v>898</v>
      </c>
    </row>
    <row r="542" spans="1:8" x14ac:dyDescent="0.25">
      <c r="A542" t="s">
        <v>8</v>
      </c>
      <c r="B542" t="s">
        <v>37</v>
      </c>
      <c r="C542" t="s">
        <v>1376</v>
      </c>
      <c r="D542" t="s">
        <v>1377</v>
      </c>
      <c r="E542" t="s">
        <v>29</v>
      </c>
      <c r="F542" t="s">
        <v>30</v>
      </c>
      <c r="G542" t="s">
        <v>14</v>
      </c>
      <c r="H542" t="s">
        <v>137</v>
      </c>
    </row>
    <row r="543" spans="1:8" x14ac:dyDescent="0.25">
      <c r="A543" t="s">
        <v>8</v>
      </c>
      <c r="B543" t="s">
        <v>91</v>
      </c>
      <c r="C543" t="s">
        <v>1378</v>
      </c>
      <c r="D543" t="s">
        <v>1379</v>
      </c>
      <c r="E543" t="s">
        <v>12</v>
      </c>
      <c r="F543" t="s">
        <v>13</v>
      </c>
      <c r="G543" t="s">
        <v>14</v>
      </c>
      <c r="H543" t="s">
        <v>1380</v>
      </c>
    </row>
    <row r="544" spans="1:8" x14ac:dyDescent="0.25">
      <c r="A544" t="s">
        <v>8</v>
      </c>
      <c r="B544" t="s">
        <v>37</v>
      </c>
      <c r="C544" t="s">
        <v>1381</v>
      </c>
      <c r="D544" t="s">
        <v>1382</v>
      </c>
      <c r="E544" t="s">
        <v>623</v>
      </c>
      <c r="F544" t="s">
        <v>24</v>
      </c>
      <c r="G544" t="s">
        <v>14</v>
      </c>
      <c r="H544" t="s">
        <v>1383</v>
      </c>
    </row>
    <row r="545" spans="1:8" x14ac:dyDescent="0.25">
      <c r="A545" t="s">
        <v>8</v>
      </c>
      <c r="B545" t="s">
        <v>9</v>
      </c>
      <c r="C545" t="s">
        <v>1384</v>
      </c>
      <c r="D545" t="s">
        <v>1385</v>
      </c>
      <c r="E545" t="s">
        <v>116</v>
      </c>
      <c r="F545" t="s">
        <v>30</v>
      </c>
      <c r="G545" t="s">
        <v>14</v>
      </c>
      <c r="H545" t="s">
        <v>922</v>
      </c>
    </row>
    <row r="546" spans="1:8" x14ac:dyDescent="0.25">
      <c r="A546" t="s">
        <v>8</v>
      </c>
      <c r="B546" t="s">
        <v>37</v>
      </c>
      <c r="C546" t="s">
        <v>1386</v>
      </c>
      <c r="D546" t="s">
        <v>1387</v>
      </c>
      <c r="E546" t="s">
        <v>172</v>
      </c>
      <c r="F546" t="s">
        <v>30</v>
      </c>
      <c r="G546" t="s">
        <v>14</v>
      </c>
      <c r="H546" t="s">
        <v>122</v>
      </c>
    </row>
    <row r="547" spans="1:8" x14ac:dyDescent="0.25">
      <c r="A547" t="s">
        <v>8</v>
      </c>
      <c r="B547" t="s">
        <v>16</v>
      </c>
      <c r="C547" t="s">
        <v>1388</v>
      </c>
      <c r="D547" t="s">
        <v>1388</v>
      </c>
      <c r="E547" t="s">
        <v>29</v>
      </c>
      <c r="F547" t="s">
        <v>13</v>
      </c>
      <c r="G547" t="s">
        <v>63</v>
      </c>
      <c r="H547" t="s">
        <v>1278</v>
      </c>
    </row>
    <row r="548" spans="1:8" x14ac:dyDescent="0.25">
      <c r="A548" t="s">
        <v>8</v>
      </c>
      <c r="B548" t="s">
        <v>91</v>
      </c>
      <c r="C548" t="s">
        <v>1389</v>
      </c>
      <c r="D548" t="s">
        <v>1390</v>
      </c>
      <c r="E548" t="s">
        <v>12</v>
      </c>
      <c r="F548" t="s">
        <v>13</v>
      </c>
      <c r="G548" t="s">
        <v>14</v>
      </c>
      <c r="H548" t="s">
        <v>946</v>
      </c>
    </row>
    <row r="549" spans="1:8" x14ac:dyDescent="0.25">
      <c r="A549" t="s">
        <v>8</v>
      </c>
      <c r="B549" t="s">
        <v>42</v>
      </c>
      <c r="C549" t="s">
        <v>1391</v>
      </c>
      <c r="D549" t="s">
        <v>1392</v>
      </c>
      <c r="E549" t="s">
        <v>29</v>
      </c>
      <c r="F549" t="s">
        <v>24</v>
      </c>
      <c r="G549" t="s">
        <v>14</v>
      </c>
      <c r="H549" t="s">
        <v>378</v>
      </c>
    </row>
    <row r="550" spans="1:8" x14ac:dyDescent="0.25">
      <c r="A550" t="s">
        <v>8</v>
      </c>
      <c r="B550" t="s">
        <v>113</v>
      </c>
      <c r="C550" t="s">
        <v>1393</v>
      </c>
      <c r="D550" t="s">
        <v>1393</v>
      </c>
      <c r="E550" t="s">
        <v>12</v>
      </c>
      <c r="F550" t="s">
        <v>30</v>
      </c>
      <c r="G550" t="s">
        <v>63</v>
      </c>
      <c r="H550" t="s">
        <v>1394</v>
      </c>
    </row>
    <row r="551" spans="1:8" x14ac:dyDescent="0.25">
      <c r="A551" t="s">
        <v>8</v>
      </c>
      <c r="B551" t="s">
        <v>73</v>
      </c>
      <c r="C551" t="s">
        <v>1395</v>
      </c>
      <c r="D551" t="s">
        <v>1396</v>
      </c>
      <c r="E551" t="s">
        <v>23</v>
      </c>
      <c r="F551" t="s">
        <v>24</v>
      </c>
      <c r="G551" t="s">
        <v>14</v>
      </c>
      <c r="H551" t="s">
        <v>84</v>
      </c>
    </row>
    <row r="552" spans="1:8" x14ac:dyDescent="0.25">
      <c r="A552" t="s">
        <v>8</v>
      </c>
      <c r="B552" t="s">
        <v>42</v>
      </c>
      <c r="C552" t="s">
        <v>1397</v>
      </c>
      <c r="D552" t="s">
        <v>1398</v>
      </c>
      <c r="E552" t="s">
        <v>29</v>
      </c>
      <c r="F552" t="s">
        <v>97</v>
      </c>
      <c r="G552" t="s">
        <v>98</v>
      </c>
      <c r="H552" t="s">
        <v>1399</v>
      </c>
    </row>
    <row r="553" spans="1:8" x14ac:dyDescent="0.25">
      <c r="A553" t="s">
        <v>8</v>
      </c>
      <c r="B553" t="s">
        <v>100</v>
      </c>
      <c r="C553" t="s">
        <v>1400</v>
      </c>
      <c r="D553" t="s">
        <v>1401</v>
      </c>
      <c r="E553" t="s">
        <v>12</v>
      </c>
      <c r="F553" t="s">
        <v>13</v>
      </c>
      <c r="G553" t="s">
        <v>14</v>
      </c>
      <c r="H553" t="s">
        <v>748</v>
      </c>
    </row>
    <row r="554" spans="1:8" x14ac:dyDescent="0.25">
      <c r="A554" t="s">
        <v>8</v>
      </c>
      <c r="B554" t="s">
        <v>91</v>
      </c>
      <c r="C554" t="s">
        <v>1402</v>
      </c>
      <c r="D554" t="s">
        <v>1403</v>
      </c>
      <c r="E554" t="s">
        <v>12</v>
      </c>
      <c r="F554" t="s">
        <v>13</v>
      </c>
      <c r="G554" t="s">
        <v>14</v>
      </c>
      <c r="H554" t="s">
        <v>473</v>
      </c>
    </row>
    <row r="555" spans="1:8" x14ac:dyDescent="0.25">
      <c r="A555" t="s">
        <v>8</v>
      </c>
      <c r="B555" t="s">
        <v>183</v>
      </c>
      <c r="C555" t="s">
        <v>1404</v>
      </c>
      <c r="D555" t="s">
        <v>1405</v>
      </c>
      <c r="E555" t="s">
        <v>29</v>
      </c>
      <c r="F555" t="s">
        <v>24</v>
      </c>
      <c r="G555" t="s">
        <v>14</v>
      </c>
      <c r="H555" t="s">
        <v>1406</v>
      </c>
    </row>
    <row r="556" spans="1:8" x14ac:dyDescent="0.25">
      <c r="A556" t="s">
        <v>8</v>
      </c>
      <c r="B556" t="s">
        <v>9</v>
      </c>
      <c r="C556" t="s">
        <v>1407</v>
      </c>
      <c r="D556" t="s">
        <v>1408</v>
      </c>
      <c r="E556" t="s">
        <v>1409</v>
      </c>
      <c r="F556" t="s">
        <v>191</v>
      </c>
      <c r="G556" t="s">
        <v>56</v>
      </c>
      <c r="H556" t="s">
        <v>1410</v>
      </c>
    </row>
    <row r="557" spans="1:8" x14ac:dyDescent="0.25">
      <c r="A557" t="s">
        <v>8</v>
      </c>
      <c r="B557" t="s">
        <v>42</v>
      </c>
      <c r="C557" t="s">
        <v>1411</v>
      </c>
      <c r="D557" t="s">
        <v>1412</v>
      </c>
      <c r="E557" t="s">
        <v>172</v>
      </c>
      <c r="F557" t="s">
        <v>24</v>
      </c>
      <c r="G557" t="s">
        <v>14</v>
      </c>
      <c r="H557" t="s">
        <v>1413</v>
      </c>
    </row>
    <row r="558" spans="1:8" x14ac:dyDescent="0.25">
      <c r="A558" t="s">
        <v>8</v>
      </c>
      <c r="B558" t="s">
        <v>73</v>
      </c>
      <c r="C558" t="s">
        <v>1414</v>
      </c>
      <c r="D558" t="s">
        <v>1415</v>
      </c>
      <c r="E558" t="s">
        <v>29</v>
      </c>
      <c r="F558" t="s">
        <v>13</v>
      </c>
      <c r="G558" t="s">
        <v>56</v>
      </c>
      <c r="H558" t="s">
        <v>1155</v>
      </c>
    </row>
    <row r="559" spans="1:8" x14ac:dyDescent="0.25">
      <c r="A559" t="s">
        <v>8</v>
      </c>
      <c r="B559" t="s">
        <v>77</v>
      </c>
      <c r="C559" t="s">
        <v>1416</v>
      </c>
      <c r="D559" t="s">
        <v>1417</v>
      </c>
      <c r="E559" t="s">
        <v>45</v>
      </c>
      <c r="F559" t="s">
        <v>30</v>
      </c>
      <c r="G559" t="s">
        <v>14</v>
      </c>
      <c r="H559" t="s">
        <v>1418</v>
      </c>
    </row>
    <row r="560" spans="1:8" x14ac:dyDescent="0.25">
      <c r="A560" t="s">
        <v>8</v>
      </c>
      <c r="B560" t="s">
        <v>91</v>
      </c>
      <c r="C560" t="s">
        <v>1419</v>
      </c>
      <c r="D560" t="s">
        <v>1420</v>
      </c>
      <c r="E560" t="s">
        <v>12</v>
      </c>
      <c r="F560" t="s">
        <v>13</v>
      </c>
      <c r="G560" t="s">
        <v>14</v>
      </c>
      <c r="H560" t="s">
        <v>1421</v>
      </c>
    </row>
    <row r="561" spans="1:8" x14ac:dyDescent="0.25">
      <c r="A561" t="s">
        <v>8</v>
      </c>
      <c r="B561" t="s">
        <v>77</v>
      </c>
      <c r="C561" t="s">
        <v>1422</v>
      </c>
      <c r="D561" t="s">
        <v>1423</v>
      </c>
      <c r="E561" t="s">
        <v>29</v>
      </c>
      <c r="F561" t="s">
        <v>97</v>
      </c>
      <c r="G561" t="s">
        <v>98</v>
      </c>
      <c r="H561" t="s">
        <v>176</v>
      </c>
    </row>
    <row r="562" spans="1:8" x14ac:dyDescent="0.25">
      <c r="A562" t="s">
        <v>8</v>
      </c>
      <c r="B562" t="s">
        <v>77</v>
      </c>
      <c r="C562" t="s">
        <v>1424</v>
      </c>
      <c r="D562" t="s">
        <v>1425</v>
      </c>
      <c r="E562" t="s">
        <v>116</v>
      </c>
      <c r="F562" t="s">
        <v>30</v>
      </c>
      <c r="G562" t="s">
        <v>14</v>
      </c>
      <c r="H562" t="s">
        <v>903</v>
      </c>
    </row>
    <row r="563" spans="1:8" x14ac:dyDescent="0.25">
      <c r="A563" t="s">
        <v>8</v>
      </c>
      <c r="B563" t="s">
        <v>37</v>
      </c>
      <c r="C563" t="s">
        <v>1426</v>
      </c>
      <c r="D563" t="s">
        <v>1427</v>
      </c>
      <c r="E563" t="s">
        <v>12</v>
      </c>
      <c r="F563" t="s">
        <v>13</v>
      </c>
      <c r="G563" t="s">
        <v>14</v>
      </c>
      <c r="H563" t="s">
        <v>264</v>
      </c>
    </row>
    <row r="564" spans="1:8" x14ac:dyDescent="0.25">
      <c r="A564" t="s">
        <v>8</v>
      </c>
      <c r="B564" t="s">
        <v>9</v>
      </c>
      <c r="C564" t="s">
        <v>1428</v>
      </c>
      <c r="D564" t="s">
        <v>1429</v>
      </c>
      <c r="E564" t="s">
        <v>172</v>
      </c>
      <c r="F564" t="s">
        <v>30</v>
      </c>
      <c r="G564" t="s">
        <v>14</v>
      </c>
      <c r="H564" t="s">
        <v>509</v>
      </c>
    </row>
    <row r="565" spans="1:8" x14ac:dyDescent="0.25">
      <c r="A565" t="s">
        <v>8</v>
      </c>
      <c r="B565" t="s">
        <v>42</v>
      </c>
      <c r="C565" t="s">
        <v>1430</v>
      </c>
      <c r="D565" t="s">
        <v>1431</v>
      </c>
      <c r="E565" t="s">
        <v>12</v>
      </c>
      <c r="F565" t="s">
        <v>13</v>
      </c>
      <c r="G565" t="s">
        <v>14</v>
      </c>
      <c r="H565" t="s">
        <v>72</v>
      </c>
    </row>
    <row r="566" spans="1:8" x14ac:dyDescent="0.25">
      <c r="A566" t="s">
        <v>8</v>
      </c>
      <c r="B566" t="s">
        <v>113</v>
      </c>
      <c r="C566" t="s">
        <v>1432</v>
      </c>
      <c r="D566" t="s">
        <v>1433</v>
      </c>
      <c r="E566" t="s">
        <v>35</v>
      </c>
      <c r="F566" t="s">
        <v>30</v>
      </c>
      <c r="G566" t="s">
        <v>14</v>
      </c>
      <c r="H566" t="s">
        <v>122</v>
      </c>
    </row>
    <row r="567" spans="1:8" x14ac:dyDescent="0.25">
      <c r="A567" t="s">
        <v>8</v>
      </c>
      <c r="B567" t="s">
        <v>26</v>
      </c>
      <c r="C567" t="s">
        <v>1434</v>
      </c>
      <c r="D567" t="s">
        <v>1435</v>
      </c>
      <c r="E567" t="s">
        <v>12</v>
      </c>
      <c r="F567" t="s">
        <v>13</v>
      </c>
      <c r="G567" t="s">
        <v>14</v>
      </c>
      <c r="H567" t="s">
        <v>1436</v>
      </c>
    </row>
    <row r="568" spans="1:8" x14ac:dyDescent="0.25">
      <c r="A568" t="s">
        <v>8</v>
      </c>
      <c r="B568" t="s">
        <v>37</v>
      </c>
      <c r="C568" t="s">
        <v>1437</v>
      </c>
      <c r="D568" t="s">
        <v>1438</v>
      </c>
      <c r="E568" t="s">
        <v>172</v>
      </c>
      <c r="F568" t="s">
        <v>51</v>
      </c>
      <c r="G568" t="s">
        <v>14</v>
      </c>
      <c r="H568" t="s">
        <v>1439</v>
      </c>
    </row>
    <row r="569" spans="1:8" x14ac:dyDescent="0.25">
      <c r="A569" t="s">
        <v>1440</v>
      </c>
      <c r="B569" t="s">
        <v>91</v>
      </c>
      <c r="C569" t="s">
        <v>1441</v>
      </c>
      <c r="D569" t="s">
        <v>1442</v>
      </c>
      <c r="E569" t="s">
        <v>12</v>
      </c>
      <c r="F569" t="s">
        <v>13</v>
      </c>
      <c r="G569" t="s">
        <v>14</v>
      </c>
      <c r="H569" t="s">
        <v>1443</v>
      </c>
    </row>
    <row r="570" spans="1:8" x14ac:dyDescent="0.25">
      <c r="A570" t="s">
        <v>1440</v>
      </c>
      <c r="B570" t="s">
        <v>91</v>
      </c>
      <c r="C570" t="s">
        <v>1444</v>
      </c>
      <c r="D570" t="s">
        <v>1445</v>
      </c>
      <c r="E570" t="s">
        <v>29</v>
      </c>
      <c r="F570" t="s">
        <v>51</v>
      </c>
      <c r="G570" t="s">
        <v>67</v>
      </c>
      <c r="H570" t="s">
        <v>378</v>
      </c>
    </row>
    <row r="571" spans="1:8" x14ac:dyDescent="0.25">
      <c r="A571" t="s">
        <v>1440</v>
      </c>
      <c r="B571" t="s">
        <v>113</v>
      </c>
      <c r="C571" t="s">
        <v>1446</v>
      </c>
      <c r="D571" t="s">
        <v>1447</v>
      </c>
      <c r="E571" t="s">
        <v>67</v>
      </c>
      <c r="F571" t="s">
        <v>24</v>
      </c>
      <c r="G571" t="s">
        <v>67</v>
      </c>
      <c r="H571" t="s">
        <v>516</v>
      </c>
    </row>
    <row r="572" spans="1:8" x14ac:dyDescent="0.25">
      <c r="A572" t="s">
        <v>1440</v>
      </c>
      <c r="B572" t="s">
        <v>42</v>
      </c>
      <c r="C572" t="s">
        <v>1448</v>
      </c>
      <c r="D572" t="s">
        <v>1449</v>
      </c>
      <c r="E572" t="s">
        <v>45</v>
      </c>
      <c r="F572" t="s">
        <v>71</v>
      </c>
      <c r="G572" t="s">
        <v>14</v>
      </c>
      <c r="H572" t="s">
        <v>959</v>
      </c>
    </row>
    <row r="573" spans="1:8" x14ac:dyDescent="0.25">
      <c r="A573" t="s">
        <v>1440</v>
      </c>
      <c r="B573" t="s">
        <v>37</v>
      </c>
      <c r="C573" t="s">
        <v>1450</v>
      </c>
      <c r="D573" t="s">
        <v>1451</v>
      </c>
      <c r="E573" t="s">
        <v>172</v>
      </c>
      <c r="F573" t="s">
        <v>24</v>
      </c>
      <c r="G573" t="s">
        <v>14</v>
      </c>
      <c r="H573" t="s">
        <v>46</v>
      </c>
    </row>
    <row r="574" spans="1:8" x14ac:dyDescent="0.25">
      <c r="A574" t="s">
        <v>1440</v>
      </c>
      <c r="B574" t="s">
        <v>16</v>
      </c>
      <c r="C574" t="s">
        <v>1452</v>
      </c>
      <c r="D574" t="s">
        <v>1453</v>
      </c>
      <c r="E574" t="s">
        <v>12</v>
      </c>
      <c r="F574" t="s">
        <v>19</v>
      </c>
      <c r="G574" t="s">
        <v>14</v>
      </c>
      <c r="H574" t="s">
        <v>1454</v>
      </c>
    </row>
    <row r="575" spans="1:8" x14ac:dyDescent="0.25">
      <c r="A575" t="s">
        <v>1440</v>
      </c>
      <c r="B575" t="s">
        <v>26</v>
      </c>
      <c r="C575" t="s">
        <v>1455</v>
      </c>
      <c r="D575" t="s">
        <v>1456</v>
      </c>
      <c r="E575" t="s">
        <v>172</v>
      </c>
      <c r="F575" t="s">
        <v>30</v>
      </c>
      <c r="G575" t="s">
        <v>14</v>
      </c>
      <c r="H575" t="s">
        <v>860</v>
      </c>
    </row>
    <row r="576" spans="1:8" x14ac:dyDescent="0.25">
      <c r="A576" t="s">
        <v>1440</v>
      </c>
      <c r="B576" t="s">
        <v>100</v>
      </c>
      <c r="C576" t="s">
        <v>1457</v>
      </c>
      <c r="D576" t="s">
        <v>1458</v>
      </c>
      <c r="E576" t="s">
        <v>116</v>
      </c>
      <c r="F576" t="s">
        <v>30</v>
      </c>
      <c r="G576" t="s">
        <v>14</v>
      </c>
      <c r="H576" t="s">
        <v>131</v>
      </c>
    </row>
    <row r="577" spans="1:8" x14ac:dyDescent="0.25">
      <c r="A577" t="s">
        <v>1440</v>
      </c>
      <c r="B577" t="s">
        <v>123</v>
      </c>
      <c r="C577" t="s">
        <v>1459</v>
      </c>
      <c r="D577" t="s">
        <v>1460</v>
      </c>
      <c r="E577" t="s">
        <v>67</v>
      </c>
      <c r="F577" t="s">
        <v>30</v>
      </c>
      <c r="G577" t="s">
        <v>67</v>
      </c>
      <c r="H577" t="s">
        <v>582</v>
      </c>
    </row>
    <row r="578" spans="1:8" x14ac:dyDescent="0.25">
      <c r="A578" t="s">
        <v>1440</v>
      </c>
      <c r="B578" t="s">
        <v>9</v>
      </c>
      <c r="C578" t="s">
        <v>1461</v>
      </c>
      <c r="D578" t="s">
        <v>1462</v>
      </c>
      <c r="E578" t="s">
        <v>40</v>
      </c>
      <c r="F578" t="s">
        <v>80</v>
      </c>
      <c r="G578" t="s">
        <v>14</v>
      </c>
      <c r="H578" t="s">
        <v>1463</v>
      </c>
    </row>
    <row r="579" spans="1:8" x14ac:dyDescent="0.25">
      <c r="A579" t="s">
        <v>1440</v>
      </c>
      <c r="B579" t="s">
        <v>113</v>
      </c>
      <c r="C579" t="s">
        <v>1464</v>
      </c>
      <c r="D579" t="s">
        <v>1465</v>
      </c>
      <c r="E579" t="s">
        <v>1466</v>
      </c>
      <c r="F579" t="s">
        <v>19</v>
      </c>
      <c r="G579" t="s">
        <v>14</v>
      </c>
      <c r="H579" t="s">
        <v>228</v>
      </c>
    </row>
    <row r="580" spans="1:8" x14ac:dyDescent="0.25">
      <c r="A580" t="s">
        <v>1440</v>
      </c>
      <c r="B580" t="s">
        <v>73</v>
      </c>
      <c r="C580" t="s">
        <v>1467</v>
      </c>
      <c r="D580" t="s">
        <v>1468</v>
      </c>
      <c r="E580" t="s">
        <v>23</v>
      </c>
      <c r="F580" t="s">
        <v>19</v>
      </c>
      <c r="G580" t="s">
        <v>14</v>
      </c>
      <c r="H580" t="s">
        <v>1469</v>
      </c>
    </row>
    <row r="581" spans="1:8" x14ac:dyDescent="0.25">
      <c r="A581" t="s">
        <v>1440</v>
      </c>
      <c r="B581" t="s">
        <v>37</v>
      </c>
      <c r="C581" t="s">
        <v>1470</v>
      </c>
      <c r="D581" t="s">
        <v>1471</v>
      </c>
      <c r="E581" t="s">
        <v>29</v>
      </c>
      <c r="F581" t="s">
        <v>51</v>
      </c>
      <c r="G581" t="s">
        <v>67</v>
      </c>
      <c r="H581" t="s">
        <v>1472</v>
      </c>
    </row>
    <row r="582" spans="1:8" x14ac:dyDescent="0.25">
      <c r="A582" t="s">
        <v>1440</v>
      </c>
      <c r="B582" t="s">
        <v>42</v>
      </c>
      <c r="C582" t="s">
        <v>1473</v>
      </c>
      <c r="D582" t="s">
        <v>1474</v>
      </c>
      <c r="E582" t="s">
        <v>23</v>
      </c>
      <c r="F582" t="s">
        <v>19</v>
      </c>
      <c r="G582" t="s">
        <v>14</v>
      </c>
      <c r="H582" t="s">
        <v>109</v>
      </c>
    </row>
    <row r="583" spans="1:8" x14ac:dyDescent="0.25">
      <c r="A583" t="s">
        <v>1440</v>
      </c>
      <c r="B583" t="s">
        <v>37</v>
      </c>
      <c r="C583" t="s">
        <v>1475</v>
      </c>
      <c r="D583" t="s">
        <v>1476</v>
      </c>
      <c r="E583" t="s">
        <v>67</v>
      </c>
      <c r="F583" t="s">
        <v>24</v>
      </c>
      <c r="G583" t="s">
        <v>67</v>
      </c>
      <c r="H583" t="s">
        <v>1477</v>
      </c>
    </row>
    <row r="584" spans="1:8" x14ac:dyDescent="0.25">
      <c r="A584" t="s">
        <v>1440</v>
      </c>
      <c r="B584" t="s">
        <v>37</v>
      </c>
      <c r="C584" t="s">
        <v>1478</v>
      </c>
      <c r="D584" t="s">
        <v>1479</v>
      </c>
      <c r="E584" t="s">
        <v>116</v>
      </c>
      <c r="F584" t="s">
        <v>30</v>
      </c>
      <c r="G584" t="s">
        <v>14</v>
      </c>
      <c r="H584" t="s">
        <v>539</v>
      </c>
    </row>
    <row r="585" spans="1:8" x14ac:dyDescent="0.25">
      <c r="A585" t="s">
        <v>1440</v>
      </c>
      <c r="B585" t="s">
        <v>77</v>
      </c>
      <c r="C585" t="s">
        <v>1480</v>
      </c>
      <c r="D585" t="s">
        <v>1481</v>
      </c>
      <c r="E585" t="s">
        <v>172</v>
      </c>
      <c r="F585" t="s">
        <v>24</v>
      </c>
      <c r="G585" t="s">
        <v>14</v>
      </c>
      <c r="H585" t="s">
        <v>544</v>
      </c>
    </row>
    <row r="586" spans="1:8" x14ac:dyDescent="0.25">
      <c r="A586" t="s">
        <v>1440</v>
      </c>
      <c r="B586" t="s">
        <v>42</v>
      </c>
      <c r="C586" t="s">
        <v>1482</v>
      </c>
      <c r="D586" t="s">
        <v>1483</v>
      </c>
      <c r="E586" t="s">
        <v>12</v>
      </c>
      <c r="F586" t="s">
        <v>19</v>
      </c>
      <c r="G586" t="s">
        <v>14</v>
      </c>
      <c r="H586" t="s">
        <v>1484</v>
      </c>
    </row>
    <row r="587" spans="1:8" x14ac:dyDescent="0.25">
      <c r="A587" t="s">
        <v>1440</v>
      </c>
      <c r="B587" t="s">
        <v>9</v>
      </c>
      <c r="C587" t="s">
        <v>1485</v>
      </c>
      <c r="D587" t="s">
        <v>1486</v>
      </c>
      <c r="E587" t="s">
        <v>67</v>
      </c>
      <c r="F587" t="s">
        <v>19</v>
      </c>
      <c r="G587" t="s">
        <v>67</v>
      </c>
      <c r="H587" t="s">
        <v>669</v>
      </c>
    </row>
    <row r="588" spans="1:8" x14ac:dyDescent="0.25">
      <c r="A588" t="s">
        <v>1440</v>
      </c>
      <c r="B588" t="s">
        <v>37</v>
      </c>
      <c r="C588" t="s">
        <v>1487</v>
      </c>
      <c r="D588" t="s">
        <v>1488</v>
      </c>
      <c r="E588" t="s">
        <v>35</v>
      </c>
      <c r="F588" t="s">
        <v>19</v>
      </c>
      <c r="G588" t="s">
        <v>14</v>
      </c>
      <c r="H588" t="s">
        <v>509</v>
      </c>
    </row>
    <row r="589" spans="1:8" x14ac:dyDescent="0.25">
      <c r="A589" t="s">
        <v>1440</v>
      </c>
      <c r="B589" t="s">
        <v>77</v>
      </c>
      <c r="C589" t="s">
        <v>1489</v>
      </c>
      <c r="D589" t="s">
        <v>1490</v>
      </c>
      <c r="E589" t="s">
        <v>67</v>
      </c>
      <c r="F589" t="s">
        <v>19</v>
      </c>
      <c r="G589" t="s">
        <v>67</v>
      </c>
      <c r="H589" t="s">
        <v>375</v>
      </c>
    </row>
    <row r="590" spans="1:8" x14ac:dyDescent="0.25">
      <c r="A590" t="s">
        <v>1440</v>
      </c>
      <c r="B590" t="s">
        <v>32</v>
      </c>
      <c r="C590" t="s">
        <v>1491</v>
      </c>
      <c r="D590" t="s">
        <v>1491</v>
      </c>
      <c r="E590" t="s">
        <v>29</v>
      </c>
      <c r="F590" t="s">
        <v>13</v>
      </c>
      <c r="G590" t="s">
        <v>63</v>
      </c>
      <c r="H590" t="s">
        <v>1492</v>
      </c>
    </row>
    <row r="591" spans="1:8" x14ac:dyDescent="0.25">
      <c r="A591" t="s">
        <v>1440</v>
      </c>
      <c r="B591" t="s">
        <v>73</v>
      </c>
      <c r="C591" t="s">
        <v>1493</v>
      </c>
      <c r="D591" t="s">
        <v>1493</v>
      </c>
      <c r="E591" t="s">
        <v>12</v>
      </c>
      <c r="F591" t="s">
        <v>13</v>
      </c>
      <c r="G591" t="s">
        <v>63</v>
      </c>
      <c r="H591" t="s">
        <v>541</v>
      </c>
    </row>
    <row r="592" spans="1:8" x14ac:dyDescent="0.25">
      <c r="A592" t="s">
        <v>1440</v>
      </c>
      <c r="B592" t="s">
        <v>16</v>
      </c>
      <c r="C592" t="s">
        <v>1494</v>
      </c>
      <c r="D592" t="s">
        <v>1494</v>
      </c>
      <c r="E592" t="s">
        <v>12</v>
      </c>
      <c r="F592" t="s">
        <v>13</v>
      </c>
      <c r="G592" t="s">
        <v>63</v>
      </c>
      <c r="H592" t="s">
        <v>1495</v>
      </c>
    </row>
    <row r="593" spans="1:8" x14ac:dyDescent="0.25">
      <c r="A593" t="s">
        <v>1440</v>
      </c>
      <c r="B593" t="s">
        <v>37</v>
      </c>
      <c r="C593" t="s">
        <v>1496</v>
      </c>
      <c r="D593" t="s">
        <v>1496</v>
      </c>
      <c r="E593" t="s">
        <v>12</v>
      </c>
      <c r="F593" t="s">
        <v>13</v>
      </c>
      <c r="G593" t="s">
        <v>63</v>
      </c>
      <c r="H593" t="s">
        <v>1168</v>
      </c>
    </row>
    <row r="594" spans="1:8" x14ac:dyDescent="0.25">
      <c r="A594" t="s">
        <v>1440</v>
      </c>
      <c r="B594" t="s">
        <v>77</v>
      </c>
      <c r="C594" t="s">
        <v>1497</v>
      </c>
      <c r="D594" t="s">
        <v>1498</v>
      </c>
      <c r="E594" t="s">
        <v>67</v>
      </c>
      <c r="F594" t="s">
        <v>19</v>
      </c>
      <c r="G594" t="s">
        <v>67</v>
      </c>
      <c r="H594" t="s">
        <v>1499</v>
      </c>
    </row>
    <row r="595" spans="1:8" x14ac:dyDescent="0.25">
      <c r="A595" t="s">
        <v>1440</v>
      </c>
      <c r="B595" t="s">
        <v>37</v>
      </c>
      <c r="C595" t="s">
        <v>1500</v>
      </c>
      <c r="D595" t="s">
        <v>1500</v>
      </c>
      <c r="E595" t="s">
        <v>116</v>
      </c>
      <c r="F595" t="s">
        <v>24</v>
      </c>
      <c r="G595" t="s">
        <v>63</v>
      </c>
      <c r="H595" t="s">
        <v>1501</v>
      </c>
    </row>
    <row r="596" spans="1:8" x14ac:dyDescent="0.25">
      <c r="A596" t="s">
        <v>1440</v>
      </c>
      <c r="B596" t="s">
        <v>42</v>
      </c>
      <c r="C596" t="s">
        <v>1502</v>
      </c>
      <c r="D596" t="s">
        <v>1502</v>
      </c>
      <c r="E596" t="s">
        <v>116</v>
      </c>
      <c r="F596" t="s">
        <v>24</v>
      </c>
      <c r="G596" t="s">
        <v>63</v>
      </c>
      <c r="H596" t="s">
        <v>1503</v>
      </c>
    </row>
    <row r="597" spans="1:8" x14ac:dyDescent="0.25">
      <c r="A597" t="s">
        <v>1440</v>
      </c>
      <c r="B597" t="s">
        <v>9</v>
      </c>
      <c r="C597" t="s">
        <v>1504</v>
      </c>
      <c r="D597" t="s">
        <v>1504</v>
      </c>
      <c r="E597" t="s">
        <v>60</v>
      </c>
      <c r="F597" t="s">
        <v>13</v>
      </c>
      <c r="G597" t="s">
        <v>63</v>
      </c>
      <c r="H597" t="s">
        <v>1505</v>
      </c>
    </row>
    <row r="598" spans="1:8" x14ac:dyDescent="0.25">
      <c r="A598" t="s">
        <v>1440</v>
      </c>
      <c r="B598" t="s">
        <v>42</v>
      </c>
      <c r="C598" t="s">
        <v>1506</v>
      </c>
      <c r="D598" t="s">
        <v>1506</v>
      </c>
      <c r="E598" t="s">
        <v>60</v>
      </c>
      <c r="F598" t="s">
        <v>30</v>
      </c>
      <c r="G598" t="s">
        <v>63</v>
      </c>
      <c r="H598" t="s">
        <v>1507</v>
      </c>
    </row>
    <row r="599" spans="1:8" x14ac:dyDescent="0.25">
      <c r="A599" t="s">
        <v>1440</v>
      </c>
      <c r="B599" t="s">
        <v>100</v>
      </c>
      <c r="C599" t="s">
        <v>1508</v>
      </c>
      <c r="D599" t="s">
        <v>1509</v>
      </c>
      <c r="E599" t="s">
        <v>390</v>
      </c>
      <c r="F599" t="s">
        <v>51</v>
      </c>
      <c r="G599" t="s">
        <v>14</v>
      </c>
      <c r="H599" t="s">
        <v>1510</v>
      </c>
    </row>
    <row r="600" spans="1:8" x14ac:dyDescent="0.25">
      <c r="A600" t="s">
        <v>1440</v>
      </c>
      <c r="B600" t="s">
        <v>100</v>
      </c>
      <c r="C600" t="s">
        <v>1511</v>
      </c>
      <c r="D600" t="s">
        <v>1512</v>
      </c>
      <c r="E600" t="s">
        <v>529</v>
      </c>
      <c r="F600" t="s">
        <v>51</v>
      </c>
      <c r="G600" t="s">
        <v>14</v>
      </c>
      <c r="H600" t="s">
        <v>1513</v>
      </c>
    </row>
    <row r="601" spans="1:8" x14ac:dyDescent="0.25">
      <c r="A601" t="s">
        <v>1440</v>
      </c>
      <c r="B601" t="s">
        <v>77</v>
      </c>
      <c r="C601" t="s">
        <v>1514</v>
      </c>
      <c r="D601" t="s">
        <v>1515</v>
      </c>
      <c r="E601" t="s">
        <v>29</v>
      </c>
      <c r="F601" t="s">
        <v>97</v>
      </c>
      <c r="G601" t="s">
        <v>98</v>
      </c>
      <c r="H601" t="s">
        <v>1516</v>
      </c>
    </row>
    <row r="602" spans="1:8" x14ac:dyDescent="0.25">
      <c r="A602" t="s">
        <v>1440</v>
      </c>
      <c r="B602" t="s">
        <v>37</v>
      </c>
      <c r="C602" t="s">
        <v>1517</v>
      </c>
      <c r="D602" t="s">
        <v>1518</v>
      </c>
      <c r="E602" t="s">
        <v>67</v>
      </c>
      <c r="F602" t="s">
        <v>19</v>
      </c>
      <c r="G602" t="s">
        <v>67</v>
      </c>
      <c r="H602" t="s">
        <v>549</v>
      </c>
    </row>
    <row r="603" spans="1:8" x14ac:dyDescent="0.25">
      <c r="A603" t="s">
        <v>1440</v>
      </c>
      <c r="B603" t="s">
        <v>100</v>
      </c>
      <c r="C603" t="s">
        <v>1519</v>
      </c>
      <c r="D603" t="s">
        <v>1519</v>
      </c>
      <c r="E603" t="s">
        <v>29</v>
      </c>
      <c r="F603" t="s">
        <v>30</v>
      </c>
      <c r="G603" t="s">
        <v>63</v>
      </c>
      <c r="H603" t="s">
        <v>303</v>
      </c>
    </row>
    <row r="604" spans="1:8" x14ac:dyDescent="0.25">
      <c r="A604" t="s">
        <v>1440</v>
      </c>
      <c r="B604" t="s">
        <v>9</v>
      </c>
      <c r="C604" t="s">
        <v>1520</v>
      </c>
      <c r="D604" t="s">
        <v>1520</v>
      </c>
      <c r="E604" t="s">
        <v>29</v>
      </c>
      <c r="F604" t="s">
        <v>30</v>
      </c>
      <c r="G604" t="s">
        <v>63</v>
      </c>
      <c r="H604" t="s">
        <v>1521</v>
      </c>
    </row>
    <row r="605" spans="1:8" x14ac:dyDescent="0.25">
      <c r="A605" t="s">
        <v>1440</v>
      </c>
      <c r="B605" t="s">
        <v>26</v>
      </c>
      <c r="C605" t="s">
        <v>1522</v>
      </c>
      <c r="D605" t="s">
        <v>1522</v>
      </c>
      <c r="E605" t="s">
        <v>23</v>
      </c>
      <c r="F605" t="s">
        <v>24</v>
      </c>
      <c r="G605" t="s">
        <v>63</v>
      </c>
      <c r="H605" t="s">
        <v>1523</v>
      </c>
    </row>
    <row r="606" spans="1:8" x14ac:dyDescent="0.25">
      <c r="A606" t="s">
        <v>1440</v>
      </c>
      <c r="B606" t="s">
        <v>42</v>
      </c>
      <c r="C606" t="s">
        <v>1524</v>
      </c>
      <c r="D606" t="s">
        <v>1524</v>
      </c>
      <c r="E606" t="s">
        <v>23</v>
      </c>
      <c r="F606" t="s">
        <v>24</v>
      </c>
      <c r="G606" t="s">
        <v>63</v>
      </c>
      <c r="H606" t="s">
        <v>1525</v>
      </c>
    </row>
    <row r="607" spans="1:8" x14ac:dyDescent="0.25">
      <c r="A607" t="s">
        <v>1440</v>
      </c>
      <c r="B607" t="s">
        <v>42</v>
      </c>
      <c r="C607" t="s">
        <v>1526</v>
      </c>
      <c r="D607" t="s">
        <v>1527</v>
      </c>
      <c r="E607" t="s">
        <v>40</v>
      </c>
      <c r="F607" t="s">
        <v>51</v>
      </c>
      <c r="G607" t="s">
        <v>14</v>
      </c>
      <c r="H607" t="s">
        <v>413</v>
      </c>
    </row>
    <row r="608" spans="1:8" x14ac:dyDescent="0.25">
      <c r="A608" t="s">
        <v>1440</v>
      </c>
      <c r="B608" t="s">
        <v>113</v>
      </c>
      <c r="C608" t="s">
        <v>1528</v>
      </c>
      <c r="D608" t="s">
        <v>1528</v>
      </c>
      <c r="E608" t="s">
        <v>23</v>
      </c>
      <c r="F608" t="s">
        <v>24</v>
      </c>
      <c r="G608" t="s">
        <v>63</v>
      </c>
      <c r="H608" t="s">
        <v>1147</v>
      </c>
    </row>
    <row r="609" spans="1:8" x14ac:dyDescent="0.25">
      <c r="A609" t="s">
        <v>1440</v>
      </c>
      <c r="B609" t="s">
        <v>77</v>
      </c>
      <c r="C609" t="s">
        <v>1529</v>
      </c>
      <c r="D609" t="s">
        <v>1530</v>
      </c>
      <c r="E609" t="s">
        <v>390</v>
      </c>
      <c r="F609" t="s">
        <v>51</v>
      </c>
      <c r="G609" t="s">
        <v>14</v>
      </c>
      <c r="H609" t="s">
        <v>632</v>
      </c>
    </row>
    <row r="610" spans="1:8" x14ac:dyDescent="0.25">
      <c r="A610" t="s">
        <v>1440</v>
      </c>
      <c r="B610" t="s">
        <v>16</v>
      </c>
      <c r="C610" t="s">
        <v>1531</v>
      </c>
      <c r="D610" t="s">
        <v>1531</v>
      </c>
      <c r="E610" t="s">
        <v>35</v>
      </c>
      <c r="F610" t="s">
        <v>24</v>
      </c>
      <c r="G610" t="s">
        <v>63</v>
      </c>
      <c r="H610" t="s">
        <v>1380</v>
      </c>
    </row>
    <row r="611" spans="1:8" x14ac:dyDescent="0.25">
      <c r="A611" t="s">
        <v>1440</v>
      </c>
      <c r="B611" t="s">
        <v>16</v>
      </c>
      <c r="C611" t="s">
        <v>1532</v>
      </c>
      <c r="D611" t="s">
        <v>1532</v>
      </c>
      <c r="E611" t="s">
        <v>29</v>
      </c>
      <c r="F611" t="s">
        <v>13</v>
      </c>
      <c r="G611" t="s">
        <v>63</v>
      </c>
      <c r="H611" t="s">
        <v>1533</v>
      </c>
    </row>
    <row r="612" spans="1:8" x14ac:dyDescent="0.25">
      <c r="A612" t="s">
        <v>1440</v>
      </c>
      <c r="B612" t="s">
        <v>91</v>
      </c>
      <c r="C612" t="s">
        <v>1534</v>
      </c>
      <c r="D612" t="s">
        <v>1535</v>
      </c>
      <c r="E612" t="s">
        <v>1536</v>
      </c>
      <c r="F612" t="s">
        <v>30</v>
      </c>
      <c r="G612" t="s">
        <v>14</v>
      </c>
      <c r="H612" t="s">
        <v>131</v>
      </c>
    </row>
    <row r="613" spans="1:8" x14ac:dyDescent="0.25">
      <c r="A613" t="s">
        <v>1440</v>
      </c>
      <c r="B613" t="s">
        <v>77</v>
      </c>
      <c r="C613" t="s">
        <v>1537</v>
      </c>
      <c r="D613" t="s">
        <v>1538</v>
      </c>
      <c r="E613" t="s">
        <v>276</v>
      </c>
      <c r="F613" t="s">
        <v>51</v>
      </c>
      <c r="G613" t="s">
        <v>14</v>
      </c>
      <c r="H613" t="s">
        <v>1539</v>
      </c>
    </row>
    <row r="614" spans="1:8" x14ac:dyDescent="0.25">
      <c r="A614" t="s">
        <v>1440</v>
      </c>
      <c r="B614" t="s">
        <v>16</v>
      </c>
      <c r="C614" t="s">
        <v>1540</v>
      </c>
      <c r="D614" t="s">
        <v>1540</v>
      </c>
      <c r="E614" t="s">
        <v>12</v>
      </c>
      <c r="F614" t="s">
        <v>13</v>
      </c>
      <c r="G614" t="s">
        <v>63</v>
      </c>
      <c r="H614" t="s">
        <v>64</v>
      </c>
    </row>
    <row r="615" spans="1:8" x14ac:dyDescent="0.25">
      <c r="A615" t="s">
        <v>1440</v>
      </c>
      <c r="B615" t="s">
        <v>16</v>
      </c>
      <c r="C615" t="s">
        <v>1541</v>
      </c>
      <c r="D615" t="s">
        <v>1542</v>
      </c>
      <c r="E615" t="s">
        <v>1100</v>
      </c>
      <c r="F615" t="s">
        <v>51</v>
      </c>
      <c r="G615" t="s">
        <v>14</v>
      </c>
      <c r="H615" t="s">
        <v>1543</v>
      </c>
    </row>
    <row r="616" spans="1:8" x14ac:dyDescent="0.25">
      <c r="A616" t="s">
        <v>1440</v>
      </c>
      <c r="B616" t="s">
        <v>26</v>
      </c>
      <c r="C616" t="s">
        <v>1544</v>
      </c>
      <c r="D616" t="s">
        <v>1544</v>
      </c>
      <c r="E616" t="s">
        <v>12</v>
      </c>
      <c r="F616" t="s">
        <v>13</v>
      </c>
      <c r="G616" t="s">
        <v>63</v>
      </c>
      <c r="H616" t="s">
        <v>1545</v>
      </c>
    </row>
    <row r="617" spans="1:8" x14ac:dyDescent="0.25">
      <c r="A617" t="s">
        <v>1440</v>
      </c>
      <c r="B617" t="s">
        <v>42</v>
      </c>
      <c r="C617" t="s">
        <v>1546</v>
      </c>
      <c r="D617" t="s">
        <v>1547</v>
      </c>
      <c r="E617" t="s">
        <v>29</v>
      </c>
      <c r="F617" t="s">
        <v>51</v>
      </c>
      <c r="G617" t="s">
        <v>67</v>
      </c>
      <c r="H617" t="s">
        <v>587</v>
      </c>
    </row>
    <row r="618" spans="1:8" x14ac:dyDescent="0.25">
      <c r="A618" t="s">
        <v>1440</v>
      </c>
      <c r="B618" t="s">
        <v>16</v>
      </c>
      <c r="C618" t="s">
        <v>1548</v>
      </c>
      <c r="D618" t="s">
        <v>1548</v>
      </c>
      <c r="E618" t="s">
        <v>35</v>
      </c>
      <c r="F618" t="s">
        <v>24</v>
      </c>
      <c r="G618" t="s">
        <v>63</v>
      </c>
      <c r="H618" t="s">
        <v>1533</v>
      </c>
    </row>
    <row r="619" spans="1:8" x14ac:dyDescent="0.25">
      <c r="A619" t="s">
        <v>1440</v>
      </c>
      <c r="B619" t="s">
        <v>91</v>
      </c>
      <c r="C619" t="s">
        <v>1549</v>
      </c>
      <c r="D619" t="s">
        <v>1550</v>
      </c>
      <c r="E619" t="s">
        <v>635</v>
      </c>
      <c r="F619" t="s">
        <v>51</v>
      </c>
      <c r="G619" t="s">
        <v>14</v>
      </c>
      <c r="H619" t="s">
        <v>764</v>
      </c>
    </row>
    <row r="620" spans="1:8" x14ac:dyDescent="0.25">
      <c r="A620" t="s">
        <v>1440</v>
      </c>
      <c r="B620" t="s">
        <v>77</v>
      </c>
      <c r="C620" t="s">
        <v>1551</v>
      </c>
      <c r="D620" t="s">
        <v>1551</v>
      </c>
      <c r="E620" t="s">
        <v>116</v>
      </c>
      <c r="F620" t="s">
        <v>24</v>
      </c>
      <c r="G620" t="s">
        <v>63</v>
      </c>
      <c r="H620" t="s">
        <v>1552</v>
      </c>
    </row>
    <row r="621" spans="1:8" x14ac:dyDescent="0.25">
      <c r="A621" t="s">
        <v>1440</v>
      </c>
      <c r="B621" t="s">
        <v>91</v>
      </c>
      <c r="C621" t="s">
        <v>1553</v>
      </c>
      <c r="D621" t="s">
        <v>1554</v>
      </c>
      <c r="E621" t="s">
        <v>623</v>
      </c>
      <c r="F621" t="s">
        <v>24</v>
      </c>
      <c r="G621" t="s">
        <v>14</v>
      </c>
      <c r="H621" t="s">
        <v>736</v>
      </c>
    </row>
    <row r="622" spans="1:8" x14ac:dyDescent="0.25">
      <c r="A622" t="s">
        <v>1440</v>
      </c>
      <c r="B622" t="s">
        <v>9</v>
      </c>
      <c r="C622" t="s">
        <v>1555</v>
      </c>
      <c r="D622" t="s">
        <v>1555</v>
      </c>
      <c r="E622" t="s">
        <v>172</v>
      </c>
      <c r="F622" t="s">
        <v>30</v>
      </c>
      <c r="G622" t="s">
        <v>63</v>
      </c>
      <c r="H622" t="s">
        <v>519</v>
      </c>
    </row>
    <row r="623" spans="1:8" x14ac:dyDescent="0.25">
      <c r="A623" t="s">
        <v>1440</v>
      </c>
      <c r="B623" t="s">
        <v>42</v>
      </c>
      <c r="C623" t="s">
        <v>1556</v>
      </c>
      <c r="D623" t="s">
        <v>1556</v>
      </c>
      <c r="E623" t="s">
        <v>40</v>
      </c>
      <c r="F623" t="s">
        <v>191</v>
      </c>
      <c r="G623" t="s">
        <v>63</v>
      </c>
      <c r="H623" t="s">
        <v>192</v>
      </c>
    </row>
    <row r="624" spans="1:8" x14ac:dyDescent="0.25">
      <c r="A624" t="s">
        <v>1440</v>
      </c>
      <c r="B624" t="s">
        <v>91</v>
      </c>
      <c r="C624" t="s">
        <v>1557</v>
      </c>
      <c r="D624" t="s">
        <v>1558</v>
      </c>
      <c r="E624" t="s">
        <v>390</v>
      </c>
      <c r="F624" t="s">
        <v>51</v>
      </c>
      <c r="G624" t="s">
        <v>14</v>
      </c>
      <c r="H624" t="s">
        <v>1559</v>
      </c>
    </row>
    <row r="625" spans="1:8" x14ac:dyDescent="0.25">
      <c r="A625" t="s">
        <v>1440</v>
      </c>
      <c r="B625" t="s">
        <v>77</v>
      </c>
      <c r="C625" t="s">
        <v>1560</v>
      </c>
      <c r="D625" t="s">
        <v>1561</v>
      </c>
      <c r="E625" t="s">
        <v>23</v>
      </c>
      <c r="F625" t="s">
        <v>24</v>
      </c>
      <c r="G625" t="s">
        <v>14</v>
      </c>
      <c r="H625" t="s">
        <v>707</v>
      </c>
    </row>
    <row r="626" spans="1:8" x14ac:dyDescent="0.25">
      <c r="A626" t="s">
        <v>1440</v>
      </c>
      <c r="B626" t="s">
        <v>113</v>
      </c>
      <c r="C626" t="s">
        <v>1562</v>
      </c>
      <c r="D626" t="s">
        <v>1563</v>
      </c>
      <c r="E626" t="s">
        <v>50</v>
      </c>
      <c r="F626" t="s">
        <v>19</v>
      </c>
      <c r="G626" t="s">
        <v>14</v>
      </c>
      <c r="H626" t="s">
        <v>1564</v>
      </c>
    </row>
    <row r="627" spans="1:8" x14ac:dyDescent="0.25">
      <c r="A627" t="s">
        <v>1440</v>
      </c>
      <c r="B627" t="s">
        <v>9</v>
      </c>
      <c r="C627" t="s">
        <v>1565</v>
      </c>
      <c r="D627" t="s">
        <v>1565</v>
      </c>
      <c r="E627" t="s">
        <v>40</v>
      </c>
      <c r="F627" t="s">
        <v>191</v>
      </c>
      <c r="G627" t="s">
        <v>63</v>
      </c>
      <c r="H627" t="s">
        <v>1566</v>
      </c>
    </row>
    <row r="628" spans="1:8" x14ac:dyDescent="0.25">
      <c r="A628" t="s">
        <v>1440</v>
      </c>
      <c r="B628" t="s">
        <v>9</v>
      </c>
      <c r="C628" t="s">
        <v>1567</v>
      </c>
      <c r="D628" t="s">
        <v>1568</v>
      </c>
      <c r="E628" t="s">
        <v>1536</v>
      </c>
      <c r="F628" t="s">
        <v>30</v>
      </c>
      <c r="G628" t="s">
        <v>14</v>
      </c>
      <c r="H628" t="s">
        <v>1413</v>
      </c>
    </row>
    <row r="629" spans="1:8" x14ac:dyDescent="0.25">
      <c r="A629" t="s">
        <v>1440</v>
      </c>
      <c r="B629" t="s">
        <v>26</v>
      </c>
      <c r="C629" t="s">
        <v>1569</v>
      </c>
      <c r="D629" t="s">
        <v>1569</v>
      </c>
      <c r="E629" t="s">
        <v>1570</v>
      </c>
      <c r="F629" t="s">
        <v>191</v>
      </c>
      <c r="G629" t="s">
        <v>63</v>
      </c>
      <c r="H629" t="s">
        <v>792</v>
      </c>
    </row>
    <row r="630" spans="1:8" x14ac:dyDescent="0.25">
      <c r="A630" t="s">
        <v>1440</v>
      </c>
      <c r="B630" t="s">
        <v>9</v>
      </c>
      <c r="C630" t="s">
        <v>1571</v>
      </c>
      <c r="D630" t="s">
        <v>1572</v>
      </c>
      <c r="E630" t="s">
        <v>45</v>
      </c>
      <c r="F630" t="s">
        <v>30</v>
      </c>
      <c r="G630" t="s">
        <v>14</v>
      </c>
      <c r="H630" t="s">
        <v>977</v>
      </c>
    </row>
    <row r="631" spans="1:8" x14ac:dyDescent="0.25">
      <c r="A631" t="s">
        <v>1440</v>
      </c>
      <c r="B631" t="s">
        <v>42</v>
      </c>
      <c r="C631" t="s">
        <v>1573</v>
      </c>
      <c r="D631" t="s">
        <v>1574</v>
      </c>
      <c r="E631" t="s">
        <v>29</v>
      </c>
      <c r="F631" t="s">
        <v>97</v>
      </c>
      <c r="G631" t="s">
        <v>98</v>
      </c>
      <c r="H631" t="s">
        <v>1575</v>
      </c>
    </row>
    <row r="632" spans="1:8" x14ac:dyDescent="0.25">
      <c r="A632" t="s">
        <v>1440</v>
      </c>
      <c r="B632" t="s">
        <v>9</v>
      </c>
      <c r="C632" t="s">
        <v>1576</v>
      </c>
      <c r="D632" t="s">
        <v>1577</v>
      </c>
      <c r="E632" t="s">
        <v>29</v>
      </c>
      <c r="F632" t="s">
        <v>24</v>
      </c>
      <c r="G632" t="s">
        <v>14</v>
      </c>
      <c r="H632" t="s">
        <v>205</v>
      </c>
    </row>
    <row r="633" spans="1:8" x14ac:dyDescent="0.25">
      <c r="A633" t="s">
        <v>1440</v>
      </c>
      <c r="B633" t="s">
        <v>77</v>
      </c>
      <c r="C633" t="s">
        <v>1578</v>
      </c>
      <c r="D633" t="s">
        <v>1579</v>
      </c>
      <c r="E633" t="s">
        <v>29</v>
      </c>
      <c r="F633" t="s">
        <v>30</v>
      </c>
      <c r="G633" t="s">
        <v>14</v>
      </c>
      <c r="H633" t="s">
        <v>205</v>
      </c>
    </row>
    <row r="634" spans="1:8" x14ac:dyDescent="0.25">
      <c r="A634" t="s">
        <v>1440</v>
      </c>
      <c r="B634" t="s">
        <v>32</v>
      </c>
      <c r="C634" t="s">
        <v>1580</v>
      </c>
      <c r="D634" t="s">
        <v>1581</v>
      </c>
      <c r="E634" t="s">
        <v>29</v>
      </c>
      <c r="F634" t="s">
        <v>19</v>
      </c>
      <c r="G634" t="s">
        <v>14</v>
      </c>
      <c r="H634" t="s">
        <v>576</v>
      </c>
    </row>
    <row r="635" spans="1:8" x14ac:dyDescent="0.25">
      <c r="A635" t="s">
        <v>1440</v>
      </c>
      <c r="B635" t="s">
        <v>9</v>
      </c>
      <c r="C635" t="s">
        <v>1582</v>
      </c>
      <c r="D635" t="s">
        <v>1583</v>
      </c>
      <c r="E635" t="s">
        <v>29</v>
      </c>
      <c r="F635" t="s">
        <v>97</v>
      </c>
      <c r="G635" t="s">
        <v>98</v>
      </c>
      <c r="H635" t="s">
        <v>1516</v>
      </c>
    </row>
    <row r="636" spans="1:8" x14ac:dyDescent="0.25">
      <c r="A636" t="s">
        <v>1440</v>
      </c>
      <c r="B636" t="s">
        <v>42</v>
      </c>
      <c r="C636" t="s">
        <v>1584</v>
      </c>
      <c r="D636" t="s">
        <v>1585</v>
      </c>
      <c r="E636" t="s">
        <v>29</v>
      </c>
      <c r="F636" t="s">
        <v>97</v>
      </c>
      <c r="G636" t="s">
        <v>98</v>
      </c>
      <c r="H636" t="s">
        <v>1516</v>
      </c>
    </row>
    <row r="637" spans="1:8" x14ac:dyDescent="0.25">
      <c r="A637" t="s">
        <v>1440</v>
      </c>
      <c r="B637" t="s">
        <v>91</v>
      </c>
      <c r="C637" t="s">
        <v>1586</v>
      </c>
      <c r="D637" t="s">
        <v>1587</v>
      </c>
      <c r="E637" t="s">
        <v>116</v>
      </c>
      <c r="F637" t="s">
        <v>30</v>
      </c>
      <c r="G637" t="s">
        <v>14</v>
      </c>
      <c r="H637" t="s">
        <v>416</v>
      </c>
    </row>
    <row r="638" spans="1:8" x14ac:dyDescent="0.25">
      <c r="A638" t="s">
        <v>1440</v>
      </c>
      <c r="B638" t="s">
        <v>16</v>
      </c>
      <c r="C638" t="s">
        <v>1588</v>
      </c>
      <c r="D638" t="s">
        <v>1589</v>
      </c>
      <c r="E638" t="s">
        <v>29</v>
      </c>
      <c r="F638" t="s">
        <v>30</v>
      </c>
      <c r="G638" t="s">
        <v>14</v>
      </c>
      <c r="H638" t="s">
        <v>1590</v>
      </c>
    </row>
    <row r="639" spans="1:8" x14ac:dyDescent="0.25">
      <c r="A639" t="s">
        <v>1440</v>
      </c>
      <c r="B639" t="s">
        <v>100</v>
      </c>
      <c r="C639" t="s">
        <v>1591</v>
      </c>
      <c r="D639" t="s">
        <v>1592</v>
      </c>
      <c r="E639" t="s">
        <v>29</v>
      </c>
      <c r="F639" t="s">
        <v>51</v>
      </c>
      <c r="G639" t="s">
        <v>67</v>
      </c>
      <c r="H639" t="s">
        <v>358</v>
      </c>
    </row>
    <row r="640" spans="1:8" x14ac:dyDescent="0.25">
      <c r="A640" t="s">
        <v>1440</v>
      </c>
      <c r="B640" t="s">
        <v>26</v>
      </c>
      <c r="C640" t="s">
        <v>1593</v>
      </c>
      <c r="D640" t="s">
        <v>1594</v>
      </c>
      <c r="E640" t="s">
        <v>45</v>
      </c>
      <c r="F640" t="s">
        <v>30</v>
      </c>
      <c r="G640" t="s">
        <v>14</v>
      </c>
      <c r="H640" t="s">
        <v>72</v>
      </c>
    </row>
    <row r="641" spans="1:8" x14ac:dyDescent="0.25">
      <c r="A641" t="s">
        <v>1440</v>
      </c>
      <c r="B641" t="s">
        <v>113</v>
      </c>
      <c r="C641" t="s">
        <v>1595</v>
      </c>
      <c r="D641" t="s">
        <v>1596</v>
      </c>
      <c r="E641" t="s">
        <v>23</v>
      </c>
      <c r="F641" t="s">
        <v>30</v>
      </c>
      <c r="G641" t="s">
        <v>14</v>
      </c>
      <c r="H641" t="s">
        <v>1597</v>
      </c>
    </row>
    <row r="642" spans="1:8" x14ac:dyDescent="0.25">
      <c r="A642" t="s">
        <v>1440</v>
      </c>
      <c r="B642" t="s">
        <v>9</v>
      </c>
      <c r="C642" t="s">
        <v>1598</v>
      </c>
      <c r="D642" t="s">
        <v>1599</v>
      </c>
      <c r="E642" t="s">
        <v>29</v>
      </c>
      <c r="F642" t="s">
        <v>51</v>
      </c>
      <c r="G642" t="s">
        <v>67</v>
      </c>
      <c r="H642" t="s">
        <v>57</v>
      </c>
    </row>
    <row r="643" spans="1:8" x14ac:dyDescent="0.25">
      <c r="A643" t="s">
        <v>1440</v>
      </c>
      <c r="B643" t="s">
        <v>91</v>
      </c>
      <c r="C643" t="s">
        <v>1600</v>
      </c>
      <c r="D643" t="s">
        <v>1601</v>
      </c>
      <c r="E643" t="s">
        <v>12</v>
      </c>
      <c r="F643" t="s">
        <v>30</v>
      </c>
      <c r="G643" t="s">
        <v>14</v>
      </c>
      <c r="H643" t="s">
        <v>1602</v>
      </c>
    </row>
    <row r="644" spans="1:8" x14ac:dyDescent="0.25">
      <c r="A644" t="s">
        <v>1440</v>
      </c>
      <c r="B644" t="s">
        <v>9</v>
      </c>
      <c r="C644" t="s">
        <v>1603</v>
      </c>
      <c r="D644" t="s">
        <v>1604</v>
      </c>
      <c r="E644" t="s">
        <v>116</v>
      </c>
      <c r="F644" t="s">
        <v>24</v>
      </c>
      <c r="G644" t="s">
        <v>14</v>
      </c>
      <c r="H644" t="s">
        <v>1605</v>
      </c>
    </row>
    <row r="645" spans="1:8" x14ac:dyDescent="0.25">
      <c r="A645" t="s">
        <v>1440</v>
      </c>
      <c r="B645" t="s">
        <v>73</v>
      </c>
      <c r="C645" t="s">
        <v>1606</v>
      </c>
      <c r="D645" t="s">
        <v>1607</v>
      </c>
      <c r="E645" t="s">
        <v>432</v>
      </c>
      <c r="F645" t="s">
        <v>24</v>
      </c>
      <c r="G645" t="s">
        <v>14</v>
      </c>
      <c r="H645" t="s">
        <v>1608</v>
      </c>
    </row>
    <row r="646" spans="1:8" x14ac:dyDescent="0.25">
      <c r="A646" t="s">
        <v>1440</v>
      </c>
      <c r="B646" t="s">
        <v>77</v>
      </c>
      <c r="C646" t="s">
        <v>1609</v>
      </c>
      <c r="D646" t="s">
        <v>1610</v>
      </c>
      <c r="E646" t="s">
        <v>12</v>
      </c>
      <c r="F646" t="s">
        <v>30</v>
      </c>
      <c r="G646" t="s">
        <v>14</v>
      </c>
      <c r="H646" t="s">
        <v>1611</v>
      </c>
    </row>
    <row r="647" spans="1:8" x14ac:dyDescent="0.25">
      <c r="A647" t="s">
        <v>1440</v>
      </c>
      <c r="B647" t="s">
        <v>47</v>
      </c>
      <c r="C647" t="s">
        <v>1612</v>
      </c>
      <c r="D647" t="s">
        <v>1613</v>
      </c>
      <c r="E647" t="s">
        <v>432</v>
      </c>
      <c r="F647" t="s">
        <v>24</v>
      </c>
      <c r="G647" t="s">
        <v>14</v>
      </c>
      <c r="H647" t="s">
        <v>1614</v>
      </c>
    </row>
    <row r="648" spans="1:8" x14ac:dyDescent="0.25">
      <c r="A648" t="s">
        <v>1440</v>
      </c>
      <c r="B648" t="s">
        <v>42</v>
      </c>
      <c r="C648" t="s">
        <v>1615</v>
      </c>
      <c r="D648" t="s">
        <v>1616</v>
      </c>
      <c r="E648" t="s">
        <v>12</v>
      </c>
      <c r="F648" t="s">
        <v>30</v>
      </c>
      <c r="G648" t="s">
        <v>14</v>
      </c>
      <c r="H648" t="s">
        <v>1617</v>
      </c>
    </row>
    <row r="649" spans="1:8" x14ac:dyDescent="0.25">
      <c r="A649" t="s">
        <v>1440</v>
      </c>
      <c r="B649" t="s">
        <v>32</v>
      </c>
      <c r="C649" t="s">
        <v>1618</v>
      </c>
      <c r="D649" t="s">
        <v>1619</v>
      </c>
      <c r="E649" t="s">
        <v>29</v>
      </c>
      <c r="F649" t="s">
        <v>24</v>
      </c>
      <c r="G649" t="s">
        <v>14</v>
      </c>
      <c r="H649" t="s">
        <v>1620</v>
      </c>
    </row>
    <row r="650" spans="1:8" x14ac:dyDescent="0.25">
      <c r="A650" t="s">
        <v>1440</v>
      </c>
      <c r="B650" t="s">
        <v>77</v>
      </c>
      <c r="C650" t="s">
        <v>1621</v>
      </c>
      <c r="D650" t="s">
        <v>1622</v>
      </c>
      <c r="E650" t="s">
        <v>390</v>
      </c>
      <c r="F650" t="s">
        <v>51</v>
      </c>
      <c r="G650" t="s">
        <v>14</v>
      </c>
      <c r="H650" t="s">
        <v>1623</v>
      </c>
    </row>
    <row r="651" spans="1:8" x14ac:dyDescent="0.25">
      <c r="A651" t="s">
        <v>1440</v>
      </c>
      <c r="B651" t="s">
        <v>26</v>
      </c>
      <c r="C651" t="s">
        <v>1624</v>
      </c>
      <c r="D651" t="s">
        <v>1625</v>
      </c>
      <c r="E651" t="s">
        <v>29</v>
      </c>
      <c r="F651" t="s">
        <v>24</v>
      </c>
      <c r="G651" t="s">
        <v>14</v>
      </c>
      <c r="H651" t="s">
        <v>378</v>
      </c>
    </row>
    <row r="652" spans="1:8" x14ac:dyDescent="0.25">
      <c r="A652" t="s">
        <v>1440</v>
      </c>
      <c r="B652" t="s">
        <v>113</v>
      </c>
      <c r="C652" t="s">
        <v>1626</v>
      </c>
      <c r="D652" t="s">
        <v>1627</v>
      </c>
      <c r="E652" t="s">
        <v>29</v>
      </c>
      <c r="F652" t="s">
        <v>51</v>
      </c>
      <c r="G652" t="s">
        <v>67</v>
      </c>
      <c r="H652" t="s">
        <v>685</v>
      </c>
    </row>
    <row r="653" spans="1:8" x14ac:dyDescent="0.25">
      <c r="A653" t="s">
        <v>1440</v>
      </c>
      <c r="B653" t="s">
        <v>16</v>
      </c>
      <c r="C653" t="s">
        <v>1628</v>
      </c>
      <c r="D653" t="s">
        <v>1629</v>
      </c>
      <c r="E653" t="s">
        <v>12</v>
      </c>
      <c r="F653" t="s">
        <v>19</v>
      </c>
      <c r="G653" t="s">
        <v>14</v>
      </c>
      <c r="H653" t="s">
        <v>72</v>
      </c>
    </row>
    <row r="654" spans="1:8" x14ac:dyDescent="0.25">
      <c r="A654" t="s">
        <v>1440</v>
      </c>
      <c r="B654" t="s">
        <v>9</v>
      </c>
      <c r="C654" t="s">
        <v>1630</v>
      </c>
      <c r="D654" t="s">
        <v>1631</v>
      </c>
      <c r="E654" t="s">
        <v>29</v>
      </c>
      <c r="F654" t="s">
        <v>51</v>
      </c>
      <c r="G654" t="s">
        <v>67</v>
      </c>
      <c r="H654" t="s">
        <v>247</v>
      </c>
    </row>
    <row r="655" spans="1:8" x14ac:dyDescent="0.25">
      <c r="A655" t="s">
        <v>1440</v>
      </c>
      <c r="B655" t="s">
        <v>42</v>
      </c>
      <c r="C655" t="s">
        <v>1632</v>
      </c>
      <c r="D655" t="s">
        <v>1633</v>
      </c>
      <c r="E655" t="s">
        <v>29</v>
      </c>
      <c r="F655" t="s">
        <v>30</v>
      </c>
      <c r="G655" t="s">
        <v>14</v>
      </c>
      <c r="H655" t="s">
        <v>1634</v>
      </c>
    </row>
    <row r="656" spans="1:8" x14ac:dyDescent="0.25">
      <c r="A656" t="s">
        <v>1440</v>
      </c>
      <c r="B656" t="s">
        <v>42</v>
      </c>
      <c r="C656" t="s">
        <v>1635</v>
      </c>
      <c r="D656" t="s">
        <v>1636</v>
      </c>
      <c r="E656" t="s">
        <v>29</v>
      </c>
      <c r="F656" t="s">
        <v>51</v>
      </c>
      <c r="G656" t="s">
        <v>67</v>
      </c>
      <c r="H656" t="s">
        <v>1637</v>
      </c>
    </row>
    <row r="657" spans="1:8" x14ac:dyDescent="0.25">
      <c r="A657" t="s">
        <v>1440</v>
      </c>
      <c r="B657" t="s">
        <v>77</v>
      </c>
      <c r="C657" t="s">
        <v>1638</v>
      </c>
      <c r="D657" t="s">
        <v>1639</v>
      </c>
      <c r="E657" t="s">
        <v>35</v>
      </c>
      <c r="F657" t="s">
        <v>30</v>
      </c>
      <c r="G657" t="s">
        <v>14</v>
      </c>
      <c r="H657" t="s">
        <v>1101</v>
      </c>
    </row>
    <row r="658" spans="1:8" x14ac:dyDescent="0.25">
      <c r="A658" t="s">
        <v>1440</v>
      </c>
      <c r="B658" t="s">
        <v>42</v>
      </c>
      <c r="C658" t="s">
        <v>1640</v>
      </c>
      <c r="D658" t="s">
        <v>1641</v>
      </c>
      <c r="E658" t="s">
        <v>23</v>
      </c>
      <c r="F658" t="s">
        <v>24</v>
      </c>
      <c r="G658" t="s">
        <v>14</v>
      </c>
      <c r="H658" t="s">
        <v>1642</v>
      </c>
    </row>
    <row r="659" spans="1:8" x14ac:dyDescent="0.25">
      <c r="A659" t="s">
        <v>1440</v>
      </c>
      <c r="B659" t="s">
        <v>37</v>
      </c>
      <c r="C659" t="s">
        <v>1643</v>
      </c>
      <c r="D659" t="s">
        <v>1644</v>
      </c>
      <c r="E659" t="s">
        <v>12</v>
      </c>
      <c r="F659" t="s">
        <v>19</v>
      </c>
      <c r="G659" t="s">
        <v>14</v>
      </c>
      <c r="H659" t="s">
        <v>173</v>
      </c>
    </row>
    <row r="660" spans="1:8" x14ac:dyDescent="0.25">
      <c r="A660" t="s">
        <v>1440</v>
      </c>
      <c r="B660" t="s">
        <v>91</v>
      </c>
      <c r="C660" t="s">
        <v>1645</v>
      </c>
      <c r="D660" t="s">
        <v>1646</v>
      </c>
      <c r="E660" t="s">
        <v>29</v>
      </c>
      <c r="F660" t="s">
        <v>51</v>
      </c>
      <c r="G660" t="s">
        <v>67</v>
      </c>
      <c r="H660" t="s">
        <v>1647</v>
      </c>
    </row>
    <row r="661" spans="1:8" x14ac:dyDescent="0.25">
      <c r="A661" t="s">
        <v>1440</v>
      </c>
      <c r="B661" t="s">
        <v>77</v>
      </c>
      <c r="C661" t="s">
        <v>1648</v>
      </c>
      <c r="D661" t="s">
        <v>1649</v>
      </c>
      <c r="E661" t="s">
        <v>50</v>
      </c>
      <c r="F661" t="s">
        <v>71</v>
      </c>
      <c r="G661" t="s">
        <v>14</v>
      </c>
      <c r="H661" t="s">
        <v>1650</v>
      </c>
    </row>
    <row r="662" spans="1:8" x14ac:dyDescent="0.25">
      <c r="A662" t="s">
        <v>1440</v>
      </c>
      <c r="B662" t="s">
        <v>16</v>
      </c>
      <c r="C662" t="s">
        <v>1651</v>
      </c>
      <c r="D662" t="s">
        <v>1652</v>
      </c>
      <c r="E662" t="s">
        <v>12</v>
      </c>
      <c r="F662" t="s">
        <v>13</v>
      </c>
      <c r="G662" t="s">
        <v>14</v>
      </c>
      <c r="H662" t="s">
        <v>1653</v>
      </c>
    </row>
    <row r="663" spans="1:8" x14ac:dyDescent="0.25">
      <c r="A663" t="s">
        <v>1440</v>
      </c>
      <c r="B663" t="s">
        <v>91</v>
      </c>
      <c r="C663" t="s">
        <v>1654</v>
      </c>
      <c r="D663" t="s">
        <v>1655</v>
      </c>
      <c r="E663" t="s">
        <v>29</v>
      </c>
      <c r="F663" t="s">
        <v>24</v>
      </c>
      <c r="G663" t="s">
        <v>14</v>
      </c>
      <c r="H663" t="s">
        <v>611</v>
      </c>
    </row>
    <row r="664" spans="1:8" x14ac:dyDescent="0.25">
      <c r="A664" t="s">
        <v>1440</v>
      </c>
      <c r="B664" t="s">
        <v>91</v>
      </c>
      <c r="C664" t="s">
        <v>1656</v>
      </c>
      <c r="D664" t="s">
        <v>1657</v>
      </c>
      <c r="E664" t="s">
        <v>390</v>
      </c>
      <c r="F664" t="s">
        <v>51</v>
      </c>
      <c r="G664" t="s">
        <v>14</v>
      </c>
      <c r="H664" t="s">
        <v>1637</v>
      </c>
    </row>
    <row r="665" spans="1:8" x14ac:dyDescent="0.25">
      <c r="A665" t="s">
        <v>1440</v>
      </c>
      <c r="B665" t="s">
        <v>113</v>
      </c>
      <c r="C665" t="s">
        <v>1658</v>
      </c>
      <c r="D665" t="s">
        <v>1659</v>
      </c>
      <c r="E665" t="s">
        <v>29</v>
      </c>
      <c r="F665" t="s">
        <v>24</v>
      </c>
      <c r="G665" t="s">
        <v>14</v>
      </c>
      <c r="H665" t="s">
        <v>378</v>
      </c>
    </row>
    <row r="666" spans="1:8" x14ac:dyDescent="0.25">
      <c r="A666" t="s">
        <v>1440</v>
      </c>
      <c r="B666" t="s">
        <v>77</v>
      </c>
      <c r="C666" t="s">
        <v>1660</v>
      </c>
      <c r="D666" t="s">
        <v>1661</v>
      </c>
      <c r="E666" t="s">
        <v>67</v>
      </c>
      <c r="F666" t="s">
        <v>19</v>
      </c>
      <c r="G666" t="s">
        <v>67</v>
      </c>
      <c r="H666" t="s">
        <v>416</v>
      </c>
    </row>
    <row r="667" spans="1:8" x14ac:dyDescent="0.25">
      <c r="A667" t="s">
        <v>1440</v>
      </c>
      <c r="B667" t="s">
        <v>91</v>
      </c>
      <c r="C667" t="s">
        <v>1662</v>
      </c>
      <c r="D667" t="s">
        <v>1663</v>
      </c>
      <c r="E667" t="s">
        <v>60</v>
      </c>
      <c r="F667" t="s">
        <v>13</v>
      </c>
      <c r="G667" t="s">
        <v>14</v>
      </c>
      <c r="H667" t="s">
        <v>64</v>
      </c>
    </row>
    <row r="668" spans="1:8" x14ac:dyDescent="0.25">
      <c r="A668" t="s">
        <v>1440</v>
      </c>
      <c r="B668" t="s">
        <v>73</v>
      </c>
      <c r="C668" t="s">
        <v>1664</v>
      </c>
      <c r="D668" t="s">
        <v>1665</v>
      </c>
      <c r="E668" t="s">
        <v>45</v>
      </c>
      <c r="F668" t="s">
        <v>24</v>
      </c>
      <c r="G668" t="s">
        <v>14</v>
      </c>
      <c r="H668" t="s">
        <v>1302</v>
      </c>
    </row>
    <row r="669" spans="1:8" x14ac:dyDescent="0.25">
      <c r="A669" t="s">
        <v>1440</v>
      </c>
      <c r="B669" t="s">
        <v>91</v>
      </c>
      <c r="C669" t="s">
        <v>1666</v>
      </c>
      <c r="D669" t="s">
        <v>1667</v>
      </c>
      <c r="E669" t="s">
        <v>702</v>
      </c>
      <c r="F669" t="s">
        <v>24</v>
      </c>
      <c r="G669" t="s">
        <v>14</v>
      </c>
      <c r="H669" t="s">
        <v>462</v>
      </c>
    </row>
    <row r="670" spans="1:8" x14ac:dyDescent="0.25">
      <c r="A670" t="s">
        <v>1440</v>
      </c>
      <c r="B670" t="s">
        <v>26</v>
      </c>
      <c r="C670" t="s">
        <v>1668</v>
      </c>
      <c r="D670" t="s">
        <v>1669</v>
      </c>
      <c r="E670" t="s">
        <v>67</v>
      </c>
      <c r="F670" t="s">
        <v>19</v>
      </c>
      <c r="G670" t="s">
        <v>67</v>
      </c>
      <c r="H670" t="s">
        <v>1670</v>
      </c>
    </row>
    <row r="671" spans="1:8" x14ac:dyDescent="0.25">
      <c r="A671" t="s">
        <v>1440</v>
      </c>
      <c r="B671" t="s">
        <v>9</v>
      </c>
      <c r="C671" t="s">
        <v>1671</v>
      </c>
      <c r="D671" t="s">
        <v>1672</v>
      </c>
      <c r="E671" t="s">
        <v>29</v>
      </c>
      <c r="F671" t="s">
        <v>51</v>
      </c>
      <c r="G671" t="s">
        <v>67</v>
      </c>
      <c r="H671" t="s">
        <v>1492</v>
      </c>
    </row>
    <row r="672" spans="1:8" x14ac:dyDescent="0.25">
      <c r="A672" t="s">
        <v>1440</v>
      </c>
      <c r="B672" t="s">
        <v>113</v>
      </c>
      <c r="C672" t="s">
        <v>1673</v>
      </c>
      <c r="D672" t="s">
        <v>1674</v>
      </c>
      <c r="E672" t="s">
        <v>45</v>
      </c>
      <c r="F672" t="s">
        <v>71</v>
      </c>
      <c r="G672" t="s">
        <v>14</v>
      </c>
      <c r="H672" t="s">
        <v>1675</v>
      </c>
    </row>
    <row r="673" spans="1:8" x14ac:dyDescent="0.25">
      <c r="A673" t="s">
        <v>1440</v>
      </c>
      <c r="B673" t="s">
        <v>37</v>
      </c>
      <c r="C673" t="s">
        <v>1676</v>
      </c>
      <c r="D673" t="s">
        <v>1677</v>
      </c>
      <c r="E673" t="s">
        <v>12</v>
      </c>
      <c r="F673" t="s">
        <v>13</v>
      </c>
      <c r="G673" t="s">
        <v>14</v>
      </c>
      <c r="H673" t="s">
        <v>761</v>
      </c>
    </row>
    <row r="674" spans="1:8" x14ac:dyDescent="0.25">
      <c r="A674" t="s">
        <v>1440</v>
      </c>
      <c r="B674" t="s">
        <v>100</v>
      </c>
      <c r="C674" t="s">
        <v>1678</v>
      </c>
      <c r="D674" t="s">
        <v>1679</v>
      </c>
      <c r="E674" t="s">
        <v>29</v>
      </c>
      <c r="F674" t="s">
        <v>51</v>
      </c>
      <c r="G674" t="s">
        <v>67</v>
      </c>
      <c r="H674" t="s">
        <v>140</v>
      </c>
    </row>
    <row r="675" spans="1:8" x14ac:dyDescent="0.25">
      <c r="A675" t="s">
        <v>1440</v>
      </c>
      <c r="B675" t="s">
        <v>73</v>
      </c>
      <c r="C675" t="s">
        <v>1680</v>
      </c>
      <c r="D675" t="s">
        <v>1681</v>
      </c>
      <c r="E675" t="s">
        <v>29</v>
      </c>
      <c r="F675" t="s">
        <v>19</v>
      </c>
      <c r="G675" t="s">
        <v>14</v>
      </c>
      <c r="H675" t="s">
        <v>1463</v>
      </c>
    </row>
    <row r="676" spans="1:8" x14ac:dyDescent="0.25">
      <c r="A676" t="s">
        <v>1440</v>
      </c>
      <c r="B676" t="s">
        <v>42</v>
      </c>
      <c r="C676" t="s">
        <v>1682</v>
      </c>
      <c r="D676" t="s">
        <v>1683</v>
      </c>
      <c r="E676" t="s">
        <v>12</v>
      </c>
      <c r="F676" t="s">
        <v>13</v>
      </c>
      <c r="G676" t="s">
        <v>14</v>
      </c>
      <c r="H676" t="s">
        <v>968</v>
      </c>
    </row>
    <row r="677" spans="1:8" x14ac:dyDescent="0.25">
      <c r="A677" t="s">
        <v>1440</v>
      </c>
      <c r="B677" t="s">
        <v>77</v>
      </c>
      <c r="C677" t="s">
        <v>1684</v>
      </c>
      <c r="D677" t="s">
        <v>1685</v>
      </c>
      <c r="E677" t="s">
        <v>23</v>
      </c>
      <c r="F677" t="s">
        <v>24</v>
      </c>
      <c r="G677" t="s">
        <v>14</v>
      </c>
      <c r="H677" t="s">
        <v>1097</v>
      </c>
    </row>
    <row r="678" spans="1:8" x14ac:dyDescent="0.25">
      <c r="A678" t="s">
        <v>1440</v>
      </c>
      <c r="B678" t="s">
        <v>91</v>
      </c>
      <c r="C678" t="s">
        <v>1686</v>
      </c>
      <c r="D678" t="s">
        <v>1687</v>
      </c>
      <c r="E678" t="s">
        <v>23</v>
      </c>
      <c r="F678" t="s">
        <v>24</v>
      </c>
      <c r="G678" t="s">
        <v>14</v>
      </c>
      <c r="H678" t="s">
        <v>137</v>
      </c>
    </row>
    <row r="679" spans="1:8" x14ac:dyDescent="0.25">
      <c r="A679" t="s">
        <v>1440</v>
      </c>
      <c r="B679" t="s">
        <v>77</v>
      </c>
      <c r="C679" t="s">
        <v>1688</v>
      </c>
      <c r="D679" t="s">
        <v>1689</v>
      </c>
      <c r="E679" t="s">
        <v>12</v>
      </c>
      <c r="F679" t="s">
        <v>13</v>
      </c>
      <c r="G679" t="s">
        <v>14</v>
      </c>
      <c r="H679" t="s">
        <v>1690</v>
      </c>
    </row>
    <row r="680" spans="1:8" x14ac:dyDescent="0.25">
      <c r="A680" t="s">
        <v>1440</v>
      </c>
      <c r="B680" t="s">
        <v>91</v>
      </c>
      <c r="C680" t="s">
        <v>1691</v>
      </c>
      <c r="D680" t="s">
        <v>1692</v>
      </c>
      <c r="E680" t="s">
        <v>67</v>
      </c>
      <c r="F680" t="s">
        <v>24</v>
      </c>
      <c r="G680" t="s">
        <v>67</v>
      </c>
      <c r="H680" t="s">
        <v>296</v>
      </c>
    </row>
    <row r="681" spans="1:8" x14ac:dyDescent="0.25">
      <c r="A681" t="s">
        <v>1440</v>
      </c>
      <c r="B681" t="s">
        <v>77</v>
      </c>
      <c r="C681" t="s">
        <v>1693</v>
      </c>
      <c r="D681" t="s">
        <v>1694</v>
      </c>
      <c r="E681" t="s">
        <v>29</v>
      </c>
      <c r="F681" t="s">
        <v>51</v>
      </c>
      <c r="G681" t="s">
        <v>67</v>
      </c>
      <c r="H681" t="s">
        <v>131</v>
      </c>
    </row>
    <row r="682" spans="1:8" x14ac:dyDescent="0.25">
      <c r="A682" t="s">
        <v>1440</v>
      </c>
      <c r="B682" t="s">
        <v>16</v>
      </c>
      <c r="C682" t="s">
        <v>1695</v>
      </c>
      <c r="D682" t="s">
        <v>1696</v>
      </c>
      <c r="E682" t="s">
        <v>12</v>
      </c>
      <c r="F682" t="s">
        <v>13</v>
      </c>
      <c r="G682" t="s">
        <v>14</v>
      </c>
      <c r="H682" t="s">
        <v>674</v>
      </c>
    </row>
    <row r="683" spans="1:8" x14ac:dyDescent="0.25">
      <c r="A683" t="s">
        <v>1440</v>
      </c>
      <c r="B683" t="s">
        <v>42</v>
      </c>
      <c r="C683" t="s">
        <v>1697</v>
      </c>
      <c r="D683" t="s">
        <v>1698</v>
      </c>
      <c r="E683" t="s">
        <v>29</v>
      </c>
      <c r="F683" t="s">
        <v>24</v>
      </c>
      <c r="G683" t="s">
        <v>14</v>
      </c>
      <c r="H683" t="s">
        <v>539</v>
      </c>
    </row>
    <row r="684" spans="1:8" x14ac:dyDescent="0.25">
      <c r="A684" t="s">
        <v>1440</v>
      </c>
      <c r="B684" t="s">
        <v>113</v>
      </c>
      <c r="C684" t="s">
        <v>1699</v>
      </c>
      <c r="D684" t="s">
        <v>1700</v>
      </c>
      <c r="E684" t="s">
        <v>45</v>
      </c>
      <c r="F684" t="s">
        <v>30</v>
      </c>
      <c r="G684" t="s">
        <v>14</v>
      </c>
      <c r="H684" t="s">
        <v>1413</v>
      </c>
    </row>
    <row r="685" spans="1:8" x14ac:dyDescent="0.25">
      <c r="A685" t="s">
        <v>1440</v>
      </c>
      <c r="B685" t="s">
        <v>91</v>
      </c>
      <c r="C685" t="s">
        <v>1701</v>
      </c>
      <c r="D685" t="s">
        <v>1702</v>
      </c>
      <c r="E685" t="s">
        <v>29</v>
      </c>
      <c r="F685" t="s">
        <v>51</v>
      </c>
      <c r="G685" t="s">
        <v>67</v>
      </c>
      <c r="H685" t="s">
        <v>339</v>
      </c>
    </row>
    <row r="686" spans="1:8" x14ac:dyDescent="0.25">
      <c r="A686" t="s">
        <v>1440</v>
      </c>
      <c r="B686" t="s">
        <v>42</v>
      </c>
      <c r="C686" t="s">
        <v>1703</v>
      </c>
      <c r="D686" t="s">
        <v>1704</v>
      </c>
      <c r="E686" t="s">
        <v>45</v>
      </c>
      <c r="F686" t="s">
        <v>30</v>
      </c>
      <c r="G686" t="s">
        <v>14</v>
      </c>
      <c r="H686" t="s">
        <v>25</v>
      </c>
    </row>
    <row r="687" spans="1:8" x14ac:dyDescent="0.25">
      <c r="A687" t="s">
        <v>1440</v>
      </c>
      <c r="B687" t="s">
        <v>42</v>
      </c>
      <c r="C687" t="s">
        <v>1705</v>
      </c>
      <c r="D687" t="s">
        <v>1706</v>
      </c>
      <c r="E687" t="s">
        <v>29</v>
      </c>
      <c r="F687" t="s">
        <v>30</v>
      </c>
      <c r="G687" t="s">
        <v>14</v>
      </c>
      <c r="H687" t="s">
        <v>1383</v>
      </c>
    </row>
    <row r="688" spans="1:8" x14ac:dyDescent="0.25">
      <c r="A688" t="s">
        <v>1440</v>
      </c>
      <c r="B688" t="s">
        <v>113</v>
      </c>
      <c r="C688" t="s">
        <v>1707</v>
      </c>
      <c r="D688" t="s">
        <v>1708</v>
      </c>
      <c r="E688" t="s">
        <v>12</v>
      </c>
      <c r="F688" t="s">
        <v>13</v>
      </c>
      <c r="G688" t="s">
        <v>14</v>
      </c>
      <c r="H688" t="s">
        <v>851</v>
      </c>
    </row>
    <row r="689" spans="1:8" x14ac:dyDescent="0.25">
      <c r="A689" t="s">
        <v>1440</v>
      </c>
      <c r="B689" t="s">
        <v>37</v>
      </c>
      <c r="C689" t="s">
        <v>1709</v>
      </c>
      <c r="D689" t="s">
        <v>1710</v>
      </c>
      <c r="E689" t="s">
        <v>29</v>
      </c>
      <c r="F689" t="s">
        <v>30</v>
      </c>
      <c r="G689" t="s">
        <v>14</v>
      </c>
      <c r="H689" t="s">
        <v>25</v>
      </c>
    </row>
    <row r="690" spans="1:8" x14ac:dyDescent="0.25">
      <c r="A690" t="s">
        <v>1440</v>
      </c>
      <c r="B690" t="s">
        <v>16</v>
      </c>
      <c r="C690" t="s">
        <v>1711</v>
      </c>
      <c r="D690" t="s">
        <v>1712</v>
      </c>
      <c r="E690" t="s">
        <v>116</v>
      </c>
      <c r="F690" t="s">
        <v>30</v>
      </c>
      <c r="G690" t="s">
        <v>14</v>
      </c>
      <c r="H690" t="s">
        <v>443</v>
      </c>
    </row>
    <row r="691" spans="1:8" x14ac:dyDescent="0.25">
      <c r="A691" t="s">
        <v>1440</v>
      </c>
      <c r="B691" t="s">
        <v>42</v>
      </c>
      <c r="C691" t="s">
        <v>1713</v>
      </c>
      <c r="D691" t="s">
        <v>1714</v>
      </c>
      <c r="E691" t="s">
        <v>116</v>
      </c>
      <c r="F691" t="s">
        <v>24</v>
      </c>
      <c r="G691" t="s">
        <v>14</v>
      </c>
      <c r="H691" t="s">
        <v>1715</v>
      </c>
    </row>
    <row r="692" spans="1:8" x14ac:dyDescent="0.25">
      <c r="A692" t="s">
        <v>1440</v>
      </c>
      <c r="B692" t="s">
        <v>32</v>
      </c>
      <c r="C692" t="s">
        <v>1716</v>
      </c>
      <c r="D692" t="s">
        <v>1717</v>
      </c>
      <c r="E692" t="s">
        <v>23</v>
      </c>
      <c r="F692" t="s">
        <v>30</v>
      </c>
      <c r="G692" t="s">
        <v>14</v>
      </c>
      <c r="H692" t="s">
        <v>1718</v>
      </c>
    </row>
    <row r="693" spans="1:8" x14ac:dyDescent="0.25">
      <c r="A693" t="s">
        <v>1440</v>
      </c>
      <c r="B693" t="s">
        <v>37</v>
      </c>
      <c r="C693" t="s">
        <v>1719</v>
      </c>
      <c r="D693" t="s">
        <v>1720</v>
      </c>
      <c r="E693" t="s">
        <v>29</v>
      </c>
      <c r="F693" t="s">
        <v>51</v>
      </c>
      <c r="G693" t="s">
        <v>67</v>
      </c>
      <c r="H693" t="s">
        <v>462</v>
      </c>
    </row>
    <row r="694" spans="1:8" x14ac:dyDescent="0.25">
      <c r="A694" t="s">
        <v>1440</v>
      </c>
      <c r="B694" t="s">
        <v>42</v>
      </c>
      <c r="C694" t="s">
        <v>1721</v>
      </c>
      <c r="D694" t="s">
        <v>1722</v>
      </c>
      <c r="E694" t="s">
        <v>12</v>
      </c>
      <c r="F694" t="s">
        <v>13</v>
      </c>
      <c r="G694" t="s">
        <v>14</v>
      </c>
      <c r="H694" t="s">
        <v>367</v>
      </c>
    </row>
    <row r="695" spans="1:8" x14ac:dyDescent="0.25">
      <c r="A695" t="s">
        <v>1440</v>
      </c>
      <c r="B695" t="s">
        <v>73</v>
      </c>
      <c r="C695" t="s">
        <v>1723</v>
      </c>
      <c r="D695" t="s">
        <v>1724</v>
      </c>
      <c r="E695" t="s">
        <v>35</v>
      </c>
      <c r="F695" t="s">
        <v>30</v>
      </c>
      <c r="G695" t="s">
        <v>14</v>
      </c>
      <c r="H695" t="s">
        <v>46</v>
      </c>
    </row>
    <row r="696" spans="1:8" x14ac:dyDescent="0.25">
      <c r="A696" t="s">
        <v>1440</v>
      </c>
      <c r="B696" t="s">
        <v>42</v>
      </c>
      <c r="C696" t="s">
        <v>1725</v>
      </c>
      <c r="D696" t="s">
        <v>1726</v>
      </c>
      <c r="E696" t="s">
        <v>35</v>
      </c>
      <c r="F696" t="s">
        <v>24</v>
      </c>
      <c r="G696" t="s">
        <v>14</v>
      </c>
      <c r="H696" t="s">
        <v>322</v>
      </c>
    </row>
    <row r="697" spans="1:8" x14ac:dyDescent="0.25">
      <c r="A697" t="s">
        <v>1440</v>
      </c>
      <c r="B697" t="s">
        <v>26</v>
      </c>
      <c r="C697" t="s">
        <v>1727</v>
      </c>
      <c r="D697" t="s">
        <v>1728</v>
      </c>
      <c r="E697" t="s">
        <v>172</v>
      </c>
      <c r="F697" t="s">
        <v>24</v>
      </c>
      <c r="G697" t="s">
        <v>14</v>
      </c>
      <c r="H697" t="s">
        <v>264</v>
      </c>
    </row>
    <row r="698" spans="1:8" x14ac:dyDescent="0.25">
      <c r="A698" t="s">
        <v>1440</v>
      </c>
      <c r="B698" t="s">
        <v>113</v>
      </c>
      <c r="C698" t="s">
        <v>1729</v>
      </c>
      <c r="D698" t="s">
        <v>1730</v>
      </c>
      <c r="E698" t="s">
        <v>29</v>
      </c>
      <c r="F698" t="s">
        <v>24</v>
      </c>
      <c r="G698" t="s">
        <v>14</v>
      </c>
      <c r="H698" t="s">
        <v>1192</v>
      </c>
    </row>
    <row r="699" spans="1:8" x14ac:dyDescent="0.25">
      <c r="A699" t="s">
        <v>1440</v>
      </c>
      <c r="B699" t="s">
        <v>37</v>
      </c>
      <c r="C699" t="s">
        <v>1731</v>
      </c>
      <c r="D699" t="s">
        <v>1732</v>
      </c>
      <c r="E699" t="s">
        <v>29</v>
      </c>
      <c r="F699" t="s">
        <v>24</v>
      </c>
      <c r="G699" t="s">
        <v>14</v>
      </c>
      <c r="H699" t="s">
        <v>46</v>
      </c>
    </row>
    <row r="700" spans="1:8" x14ac:dyDescent="0.25">
      <c r="A700" t="s">
        <v>1440</v>
      </c>
      <c r="B700" t="s">
        <v>100</v>
      </c>
      <c r="C700" t="s">
        <v>1733</v>
      </c>
      <c r="D700" t="s">
        <v>1734</v>
      </c>
      <c r="E700" t="s">
        <v>172</v>
      </c>
      <c r="F700" t="s">
        <v>30</v>
      </c>
      <c r="G700" t="s">
        <v>14</v>
      </c>
      <c r="H700" t="s">
        <v>1735</v>
      </c>
    </row>
    <row r="701" spans="1:8" x14ac:dyDescent="0.25">
      <c r="A701" t="s">
        <v>1440</v>
      </c>
      <c r="B701" t="s">
        <v>42</v>
      </c>
      <c r="C701" t="s">
        <v>1736</v>
      </c>
      <c r="D701" t="s">
        <v>1737</v>
      </c>
      <c r="E701" t="s">
        <v>12</v>
      </c>
      <c r="F701" t="s">
        <v>13</v>
      </c>
      <c r="G701" t="s">
        <v>14</v>
      </c>
      <c r="H701" t="s">
        <v>1738</v>
      </c>
    </row>
    <row r="702" spans="1:8" x14ac:dyDescent="0.25">
      <c r="A702" t="s">
        <v>1440</v>
      </c>
      <c r="B702" t="s">
        <v>77</v>
      </c>
      <c r="C702" t="s">
        <v>1739</v>
      </c>
      <c r="D702" t="s">
        <v>1740</v>
      </c>
      <c r="E702" t="s">
        <v>35</v>
      </c>
      <c r="F702" t="s">
        <v>24</v>
      </c>
      <c r="G702" t="s">
        <v>14</v>
      </c>
      <c r="H702" t="s">
        <v>122</v>
      </c>
    </row>
    <row r="703" spans="1:8" x14ac:dyDescent="0.25">
      <c r="A703" t="s">
        <v>1440</v>
      </c>
      <c r="B703" t="s">
        <v>9</v>
      </c>
      <c r="C703" t="s">
        <v>1741</v>
      </c>
      <c r="D703" t="s">
        <v>1742</v>
      </c>
      <c r="E703" t="s">
        <v>29</v>
      </c>
      <c r="F703" t="s">
        <v>97</v>
      </c>
      <c r="G703" t="s">
        <v>98</v>
      </c>
      <c r="H703" t="s">
        <v>1516</v>
      </c>
    </row>
    <row r="704" spans="1:8" x14ac:dyDescent="0.25">
      <c r="A704" t="s">
        <v>1440</v>
      </c>
      <c r="B704" t="s">
        <v>37</v>
      </c>
      <c r="C704" t="s">
        <v>1743</v>
      </c>
      <c r="D704" t="s">
        <v>1744</v>
      </c>
      <c r="E704" t="s">
        <v>45</v>
      </c>
      <c r="F704" t="s">
        <v>71</v>
      </c>
      <c r="G704" t="s">
        <v>14</v>
      </c>
      <c r="H704" t="s">
        <v>375</v>
      </c>
    </row>
    <row r="705" spans="1:8" x14ac:dyDescent="0.25">
      <c r="A705" t="s">
        <v>1440</v>
      </c>
      <c r="B705" t="s">
        <v>91</v>
      </c>
      <c r="C705" t="s">
        <v>1745</v>
      </c>
      <c r="D705" t="s">
        <v>1745</v>
      </c>
      <c r="E705" t="s">
        <v>116</v>
      </c>
      <c r="F705" t="s">
        <v>24</v>
      </c>
      <c r="G705" t="s">
        <v>63</v>
      </c>
      <c r="H705" t="s">
        <v>1746</v>
      </c>
    </row>
    <row r="706" spans="1:8" x14ac:dyDescent="0.25">
      <c r="A706" t="s">
        <v>1440</v>
      </c>
      <c r="B706" t="s">
        <v>37</v>
      </c>
      <c r="C706" t="s">
        <v>1747</v>
      </c>
      <c r="D706" t="s">
        <v>1747</v>
      </c>
      <c r="E706" t="s">
        <v>172</v>
      </c>
      <c r="F706" t="s">
        <v>30</v>
      </c>
      <c r="G706" t="s">
        <v>63</v>
      </c>
      <c r="H706" t="s">
        <v>306</v>
      </c>
    </row>
    <row r="707" spans="1:8" x14ac:dyDescent="0.25">
      <c r="A707" t="s">
        <v>1440</v>
      </c>
      <c r="B707" t="s">
        <v>42</v>
      </c>
      <c r="C707" t="s">
        <v>1748</v>
      </c>
      <c r="D707" t="s">
        <v>1749</v>
      </c>
      <c r="E707" t="s">
        <v>45</v>
      </c>
      <c r="F707" t="s">
        <v>30</v>
      </c>
      <c r="G707" t="s">
        <v>14</v>
      </c>
      <c r="H707" t="s">
        <v>122</v>
      </c>
    </row>
    <row r="708" spans="1:8" x14ac:dyDescent="0.25">
      <c r="A708" t="s">
        <v>1440</v>
      </c>
      <c r="B708" t="s">
        <v>37</v>
      </c>
      <c r="C708" t="s">
        <v>1750</v>
      </c>
      <c r="D708" t="s">
        <v>1751</v>
      </c>
      <c r="E708" t="s">
        <v>29</v>
      </c>
      <c r="F708" t="s">
        <v>97</v>
      </c>
      <c r="G708" t="s">
        <v>98</v>
      </c>
      <c r="H708" t="s">
        <v>1516</v>
      </c>
    </row>
    <row r="709" spans="1:8" x14ac:dyDescent="0.25">
      <c r="A709" t="s">
        <v>1440</v>
      </c>
      <c r="B709" t="s">
        <v>91</v>
      </c>
      <c r="C709" t="s">
        <v>1752</v>
      </c>
      <c r="D709" t="s">
        <v>1753</v>
      </c>
      <c r="E709" t="s">
        <v>29</v>
      </c>
      <c r="F709" t="s">
        <v>97</v>
      </c>
      <c r="G709" t="s">
        <v>98</v>
      </c>
      <c r="H709" t="s">
        <v>1516</v>
      </c>
    </row>
    <row r="710" spans="1:8" x14ac:dyDescent="0.25">
      <c r="A710" t="s">
        <v>1440</v>
      </c>
      <c r="B710" t="s">
        <v>42</v>
      </c>
      <c r="C710" t="s">
        <v>1754</v>
      </c>
      <c r="D710" t="s">
        <v>1755</v>
      </c>
      <c r="E710" t="s">
        <v>29</v>
      </c>
      <c r="F710" t="s">
        <v>24</v>
      </c>
      <c r="G710" t="s">
        <v>14</v>
      </c>
      <c r="H710" t="s">
        <v>1756</v>
      </c>
    </row>
    <row r="711" spans="1:8" x14ac:dyDescent="0.25">
      <c r="A711" t="s">
        <v>1440</v>
      </c>
      <c r="B711" t="s">
        <v>37</v>
      </c>
      <c r="C711" t="s">
        <v>1757</v>
      </c>
      <c r="D711" t="s">
        <v>1758</v>
      </c>
      <c r="E711" t="s">
        <v>116</v>
      </c>
      <c r="F711" t="s">
        <v>30</v>
      </c>
      <c r="G711" t="s">
        <v>14</v>
      </c>
      <c r="H711" t="s">
        <v>576</v>
      </c>
    </row>
    <row r="712" spans="1:8" x14ac:dyDescent="0.25">
      <c r="A712" t="s">
        <v>1440</v>
      </c>
      <c r="B712" t="s">
        <v>26</v>
      </c>
      <c r="C712" t="s">
        <v>1759</v>
      </c>
      <c r="D712" t="s">
        <v>1760</v>
      </c>
      <c r="E712" t="s">
        <v>12</v>
      </c>
      <c r="F712" t="s">
        <v>13</v>
      </c>
      <c r="G712" t="s">
        <v>14</v>
      </c>
      <c r="H712" t="s">
        <v>90</v>
      </c>
    </row>
    <row r="713" spans="1:8" x14ac:dyDescent="0.25">
      <c r="A713" t="s">
        <v>1440</v>
      </c>
      <c r="B713" t="s">
        <v>9</v>
      </c>
      <c r="C713" t="s">
        <v>1761</v>
      </c>
      <c r="D713" t="s">
        <v>1761</v>
      </c>
      <c r="E713" t="s">
        <v>50</v>
      </c>
      <c r="F713" t="s">
        <v>191</v>
      </c>
      <c r="G713" t="s">
        <v>63</v>
      </c>
      <c r="H713" t="s">
        <v>122</v>
      </c>
    </row>
    <row r="714" spans="1:8" x14ac:dyDescent="0.25">
      <c r="A714" t="s">
        <v>1440</v>
      </c>
      <c r="B714" t="s">
        <v>9</v>
      </c>
      <c r="C714" t="s">
        <v>1762</v>
      </c>
      <c r="D714" t="s">
        <v>1763</v>
      </c>
      <c r="E714" t="s">
        <v>29</v>
      </c>
      <c r="F714" t="s">
        <v>24</v>
      </c>
      <c r="G714" t="s">
        <v>14</v>
      </c>
      <c r="H714" t="s">
        <v>205</v>
      </c>
    </row>
    <row r="715" spans="1:8" x14ac:dyDescent="0.25">
      <c r="A715" t="s">
        <v>1440</v>
      </c>
      <c r="B715" t="s">
        <v>37</v>
      </c>
      <c r="C715" t="s">
        <v>1764</v>
      </c>
      <c r="D715" t="s">
        <v>1764</v>
      </c>
      <c r="E715" t="s">
        <v>116</v>
      </c>
      <c r="F715" t="s">
        <v>24</v>
      </c>
      <c r="G715" t="s">
        <v>63</v>
      </c>
      <c r="H715" t="s">
        <v>333</v>
      </c>
    </row>
    <row r="716" spans="1:8" x14ac:dyDescent="0.25">
      <c r="A716" t="s">
        <v>1440</v>
      </c>
      <c r="B716" t="s">
        <v>100</v>
      </c>
      <c r="C716" t="s">
        <v>1765</v>
      </c>
      <c r="D716" t="s">
        <v>1766</v>
      </c>
      <c r="E716" t="s">
        <v>172</v>
      </c>
      <c r="F716" t="s">
        <v>30</v>
      </c>
      <c r="G716" t="s">
        <v>14</v>
      </c>
      <c r="H716" t="s">
        <v>375</v>
      </c>
    </row>
    <row r="717" spans="1:8" x14ac:dyDescent="0.25">
      <c r="A717" t="s">
        <v>1440</v>
      </c>
      <c r="B717" t="s">
        <v>100</v>
      </c>
      <c r="C717" t="s">
        <v>1767</v>
      </c>
      <c r="D717" t="s">
        <v>1767</v>
      </c>
      <c r="E717" t="s">
        <v>29</v>
      </c>
      <c r="F717" t="s">
        <v>30</v>
      </c>
      <c r="G717" t="s">
        <v>63</v>
      </c>
      <c r="H717" t="s">
        <v>1768</v>
      </c>
    </row>
    <row r="718" spans="1:8" x14ac:dyDescent="0.25">
      <c r="A718" t="s">
        <v>1440</v>
      </c>
      <c r="B718" t="s">
        <v>26</v>
      </c>
      <c r="C718" t="s">
        <v>1769</v>
      </c>
      <c r="D718" t="s">
        <v>1769</v>
      </c>
      <c r="E718" t="s">
        <v>12</v>
      </c>
      <c r="F718" t="s">
        <v>13</v>
      </c>
      <c r="G718" t="s">
        <v>63</v>
      </c>
      <c r="H718" t="s">
        <v>1770</v>
      </c>
    </row>
    <row r="719" spans="1:8" x14ac:dyDescent="0.25">
      <c r="A719" t="s">
        <v>1440</v>
      </c>
      <c r="B719" t="s">
        <v>9</v>
      </c>
      <c r="C719" t="s">
        <v>1771</v>
      </c>
      <c r="D719" t="s">
        <v>1772</v>
      </c>
      <c r="E719" t="s">
        <v>116</v>
      </c>
      <c r="F719" t="s">
        <v>24</v>
      </c>
      <c r="G719" t="s">
        <v>14</v>
      </c>
      <c r="H719" t="s">
        <v>57</v>
      </c>
    </row>
    <row r="720" spans="1:8" x14ac:dyDescent="0.25">
      <c r="A720" t="s">
        <v>1440</v>
      </c>
      <c r="B720" t="s">
        <v>32</v>
      </c>
      <c r="C720" t="s">
        <v>1773</v>
      </c>
      <c r="D720" t="s">
        <v>1774</v>
      </c>
      <c r="E720" t="s">
        <v>35</v>
      </c>
      <c r="F720" t="s">
        <v>24</v>
      </c>
      <c r="G720" t="s">
        <v>14</v>
      </c>
      <c r="H720" t="s">
        <v>122</v>
      </c>
    </row>
    <row r="721" spans="1:8" x14ac:dyDescent="0.25">
      <c r="A721" t="s">
        <v>1440</v>
      </c>
      <c r="B721" t="s">
        <v>37</v>
      </c>
      <c r="C721" t="s">
        <v>1775</v>
      </c>
      <c r="D721" t="s">
        <v>1776</v>
      </c>
      <c r="E721" t="s">
        <v>172</v>
      </c>
      <c r="F721" t="s">
        <v>30</v>
      </c>
      <c r="G721" t="s">
        <v>14</v>
      </c>
      <c r="H721" t="s">
        <v>122</v>
      </c>
    </row>
    <row r="722" spans="1:8" x14ac:dyDescent="0.25">
      <c r="A722" t="s">
        <v>1440</v>
      </c>
      <c r="B722" t="s">
        <v>91</v>
      </c>
      <c r="C722" t="s">
        <v>1777</v>
      </c>
      <c r="D722" t="s">
        <v>1777</v>
      </c>
      <c r="E722" t="s">
        <v>12</v>
      </c>
      <c r="F722" t="s">
        <v>30</v>
      </c>
      <c r="G722" t="s">
        <v>63</v>
      </c>
      <c r="H722" t="s">
        <v>1778</v>
      </c>
    </row>
    <row r="723" spans="1:8" x14ac:dyDescent="0.25">
      <c r="A723" t="s">
        <v>1440</v>
      </c>
      <c r="B723" t="s">
        <v>37</v>
      </c>
      <c r="C723" t="s">
        <v>1779</v>
      </c>
      <c r="D723" t="s">
        <v>1780</v>
      </c>
      <c r="E723" t="s">
        <v>172</v>
      </c>
      <c r="F723" t="s">
        <v>30</v>
      </c>
      <c r="G723" t="s">
        <v>14</v>
      </c>
      <c r="H723" t="s">
        <v>1781</v>
      </c>
    </row>
    <row r="724" spans="1:8" x14ac:dyDescent="0.25">
      <c r="A724" t="s">
        <v>1440</v>
      </c>
      <c r="B724" t="s">
        <v>73</v>
      </c>
      <c r="C724" t="s">
        <v>1782</v>
      </c>
      <c r="D724" t="s">
        <v>1782</v>
      </c>
      <c r="E724" t="s">
        <v>23</v>
      </c>
      <c r="F724" t="s">
        <v>24</v>
      </c>
      <c r="G724" t="s">
        <v>63</v>
      </c>
      <c r="H724" t="s">
        <v>378</v>
      </c>
    </row>
    <row r="725" spans="1:8" x14ac:dyDescent="0.25">
      <c r="A725" t="s">
        <v>1440</v>
      </c>
      <c r="B725" t="s">
        <v>91</v>
      </c>
      <c r="C725" t="s">
        <v>1783</v>
      </c>
      <c r="D725" t="s">
        <v>1784</v>
      </c>
      <c r="E725" t="s">
        <v>45</v>
      </c>
      <c r="F725" t="s">
        <v>24</v>
      </c>
      <c r="G725" t="s">
        <v>14</v>
      </c>
      <c r="H725" t="s">
        <v>1785</v>
      </c>
    </row>
    <row r="726" spans="1:8" x14ac:dyDescent="0.25">
      <c r="A726" t="s">
        <v>1440</v>
      </c>
      <c r="B726" t="s">
        <v>91</v>
      </c>
      <c r="C726" t="s">
        <v>1786</v>
      </c>
      <c r="D726" t="s">
        <v>1787</v>
      </c>
      <c r="E726" t="s">
        <v>45</v>
      </c>
      <c r="F726" t="s">
        <v>24</v>
      </c>
      <c r="G726" t="s">
        <v>14</v>
      </c>
      <c r="H726" t="s">
        <v>1788</v>
      </c>
    </row>
    <row r="727" spans="1:8" x14ac:dyDescent="0.25">
      <c r="A727" t="s">
        <v>1440</v>
      </c>
      <c r="B727" t="s">
        <v>91</v>
      </c>
      <c r="C727" t="s">
        <v>1789</v>
      </c>
      <c r="D727" t="s">
        <v>1789</v>
      </c>
      <c r="E727" t="s">
        <v>1790</v>
      </c>
      <c r="F727" t="s">
        <v>191</v>
      </c>
      <c r="G727" t="s">
        <v>63</v>
      </c>
      <c r="H727" t="s">
        <v>685</v>
      </c>
    </row>
    <row r="728" spans="1:8" x14ac:dyDescent="0.25">
      <c r="A728" t="s">
        <v>1440</v>
      </c>
      <c r="B728" t="s">
        <v>37</v>
      </c>
      <c r="C728" t="s">
        <v>1791</v>
      </c>
      <c r="D728" t="s">
        <v>1791</v>
      </c>
      <c r="E728" t="s">
        <v>60</v>
      </c>
      <c r="F728" t="s">
        <v>13</v>
      </c>
      <c r="G728" t="s">
        <v>63</v>
      </c>
      <c r="H728" t="s">
        <v>1792</v>
      </c>
    </row>
    <row r="729" spans="1:8" x14ac:dyDescent="0.25">
      <c r="A729" t="s">
        <v>1440</v>
      </c>
      <c r="B729" t="s">
        <v>26</v>
      </c>
      <c r="C729" t="s">
        <v>1793</v>
      </c>
      <c r="D729" t="s">
        <v>1794</v>
      </c>
      <c r="E729" t="s">
        <v>50</v>
      </c>
      <c r="F729" t="s">
        <v>24</v>
      </c>
      <c r="G729" t="s">
        <v>14</v>
      </c>
      <c r="H729" t="s">
        <v>1795</v>
      </c>
    </row>
    <row r="730" spans="1:8" x14ac:dyDescent="0.25">
      <c r="A730" t="s">
        <v>1440</v>
      </c>
      <c r="B730" t="s">
        <v>37</v>
      </c>
      <c r="C730" t="s">
        <v>1796</v>
      </c>
      <c r="D730" t="s">
        <v>1796</v>
      </c>
      <c r="E730" t="s">
        <v>40</v>
      </c>
      <c r="F730" t="s">
        <v>191</v>
      </c>
      <c r="G730" t="s">
        <v>63</v>
      </c>
      <c r="H730" t="s">
        <v>1797</v>
      </c>
    </row>
    <row r="731" spans="1:8" x14ac:dyDescent="0.25">
      <c r="A731" t="s">
        <v>1440</v>
      </c>
      <c r="B731" t="s">
        <v>9</v>
      </c>
      <c r="C731" t="s">
        <v>1798</v>
      </c>
      <c r="D731" t="s">
        <v>1799</v>
      </c>
      <c r="E731" t="s">
        <v>45</v>
      </c>
      <c r="F731" t="s">
        <v>24</v>
      </c>
      <c r="G731" t="s">
        <v>14</v>
      </c>
      <c r="H731" t="s">
        <v>94</v>
      </c>
    </row>
    <row r="732" spans="1:8" x14ac:dyDescent="0.25">
      <c r="A732" t="s">
        <v>1440</v>
      </c>
      <c r="B732" t="s">
        <v>77</v>
      </c>
      <c r="C732" t="s">
        <v>1800</v>
      </c>
      <c r="D732" t="s">
        <v>1801</v>
      </c>
      <c r="E732" t="s">
        <v>50</v>
      </c>
      <c r="F732" t="s">
        <v>24</v>
      </c>
      <c r="G732" t="s">
        <v>14</v>
      </c>
      <c r="H732" t="s">
        <v>1802</v>
      </c>
    </row>
    <row r="733" spans="1:8" x14ac:dyDescent="0.25">
      <c r="A733" t="s">
        <v>1440</v>
      </c>
      <c r="B733" t="s">
        <v>42</v>
      </c>
      <c r="C733" t="s">
        <v>1803</v>
      </c>
      <c r="D733" t="s">
        <v>1804</v>
      </c>
      <c r="E733" t="s">
        <v>45</v>
      </c>
      <c r="F733" t="s">
        <v>24</v>
      </c>
      <c r="G733" t="s">
        <v>14</v>
      </c>
      <c r="H733" t="s">
        <v>94</v>
      </c>
    </row>
    <row r="734" spans="1:8" x14ac:dyDescent="0.25">
      <c r="A734" t="s">
        <v>1440</v>
      </c>
      <c r="B734" t="s">
        <v>77</v>
      </c>
      <c r="C734" t="s">
        <v>1805</v>
      </c>
      <c r="D734" t="s">
        <v>1806</v>
      </c>
      <c r="E734" t="s">
        <v>345</v>
      </c>
      <c r="F734" t="s">
        <v>30</v>
      </c>
      <c r="G734" t="s">
        <v>14</v>
      </c>
      <c r="H734" t="s">
        <v>1807</v>
      </c>
    </row>
    <row r="735" spans="1:8" x14ac:dyDescent="0.25">
      <c r="A735" t="s">
        <v>1440</v>
      </c>
      <c r="B735" t="s">
        <v>16</v>
      </c>
      <c r="C735" t="s">
        <v>1808</v>
      </c>
      <c r="D735" t="s">
        <v>1809</v>
      </c>
      <c r="E735" t="s">
        <v>390</v>
      </c>
      <c r="F735" t="s">
        <v>51</v>
      </c>
      <c r="G735" t="s">
        <v>14</v>
      </c>
      <c r="H735" t="s">
        <v>1810</v>
      </c>
    </row>
    <row r="736" spans="1:8" x14ac:dyDescent="0.25">
      <c r="A736" t="s">
        <v>1440</v>
      </c>
      <c r="B736" t="s">
        <v>26</v>
      </c>
      <c r="C736" t="s">
        <v>1811</v>
      </c>
      <c r="D736" t="s">
        <v>1812</v>
      </c>
      <c r="E736" t="s">
        <v>35</v>
      </c>
      <c r="F736" t="s">
        <v>19</v>
      </c>
      <c r="G736" t="s">
        <v>14</v>
      </c>
      <c r="H736" t="s">
        <v>1813</v>
      </c>
    </row>
    <row r="737" spans="1:8" x14ac:dyDescent="0.25">
      <c r="A737" t="s">
        <v>1440</v>
      </c>
      <c r="B737" t="s">
        <v>42</v>
      </c>
      <c r="C737" t="s">
        <v>1814</v>
      </c>
      <c r="D737" t="s">
        <v>1814</v>
      </c>
      <c r="E737" t="s">
        <v>29</v>
      </c>
      <c r="F737" t="s">
        <v>30</v>
      </c>
      <c r="G737" t="s">
        <v>63</v>
      </c>
      <c r="H737" t="s">
        <v>1346</v>
      </c>
    </row>
    <row r="738" spans="1:8" x14ac:dyDescent="0.25">
      <c r="A738" t="s">
        <v>1440</v>
      </c>
      <c r="B738" t="s">
        <v>26</v>
      </c>
      <c r="C738" t="s">
        <v>1815</v>
      </c>
      <c r="D738" t="s">
        <v>1815</v>
      </c>
      <c r="E738" t="s">
        <v>172</v>
      </c>
      <c r="F738" t="s">
        <v>30</v>
      </c>
      <c r="G738" t="s">
        <v>63</v>
      </c>
      <c r="H738" t="s">
        <v>277</v>
      </c>
    </row>
    <row r="739" spans="1:8" x14ac:dyDescent="0.25">
      <c r="A739" t="s">
        <v>1440</v>
      </c>
      <c r="B739" t="s">
        <v>91</v>
      </c>
      <c r="C739" t="s">
        <v>1816</v>
      </c>
      <c r="D739" t="s">
        <v>1817</v>
      </c>
      <c r="E739" t="s">
        <v>40</v>
      </c>
      <c r="F739" t="s">
        <v>51</v>
      </c>
      <c r="G739" t="s">
        <v>14</v>
      </c>
      <c r="H739" t="s">
        <v>928</v>
      </c>
    </row>
    <row r="740" spans="1:8" x14ac:dyDescent="0.25">
      <c r="A740" t="s">
        <v>1440</v>
      </c>
      <c r="B740" t="s">
        <v>42</v>
      </c>
      <c r="C740" t="s">
        <v>1818</v>
      </c>
      <c r="D740" t="s">
        <v>1819</v>
      </c>
      <c r="E740" t="s">
        <v>276</v>
      </c>
      <c r="F740" t="s">
        <v>51</v>
      </c>
      <c r="G740" t="s">
        <v>14</v>
      </c>
      <c r="H740" t="s">
        <v>887</v>
      </c>
    </row>
    <row r="741" spans="1:8" x14ac:dyDescent="0.25">
      <c r="A741" t="s">
        <v>1440</v>
      </c>
      <c r="B741" t="s">
        <v>42</v>
      </c>
      <c r="C741" t="s">
        <v>1820</v>
      </c>
      <c r="D741" t="s">
        <v>1820</v>
      </c>
      <c r="E741" t="s">
        <v>1821</v>
      </c>
      <c r="F741" t="s">
        <v>191</v>
      </c>
      <c r="G741" t="s">
        <v>63</v>
      </c>
      <c r="H741" t="s">
        <v>157</v>
      </c>
    </row>
    <row r="742" spans="1:8" x14ac:dyDescent="0.25">
      <c r="A742" t="s">
        <v>1440</v>
      </c>
      <c r="B742" t="s">
        <v>42</v>
      </c>
      <c r="C742" t="s">
        <v>1822</v>
      </c>
      <c r="D742" t="s">
        <v>1822</v>
      </c>
      <c r="E742" t="s">
        <v>29</v>
      </c>
      <c r="F742" t="s">
        <v>30</v>
      </c>
      <c r="G742" t="s">
        <v>63</v>
      </c>
      <c r="H742" t="s">
        <v>1823</v>
      </c>
    </row>
    <row r="743" spans="1:8" x14ac:dyDescent="0.25">
      <c r="A743" t="s">
        <v>1440</v>
      </c>
      <c r="B743" t="s">
        <v>91</v>
      </c>
      <c r="C743" t="s">
        <v>1824</v>
      </c>
      <c r="D743" t="s">
        <v>1825</v>
      </c>
      <c r="E743" t="s">
        <v>40</v>
      </c>
      <c r="F743" t="s">
        <v>51</v>
      </c>
      <c r="G743" t="s">
        <v>14</v>
      </c>
      <c r="H743" t="s">
        <v>1087</v>
      </c>
    </row>
    <row r="744" spans="1:8" x14ac:dyDescent="0.25">
      <c r="A744" t="s">
        <v>1440</v>
      </c>
      <c r="B744" t="s">
        <v>26</v>
      </c>
      <c r="C744" t="s">
        <v>1826</v>
      </c>
      <c r="D744" t="s">
        <v>1827</v>
      </c>
      <c r="E744" t="s">
        <v>23</v>
      </c>
      <c r="F744" t="s">
        <v>30</v>
      </c>
      <c r="G744" t="s">
        <v>14</v>
      </c>
      <c r="H744" t="s">
        <v>1242</v>
      </c>
    </row>
    <row r="745" spans="1:8" x14ac:dyDescent="0.25">
      <c r="A745" t="s">
        <v>1440</v>
      </c>
      <c r="B745" t="s">
        <v>16</v>
      </c>
      <c r="C745" t="s">
        <v>1828</v>
      </c>
      <c r="D745" t="s">
        <v>1829</v>
      </c>
      <c r="E745" t="s">
        <v>40</v>
      </c>
      <c r="F745" t="s">
        <v>80</v>
      </c>
      <c r="G745" t="s">
        <v>14</v>
      </c>
      <c r="H745" t="s">
        <v>1830</v>
      </c>
    </row>
    <row r="746" spans="1:8" x14ac:dyDescent="0.25">
      <c r="A746" t="s">
        <v>1440</v>
      </c>
      <c r="B746" t="s">
        <v>91</v>
      </c>
      <c r="C746" t="s">
        <v>1831</v>
      </c>
      <c r="D746" t="s">
        <v>1832</v>
      </c>
      <c r="E746" t="s">
        <v>40</v>
      </c>
      <c r="F746" t="s">
        <v>80</v>
      </c>
      <c r="G746" t="s">
        <v>14</v>
      </c>
      <c r="H746" t="s">
        <v>322</v>
      </c>
    </row>
    <row r="747" spans="1:8" x14ac:dyDescent="0.25">
      <c r="A747" t="s">
        <v>1440</v>
      </c>
      <c r="B747" t="s">
        <v>77</v>
      </c>
      <c r="C747" t="s">
        <v>1833</v>
      </c>
      <c r="D747" t="s">
        <v>1834</v>
      </c>
      <c r="E747" t="s">
        <v>23</v>
      </c>
      <c r="F747" t="s">
        <v>30</v>
      </c>
      <c r="G747" t="s">
        <v>14</v>
      </c>
      <c r="H747" t="s">
        <v>25</v>
      </c>
    </row>
    <row r="748" spans="1:8" x14ac:dyDescent="0.25">
      <c r="A748" t="s">
        <v>1440</v>
      </c>
      <c r="B748" t="s">
        <v>26</v>
      </c>
      <c r="C748" t="s">
        <v>1835</v>
      </c>
      <c r="D748" t="s">
        <v>1835</v>
      </c>
      <c r="E748" t="s">
        <v>45</v>
      </c>
      <c r="F748" t="s">
        <v>24</v>
      </c>
      <c r="G748" t="s">
        <v>63</v>
      </c>
      <c r="H748" t="s">
        <v>968</v>
      </c>
    </row>
    <row r="749" spans="1:8" x14ac:dyDescent="0.25">
      <c r="A749" t="s">
        <v>1440</v>
      </c>
      <c r="B749" t="s">
        <v>26</v>
      </c>
      <c r="C749" t="s">
        <v>1836</v>
      </c>
      <c r="D749" t="s">
        <v>1836</v>
      </c>
      <c r="E749" t="s">
        <v>29</v>
      </c>
      <c r="F749" t="s">
        <v>13</v>
      </c>
      <c r="G749" t="s">
        <v>63</v>
      </c>
      <c r="H749" t="s">
        <v>968</v>
      </c>
    </row>
    <row r="750" spans="1:8" x14ac:dyDescent="0.25">
      <c r="A750" t="s">
        <v>1440</v>
      </c>
      <c r="B750" t="s">
        <v>100</v>
      </c>
      <c r="C750" t="s">
        <v>1837</v>
      </c>
      <c r="D750" t="s">
        <v>1837</v>
      </c>
      <c r="E750" t="s">
        <v>12</v>
      </c>
      <c r="F750" t="s">
        <v>30</v>
      </c>
      <c r="G750" t="s">
        <v>63</v>
      </c>
      <c r="H750" t="s">
        <v>64</v>
      </c>
    </row>
    <row r="751" spans="1:8" x14ac:dyDescent="0.25">
      <c r="A751" t="s">
        <v>1440</v>
      </c>
      <c r="B751" t="s">
        <v>9</v>
      </c>
      <c r="C751" t="s">
        <v>1838</v>
      </c>
      <c r="D751" t="s">
        <v>1838</v>
      </c>
      <c r="E751" t="s">
        <v>12</v>
      </c>
      <c r="F751" t="s">
        <v>30</v>
      </c>
      <c r="G751" t="s">
        <v>63</v>
      </c>
      <c r="H751" t="s">
        <v>64</v>
      </c>
    </row>
    <row r="752" spans="1:8" x14ac:dyDescent="0.25">
      <c r="A752" t="s">
        <v>1440</v>
      </c>
      <c r="B752" t="s">
        <v>16</v>
      </c>
      <c r="C752" t="s">
        <v>1839</v>
      </c>
      <c r="D752" t="s">
        <v>1839</v>
      </c>
      <c r="E752" t="s">
        <v>12</v>
      </c>
      <c r="F752" t="s">
        <v>13</v>
      </c>
      <c r="G752" t="s">
        <v>63</v>
      </c>
      <c r="H752" t="s">
        <v>346</v>
      </c>
    </row>
    <row r="753" spans="1:8" x14ac:dyDescent="0.25">
      <c r="A753" t="s">
        <v>1440</v>
      </c>
      <c r="B753" t="s">
        <v>42</v>
      </c>
      <c r="C753" t="s">
        <v>1840</v>
      </c>
      <c r="D753" t="s">
        <v>1841</v>
      </c>
      <c r="E753" t="s">
        <v>12</v>
      </c>
      <c r="F753" t="s">
        <v>19</v>
      </c>
      <c r="G753" t="s">
        <v>14</v>
      </c>
      <c r="H753" t="s">
        <v>1735</v>
      </c>
    </row>
    <row r="754" spans="1:8" x14ac:dyDescent="0.25">
      <c r="A754" t="s">
        <v>1440</v>
      </c>
      <c r="B754" t="s">
        <v>37</v>
      </c>
      <c r="C754" t="s">
        <v>1842</v>
      </c>
      <c r="D754" t="s">
        <v>1842</v>
      </c>
      <c r="E754" t="s">
        <v>12</v>
      </c>
      <c r="F754" t="s">
        <v>13</v>
      </c>
      <c r="G754" t="s">
        <v>63</v>
      </c>
      <c r="H754" t="s">
        <v>64</v>
      </c>
    </row>
    <row r="755" spans="1:8" x14ac:dyDescent="0.25">
      <c r="A755" t="s">
        <v>1440</v>
      </c>
      <c r="B755" t="s">
        <v>113</v>
      </c>
      <c r="C755" t="s">
        <v>1843</v>
      </c>
      <c r="D755" t="s">
        <v>1843</v>
      </c>
      <c r="E755" t="s">
        <v>116</v>
      </c>
      <c r="F755" t="s">
        <v>24</v>
      </c>
      <c r="G755" t="s">
        <v>63</v>
      </c>
      <c r="H755" t="s">
        <v>333</v>
      </c>
    </row>
    <row r="756" spans="1:8" x14ac:dyDescent="0.25">
      <c r="A756" t="s">
        <v>1440</v>
      </c>
      <c r="B756" t="s">
        <v>42</v>
      </c>
      <c r="C756" t="s">
        <v>1844</v>
      </c>
      <c r="D756" t="s">
        <v>1845</v>
      </c>
      <c r="E756" t="s">
        <v>50</v>
      </c>
      <c r="F756" t="s">
        <v>30</v>
      </c>
      <c r="G756" t="s">
        <v>14</v>
      </c>
      <c r="H756" t="s">
        <v>1846</v>
      </c>
    </row>
    <row r="757" spans="1:8" x14ac:dyDescent="0.25">
      <c r="A757" t="s">
        <v>1440</v>
      </c>
      <c r="B757" t="s">
        <v>9</v>
      </c>
      <c r="C757" t="s">
        <v>1847</v>
      </c>
      <c r="D757" t="s">
        <v>1848</v>
      </c>
      <c r="E757" t="s">
        <v>45</v>
      </c>
      <c r="F757" t="s">
        <v>24</v>
      </c>
      <c r="G757" t="s">
        <v>14</v>
      </c>
      <c r="H757" t="s">
        <v>1849</v>
      </c>
    </row>
    <row r="758" spans="1:8" x14ac:dyDescent="0.25">
      <c r="A758" t="s">
        <v>1440</v>
      </c>
      <c r="B758" t="s">
        <v>37</v>
      </c>
      <c r="C758" t="s">
        <v>1850</v>
      </c>
      <c r="D758" t="s">
        <v>1851</v>
      </c>
      <c r="E758" t="s">
        <v>23</v>
      </c>
      <c r="F758" t="s">
        <v>24</v>
      </c>
      <c r="G758" t="s">
        <v>14</v>
      </c>
      <c r="H758" t="s">
        <v>1852</v>
      </c>
    </row>
    <row r="759" spans="1:8" x14ac:dyDescent="0.25">
      <c r="A759" t="s">
        <v>1440</v>
      </c>
      <c r="B759" t="s">
        <v>42</v>
      </c>
      <c r="C759" t="s">
        <v>1853</v>
      </c>
      <c r="D759" t="s">
        <v>1854</v>
      </c>
      <c r="E759" t="s">
        <v>29</v>
      </c>
      <c r="F759" t="s">
        <v>19</v>
      </c>
      <c r="G759" t="s">
        <v>14</v>
      </c>
      <c r="H759" t="s">
        <v>1855</v>
      </c>
    </row>
    <row r="760" spans="1:8" x14ac:dyDescent="0.25">
      <c r="A760" t="s">
        <v>1440</v>
      </c>
      <c r="B760" t="s">
        <v>37</v>
      </c>
      <c r="C760" t="s">
        <v>1856</v>
      </c>
      <c r="D760" t="s">
        <v>1857</v>
      </c>
      <c r="E760" t="s">
        <v>29</v>
      </c>
      <c r="F760" t="s">
        <v>97</v>
      </c>
      <c r="G760" t="s">
        <v>98</v>
      </c>
      <c r="H760" t="s">
        <v>1858</v>
      </c>
    </row>
    <row r="761" spans="1:8" x14ac:dyDescent="0.25">
      <c r="A761" t="s">
        <v>1440</v>
      </c>
      <c r="B761" t="s">
        <v>73</v>
      </c>
      <c r="C761" t="s">
        <v>1859</v>
      </c>
      <c r="D761" t="s">
        <v>1860</v>
      </c>
      <c r="E761" t="s">
        <v>29</v>
      </c>
      <c r="F761" t="s">
        <v>97</v>
      </c>
      <c r="G761" t="s">
        <v>98</v>
      </c>
      <c r="H761" t="s">
        <v>1861</v>
      </c>
    </row>
    <row r="762" spans="1:8" x14ac:dyDescent="0.25">
      <c r="A762" t="s">
        <v>1440</v>
      </c>
      <c r="B762" t="s">
        <v>91</v>
      </c>
      <c r="C762" t="s">
        <v>1862</v>
      </c>
      <c r="D762" t="s">
        <v>1863</v>
      </c>
      <c r="E762" t="s">
        <v>29</v>
      </c>
      <c r="F762" t="s">
        <v>97</v>
      </c>
      <c r="G762" t="s">
        <v>98</v>
      </c>
      <c r="H762" t="s">
        <v>1864</v>
      </c>
    </row>
    <row r="763" spans="1:8" x14ac:dyDescent="0.25">
      <c r="A763" t="s">
        <v>1440</v>
      </c>
      <c r="B763" t="s">
        <v>91</v>
      </c>
      <c r="C763" t="s">
        <v>1865</v>
      </c>
      <c r="D763" t="s">
        <v>1866</v>
      </c>
      <c r="E763" t="s">
        <v>35</v>
      </c>
      <c r="F763" t="s">
        <v>30</v>
      </c>
      <c r="G763" t="s">
        <v>14</v>
      </c>
      <c r="H763" t="s">
        <v>1867</v>
      </c>
    </row>
    <row r="764" spans="1:8" x14ac:dyDescent="0.25">
      <c r="A764" t="s">
        <v>1440</v>
      </c>
      <c r="B764" t="s">
        <v>42</v>
      </c>
      <c r="C764" t="s">
        <v>1868</v>
      </c>
      <c r="D764" t="s">
        <v>1869</v>
      </c>
      <c r="E764" t="s">
        <v>45</v>
      </c>
      <c r="F764" t="s">
        <v>30</v>
      </c>
      <c r="G764" t="s">
        <v>14</v>
      </c>
      <c r="H764" t="s">
        <v>1201</v>
      </c>
    </row>
    <row r="765" spans="1:8" x14ac:dyDescent="0.25">
      <c r="A765" t="s">
        <v>1440</v>
      </c>
      <c r="B765" t="s">
        <v>16</v>
      </c>
      <c r="C765" t="s">
        <v>1870</v>
      </c>
      <c r="D765" t="s">
        <v>1871</v>
      </c>
      <c r="E765" t="s">
        <v>29</v>
      </c>
      <c r="F765" t="s">
        <v>30</v>
      </c>
      <c r="G765" t="s">
        <v>14</v>
      </c>
      <c r="H765" t="s">
        <v>1222</v>
      </c>
    </row>
    <row r="766" spans="1:8" x14ac:dyDescent="0.25">
      <c r="A766" t="s">
        <v>1440</v>
      </c>
      <c r="B766" t="s">
        <v>73</v>
      </c>
      <c r="C766" t="s">
        <v>1872</v>
      </c>
      <c r="D766" t="s">
        <v>1873</v>
      </c>
      <c r="E766" t="s">
        <v>12</v>
      </c>
      <c r="F766" t="s">
        <v>13</v>
      </c>
      <c r="G766" t="s">
        <v>14</v>
      </c>
      <c r="H766" t="s">
        <v>155</v>
      </c>
    </row>
    <row r="767" spans="1:8" x14ac:dyDescent="0.25">
      <c r="A767" t="s">
        <v>1440</v>
      </c>
      <c r="B767" t="s">
        <v>91</v>
      </c>
      <c r="C767" t="s">
        <v>1874</v>
      </c>
      <c r="D767" t="s">
        <v>1875</v>
      </c>
      <c r="E767" t="s">
        <v>12</v>
      </c>
      <c r="F767" t="s">
        <v>13</v>
      </c>
      <c r="G767" t="s">
        <v>14</v>
      </c>
      <c r="H767" t="s">
        <v>237</v>
      </c>
    </row>
    <row r="768" spans="1:8" x14ac:dyDescent="0.25">
      <c r="A768" t="s">
        <v>1440</v>
      </c>
      <c r="B768" t="s">
        <v>16</v>
      </c>
      <c r="C768" t="s">
        <v>1876</v>
      </c>
      <c r="D768" t="s">
        <v>1877</v>
      </c>
      <c r="E768" t="s">
        <v>67</v>
      </c>
      <c r="F768" t="s">
        <v>24</v>
      </c>
      <c r="G768" t="s">
        <v>67</v>
      </c>
      <c r="H768" t="s">
        <v>900</v>
      </c>
    </row>
    <row r="769" spans="1:8" x14ac:dyDescent="0.25">
      <c r="A769" t="s">
        <v>1440</v>
      </c>
      <c r="B769" t="s">
        <v>91</v>
      </c>
      <c r="C769" t="s">
        <v>1878</v>
      </c>
      <c r="D769" t="s">
        <v>1879</v>
      </c>
      <c r="E769" t="s">
        <v>50</v>
      </c>
      <c r="F769" t="s">
        <v>71</v>
      </c>
      <c r="G769" t="s">
        <v>14</v>
      </c>
      <c r="H769" t="s">
        <v>237</v>
      </c>
    </row>
    <row r="770" spans="1:8" x14ac:dyDescent="0.25">
      <c r="A770" t="s">
        <v>1440</v>
      </c>
      <c r="B770" t="s">
        <v>42</v>
      </c>
      <c r="C770" t="s">
        <v>1880</v>
      </c>
      <c r="D770" t="s">
        <v>1881</v>
      </c>
      <c r="E770" t="s">
        <v>12</v>
      </c>
      <c r="F770" t="s">
        <v>13</v>
      </c>
      <c r="G770" t="s">
        <v>14</v>
      </c>
      <c r="H770" t="s">
        <v>64</v>
      </c>
    </row>
    <row r="771" spans="1:8" x14ac:dyDescent="0.25">
      <c r="A771" t="s">
        <v>1440</v>
      </c>
      <c r="B771" t="s">
        <v>91</v>
      </c>
      <c r="C771" t="s">
        <v>1882</v>
      </c>
      <c r="D771" t="s">
        <v>1883</v>
      </c>
      <c r="E771" t="s">
        <v>12</v>
      </c>
      <c r="F771" t="s">
        <v>13</v>
      </c>
      <c r="G771" t="s">
        <v>14</v>
      </c>
      <c r="H771" t="s">
        <v>1884</v>
      </c>
    </row>
    <row r="772" spans="1:8" x14ac:dyDescent="0.25">
      <c r="A772" t="s">
        <v>1440</v>
      </c>
      <c r="B772" t="s">
        <v>26</v>
      </c>
      <c r="C772" t="s">
        <v>1885</v>
      </c>
      <c r="D772" t="s">
        <v>1886</v>
      </c>
      <c r="E772" t="s">
        <v>116</v>
      </c>
      <c r="F772" t="s">
        <v>24</v>
      </c>
      <c r="G772" t="s">
        <v>14</v>
      </c>
      <c r="H772" t="s">
        <v>1887</v>
      </c>
    </row>
    <row r="773" spans="1:8" x14ac:dyDescent="0.25">
      <c r="A773" t="s">
        <v>1440</v>
      </c>
      <c r="B773" t="s">
        <v>37</v>
      </c>
      <c r="C773" t="s">
        <v>1888</v>
      </c>
      <c r="D773" t="s">
        <v>1889</v>
      </c>
      <c r="E773" t="s">
        <v>23</v>
      </c>
      <c r="F773" t="s">
        <v>24</v>
      </c>
      <c r="G773" t="s">
        <v>14</v>
      </c>
      <c r="H773" t="s">
        <v>234</v>
      </c>
    </row>
    <row r="774" spans="1:8" x14ac:dyDescent="0.25">
      <c r="A774" t="s">
        <v>1440</v>
      </c>
      <c r="B774" t="s">
        <v>77</v>
      </c>
      <c r="C774" t="s">
        <v>1890</v>
      </c>
      <c r="D774" t="s">
        <v>1891</v>
      </c>
      <c r="E774" t="s">
        <v>29</v>
      </c>
      <c r="F774" t="s">
        <v>24</v>
      </c>
      <c r="G774" t="s">
        <v>14</v>
      </c>
      <c r="H774" t="s">
        <v>1168</v>
      </c>
    </row>
    <row r="775" spans="1:8" x14ac:dyDescent="0.25">
      <c r="A775" t="s">
        <v>1440</v>
      </c>
      <c r="B775" t="s">
        <v>100</v>
      </c>
      <c r="C775" t="s">
        <v>1892</v>
      </c>
      <c r="D775" t="s">
        <v>1893</v>
      </c>
      <c r="E775" t="s">
        <v>116</v>
      </c>
      <c r="F775" t="s">
        <v>30</v>
      </c>
      <c r="G775" t="s">
        <v>14</v>
      </c>
      <c r="H775" t="s">
        <v>155</v>
      </c>
    </row>
    <row r="776" spans="1:8" x14ac:dyDescent="0.25">
      <c r="A776" t="s">
        <v>1440</v>
      </c>
      <c r="B776" t="s">
        <v>26</v>
      </c>
      <c r="C776" t="s">
        <v>1894</v>
      </c>
      <c r="D776" t="s">
        <v>1895</v>
      </c>
      <c r="E776" t="s">
        <v>29</v>
      </c>
      <c r="F776" t="s">
        <v>97</v>
      </c>
      <c r="G776" t="s">
        <v>98</v>
      </c>
      <c r="H776" t="s">
        <v>1896</v>
      </c>
    </row>
    <row r="777" spans="1:8" x14ac:dyDescent="0.25">
      <c r="A777" t="s">
        <v>1440</v>
      </c>
      <c r="B777" t="s">
        <v>73</v>
      </c>
      <c r="C777" t="s">
        <v>1897</v>
      </c>
      <c r="D777" t="s">
        <v>1898</v>
      </c>
      <c r="E777" t="s">
        <v>29</v>
      </c>
      <c r="F777" t="s">
        <v>30</v>
      </c>
      <c r="G777" t="s">
        <v>14</v>
      </c>
      <c r="H777" t="s">
        <v>1039</v>
      </c>
    </row>
    <row r="778" spans="1:8" x14ac:dyDescent="0.25">
      <c r="A778" t="s">
        <v>1440</v>
      </c>
      <c r="B778" t="s">
        <v>9</v>
      </c>
      <c r="C778" t="s">
        <v>1899</v>
      </c>
      <c r="D778" t="s">
        <v>1900</v>
      </c>
      <c r="E778" t="s">
        <v>12</v>
      </c>
      <c r="F778" t="s">
        <v>13</v>
      </c>
      <c r="G778" t="s">
        <v>14</v>
      </c>
      <c r="H778" t="s">
        <v>140</v>
      </c>
    </row>
    <row r="779" spans="1:8" x14ac:dyDescent="0.25">
      <c r="A779" t="s">
        <v>1440</v>
      </c>
      <c r="B779" t="s">
        <v>42</v>
      </c>
      <c r="C779" t="s">
        <v>1901</v>
      </c>
      <c r="D779" t="s">
        <v>1902</v>
      </c>
      <c r="E779" t="s">
        <v>29</v>
      </c>
      <c r="F779" t="s">
        <v>24</v>
      </c>
      <c r="G779" t="s">
        <v>14</v>
      </c>
      <c r="H779" t="s">
        <v>509</v>
      </c>
    </row>
    <row r="780" spans="1:8" x14ac:dyDescent="0.25">
      <c r="A780" t="s">
        <v>1440</v>
      </c>
      <c r="B780" t="s">
        <v>113</v>
      </c>
      <c r="C780" t="s">
        <v>1903</v>
      </c>
      <c r="D780" t="s">
        <v>1904</v>
      </c>
      <c r="E780" t="s">
        <v>35</v>
      </c>
      <c r="F780" t="s">
        <v>30</v>
      </c>
      <c r="G780" t="s">
        <v>14</v>
      </c>
      <c r="H780" t="s">
        <v>367</v>
      </c>
    </row>
    <row r="781" spans="1:8" x14ac:dyDescent="0.25">
      <c r="A781" t="s">
        <v>1440</v>
      </c>
      <c r="B781" t="s">
        <v>26</v>
      </c>
      <c r="C781" t="s">
        <v>1905</v>
      </c>
      <c r="D781" t="s">
        <v>1906</v>
      </c>
      <c r="E781" t="s">
        <v>29</v>
      </c>
      <c r="F781" t="s">
        <v>24</v>
      </c>
      <c r="G781" t="s">
        <v>14</v>
      </c>
      <c r="H781" t="s">
        <v>205</v>
      </c>
    </row>
    <row r="782" spans="1:8" x14ac:dyDescent="0.25">
      <c r="A782" t="s">
        <v>1440</v>
      </c>
      <c r="B782" t="s">
        <v>42</v>
      </c>
      <c r="C782" t="s">
        <v>1907</v>
      </c>
      <c r="D782" t="s">
        <v>1908</v>
      </c>
      <c r="E782" t="s">
        <v>29</v>
      </c>
      <c r="F782" t="s">
        <v>24</v>
      </c>
      <c r="G782" t="s">
        <v>14</v>
      </c>
      <c r="H782" t="s">
        <v>446</v>
      </c>
    </row>
    <row r="783" spans="1:8" x14ac:dyDescent="0.25">
      <c r="A783" t="s">
        <v>1440</v>
      </c>
      <c r="B783" t="s">
        <v>9</v>
      </c>
      <c r="C783" t="s">
        <v>1909</v>
      </c>
      <c r="D783" t="s">
        <v>1910</v>
      </c>
      <c r="E783" t="s">
        <v>40</v>
      </c>
      <c r="F783" t="s">
        <v>80</v>
      </c>
      <c r="G783" t="s">
        <v>14</v>
      </c>
      <c r="H783" t="s">
        <v>1911</v>
      </c>
    </row>
    <row r="784" spans="1:8" x14ac:dyDescent="0.25">
      <c r="A784" t="s">
        <v>1440</v>
      </c>
      <c r="B784" t="s">
        <v>16</v>
      </c>
      <c r="C784" t="s">
        <v>1912</v>
      </c>
      <c r="D784" t="s">
        <v>1913</v>
      </c>
      <c r="E784" t="s">
        <v>35</v>
      </c>
      <c r="F784" t="s">
        <v>24</v>
      </c>
      <c r="G784" t="s">
        <v>14</v>
      </c>
      <c r="H784" t="s">
        <v>72</v>
      </c>
    </row>
    <row r="785" spans="1:8" x14ac:dyDescent="0.25">
      <c r="A785" t="s">
        <v>1440</v>
      </c>
      <c r="B785" t="s">
        <v>91</v>
      </c>
      <c r="C785" t="s">
        <v>1914</v>
      </c>
      <c r="D785" t="s">
        <v>1914</v>
      </c>
      <c r="E785" t="s">
        <v>35</v>
      </c>
      <c r="F785" t="s">
        <v>24</v>
      </c>
      <c r="G785" t="s">
        <v>63</v>
      </c>
      <c r="H785" t="s">
        <v>1915</v>
      </c>
    </row>
    <row r="786" spans="1:8" x14ac:dyDescent="0.25">
      <c r="A786" t="s">
        <v>1440</v>
      </c>
      <c r="B786" t="s">
        <v>37</v>
      </c>
      <c r="C786" t="s">
        <v>1916</v>
      </c>
      <c r="D786" t="s">
        <v>1916</v>
      </c>
      <c r="E786" t="s">
        <v>40</v>
      </c>
      <c r="F786" t="s">
        <v>191</v>
      </c>
      <c r="G786" t="s">
        <v>63</v>
      </c>
      <c r="H786" t="s">
        <v>1917</v>
      </c>
    </row>
    <row r="787" spans="1:8" x14ac:dyDescent="0.25">
      <c r="A787" t="s">
        <v>1440</v>
      </c>
      <c r="B787" t="s">
        <v>37</v>
      </c>
      <c r="C787" t="s">
        <v>1918</v>
      </c>
      <c r="D787" t="s">
        <v>1919</v>
      </c>
      <c r="E787" t="s">
        <v>172</v>
      </c>
      <c r="F787" t="s">
        <v>51</v>
      </c>
      <c r="G787" t="s">
        <v>14</v>
      </c>
      <c r="H787" t="s">
        <v>1920</v>
      </c>
    </row>
    <row r="788" spans="1:8" x14ac:dyDescent="0.25">
      <c r="A788" t="s">
        <v>1440</v>
      </c>
      <c r="B788" t="s">
        <v>42</v>
      </c>
      <c r="C788" t="s">
        <v>1921</v>
      </c>
      <c r="D788" t="s">
        <v>1922</v>
      </c>
      <c r="E788" t="s">
        <v>172</v>
      </c>
      <c r="F788" t="s">
        <v>30</v>
      </c>
      <c r="G788" t="s">
        <v>14</v>
      </c>
      <c r="H788" t="s">
        <v>122</v>
      </c>
    </row>
    <row r="789" spans="1:8" x14ac:dyDescent="0.25">
      <c r="A789" t="s">
        <v>1440</v>
      </c>
      <c r="B789" t="s">
        <v>42</v>
      </c>
      <c r="C789" t="s">
        <v>1923</v>
      </c>
      <c r="D789" t="s">
        <v>1924</v>
      </c>
      <c r="E789" t="s">
        <v>50</v>
      </c>
      <c r="F789" t="s">
        <v>30</v>
      </c>
      <c r="G789" t="s">
        <v>14</v>
      </c>
      <c r="H789" t="s">
        <v>1925</v>
      </c>
    </row>
    <row r="790" spans="1:8" x14ac:dyDescent="0.25">
      <c r="A790" t="s">
        <v>1440</v>
      </c>
      <c r="B790" t="s">
        <v>73</v>
      </c>
      <c r="C790" t="s">
        <v>1926</v>
      </c>
      <c r="D790" t="s">
        <v>1927</v>
      </c>
      <c r="E790" t="s">
        <v>35</v>
      </c>
      <c r="F790" t="s">
        <v>30</v>
      </c>
      <c r="G790" t="s">
        <v>14</v>
      </c>
      <c r="H790" t="s">
        <v>36</v>
      </c>
    </row>
    <row r="791" spans="1:8" x14ac:dyDescent="0.25">
      <c r="A791" t="s">
        <v>1440</v>
      </c>
      <c r="B791" t="s">
        <v>26</v>
      </c>
      <c r="C791" t="s">
        <v>1928</v>
      </c>
      <c r="D791" t="s">
        <v>1929</v>
      </c>
      <c r="E791" t="s">
        <v>29</v>
      </c>
      <c r="F791" t="s">
        <v>30</v>
      </c>
      <c r="G791" t="s">
        <v>14</v>
      </c>
      <c r="H791" t="s">
        <v>1930</v>
      </c>
    </row>
    <row r="792" spans="1:8" x14ac:dyDescent="0.25">
      <c r="A792" t="s">
        <v>1440</v>
      </c>
      <c r="B792" t="s">
        <v>91</v>
      </c>
      <c r="C792" t="s">
        <v>1931</v>
      </c>
      <c r="D792" t="s">
        <v>1932</v>
      </c>
      <c r="E792" t="s">
        <v>45</v>
      </c>
      <c r="F792" t="s">
        <v>71</v>
      </c>
      <c r="G792" t="s">
        <v>14</v>
      </c>
      <c r="H792" t="s">
        <v>408</v>
      </c>
    </row>
    <row r="793" spans="1:8" x14ac:dyDescent="0.25">
      <c r="A793" t="s">
        <v>1440</v>
      </c>
      <c r="B793" t="s">
        <v>9</v>
      </c>
      <c r="C793" t="s">
        <v>1933</v>
      </c>
      <c r="D793" t="s">
        <v>1934</v>
      </c>
      <c r="E793" t="s">
        <v>12</v>
      </c>
      <c r="F793" t="s">
        <v>19</v>
      </c>
      <c r="G793" t="s">
        <v>14</v>
      </c>
      <c r="H793" t="s">
        <v>367</v>
      </c>
    </row>
    <row r="794" spans="1:8" x14ac:dyDescent="0.25">
      <c r="A794" t="s">
        <v>1440</v>
      </c>
      <c r="B794" t="s">
        <v>77</v>
      </c>
      <c r="C794" t="s">
        <v>1935</v>
      </c>
      <c r="D794" t="s">
        <v>1936</v>
      </c>
      <c r="E794" t="s">
        <v>116</v>
      </c>
      <c r="F794" t="s">
        <v>30</v>
      </c>
      <c r="G794" t="s">
        <v>14</v>
      </c>
      <c r="H794" t="s">
        <v>1867</v>
      </c>
    </row>
    <row r="795" spans="1:8" x14ac:dyDescent="0.25">
      <c r="A795" t="s">
        <v>1440</v>
      </c>
      <c r="B795" t="s">
        <v>91</v>
      </c>
      <c r="C795" t="s">
        <v>1937</v>
      </c>
      <c r="D795" t="s">
        <v>1938</v>
      </c>
      <c r="E795" t="s">
        <v>172</v>
      </c>
      <c r="F795" t="s">
        <v>30</v>
      </c>
      <c r="G795" t="s">
        <v>14</v>
      </c>
      <c r="H795" t="s">
        <v>131</v>
      </c>
    </row>
    <row r="796" spans="1:8" x14ac:dyDescent="0.25">
      <c r="A796" t="s">
        <v>1440</v>
      </c>
      <c r="B796" t="s">
        <v>42</v>
      </c>
      <c r="C796" t="s">
        <v>1939</v>
      </c>
      <c r="D796" t="s">
        <v>1940</v>
      </c>
      <c r="E796" t="s">
        <v>345</v>
      </c>
      <c r="F796" t="s">
        <v>30</v>
      </c>
      <c r="G796" t="s">
        <v>14</v>
      </c>
      <c r="H796" t="s">
        <v>140</v>
      </c>
    </row>
    <row r="797" spans="1:8" x14ac:dyDescent="0.25">
      <c r="A797" t="s">
        <v>1440</v>
      </c>
      <c r="B797" t="s">
        <v>77</v>
      </c>
      <c r="C797" t="s">
        <v>1941</v>
      </c>
      <c r="D797" t="s">
        <v>1942</v>
      </c>
      <c r="E797" t="s">
        <v>40</v>
      </c>
      <c r="F797" t="s">
        <v>80</v>
      </c>
      <c r="G797" t="s">
        <v>14</v>
      </c>
      <c r="H797" t="s">
        <v>112</v>
      </c>
    </row>
    <row r="798" spans="1:8" x14ac:dyDescent="0.25">
      <c r="A798" t="s">
        <v>1440</v>
      </c>
      <c r="B798" t="s">
        <v>16</v>
      </c>
      <c r="C798" t="s">
        <v>1943</v>
      </c>
      <c r="D798" t="s">
        <v>1944</v>
      </c>
      <c r="E798" t="s">
        <v>12</v>
      </c>
      <c r="F798" t="s">
        <v>19</v>
      </c>
      <c r="G798" t="s">
        <v>14</v>
      </c>
      <c r="H798" t="s">
        <v>1675</v>
      </c>
    </row>
    <row r="799" spans="1:8" x14ac:dyDescent="0.25">
      <c r="A799" t="s">
        <v>1440</v>
      </c>
      <c r="B799" t="s">
        <v>37</v>
      </c>
      <c r="C799" t="s">
        <v>1945</v>
      </c>
      <c r="D799" t="s">
        <v>1946</v>
      </c>
      <c r="E799" t="s">
        <v>35</v>
      </c>
      <c r="F799" t="s">
        <v>19</v>
      </c>
      <c r="G799" t="s">
        <v>14</v>
      </c>
      <c r="H799" t="s">
        <v>1947</v>
      </c>
    </row>
    <row r="800" spans="1:8" x14ac:dyDescent="0.25">
      <c r="A800" t="s">
        <v>1440</v>
      </c>
      <c r="B800" t="s">
        <v>37</v>
      </c>
      <c r="C800" t="s">
        <v>1948</v>
      </c>
      <c r="D800" t="s">
        <v>1949</v>
      </c>
      <c r="E800" t="s">
        <v>40</v>
      </c>
      <c r="F800" t="s">
        <v>80</v>
      </c>
      <c r="G800" t="s">
        <v>14</v>
      </c>
      <c r="H800" t="s">
        <v>748</v>
      </c>
    </row>
    <row r="801" spans="1:8" x14ac:dyDescent="0.25">
      <c r="A801" t="s">
        <v>1440</v>
      </c>
      <c r="B801" t="s">
        <v>42</v>
      </c>
      <c r="C801" t="s">
        <v>1950</v>
      </c>
      <c r="D801" t="s">
        <v>1950</v>
      </c>
      <c r="E801" t="s">
        <v>23</v>
      </c>
      <c r="F801" t="s">
        <v>24</v>
      </c>
      <c r="G801" t="s">
        <v>63</v>
      </c>
      <c r="H801" t="s">
        <v>509</v>
      </c>
    </row>
    <row r="802" spans="1:8" x14ac:dyDescent="0.25">
      <c r="A802" t="s">
        <v>1440</v>
      </c>
      <c r="B802" t="s">
        <v>16</v>
      </c>
      <c r="C802" t="s">
        <v>1951</v>
      </c>
      <c r="D802" t="s">
        <v>1952</v>
      </c>
      <c r="E802" t="s">
        <v>40</v>
      </c>
      <c r="F802" t="s">
        <v>80</v>
      </c>
      <c r="G802" t="s">
        <v>14</v>
      </c>
      <c r="H802" t="s">
        <v>1953</v>
      </c>
    </row>
    <row r="803" spans="1:8" x14ac:dyDescent="0.25">
      <c r="A803" t="s">
        <v>1440</v>
      </c>
      <c r="B803" t="s">
        <v>91</v>
      </c>
      <c r="C803" t="s">
        <v>1954</v>
      </c>
      <c r="D803" t="s">
        <v>1955</v>
      </c>
      <c r="E803" t="s">
        <v>1536</v>
      </c>
      <c r="F803" t="s">
        <v>30</v>
      </c>
      <c r="G803" t="s">
        <v>14</v>
      </c>
      <c r="H803" t="s">
        <v>1956</v>
      </c>
    </row>
    <row r="804" spans="1:8" x14ac:dyDescent="0.25">
      <c r="A804" t="s">
        <v>1440</v>
      </c>
      <c r="B804" t="s">
        <v>37</v>
      </c>
      <c r="C804" t="s">
        <v>1957</v>
      </c>
      <c r="D804" t="s">
        <v>1958</v>
      </c>
      <c r="E804" t="s">
        <v>35</v>
      </c>
      <c r="F804" t="s">
        <v>24</v>
      </c>
      <c r="G804" t="s">
        <v>14</v>
      </c>
      <c r="H804" t="s">
        <v>72</v>
      </c>
    </row>
    <row r="805" spans="1:8" x14ac:dyDescent="0.25">
      <c r="A805" t="s">
        <v>1440</v>
      </c>
      <c r="B805" t="s">
        <v>73</v>
      </c>
      <c r="C805" t="s">
        <v>1959</v>
      </c>
      <c r="D805" t="s">
        <v>1960</v>
      </c>
      <c r="E805" t="s">
        <v>23</v>
      </c>
      <c r="F805" t="s">
        <v>19</v>
      </c>
      <c r="G805" t="s">
        <v>14</v>
      </c>
      <c r="H805" t="s">
        <v>1961</v>
      </c>
    </row>
    <row r="806" spans="1:8" x14ac:dyDescent="0.25">
      <c r="A806" t="s">
        <v>1440</v>
      </c>
      <c r="B806" t="s">
        <v>42</v>
      </c>
      <c r="C806" t="s">
        <v>1962</v>
      </c>
      <c r="D806" t="s">
        <v>1963</v>
      </c>
      <c r="E806" t="s">
        <v>276</v>
      </c>
      <c r="F806" t="s">
        <v>51</v>
      </c>
      <c r="G806" t="s">
        <v>14</v>
      </c>
      <c r="H806" t="s">
        <v>1084</v>
      </c>
    </row>
    <row r="807" spans="1:8" x14ac:dyDescent="0.25">
      <c r="A807" t="s">
        <v>1440</v>
      </c>
      <c r="B807" t="s">
        <v>42</v>
      </c>
      <c r="C807" t="s">
        <v>1964</v>
      </c>
      <c r="D807" t="s">
        <v>1965</v>
      </c>
      <c r="E807" t="s">
        <v>12</v>
      </c>
      <c r="F807" t="s">
        <v>19</v>
      </c>
      <c r="G807" t="s">
        <v>14</v>
      </c>
      <c r="H807" t="s">
        <v>1966</v>
      </c>
    </row>
    <row r="808" spans="1:8" x14ac:dyDescent="0.25">
      <c r="A808" t="s">
        <v>1440</v>
      </c>
      <c r="B808" t="s">
        <v>91</v>
      </c>
      <c r="C808" t="s">
        <v>1967</v>
      </c>
      <c r="D808" t="s">
        <v>1968</v>
      </c>
      <c r="E808" t="s">
        <v>390</v>
      </c>
      <c r="F808" t="s">
        <v>51</v>
      </c>
      <c r="G808" t="s">
        <v>14</v>
      </c>
      <c r="H808" t="s">
        <v>1969</v>
      </c>
    </row>
    <row r="809" spans="1:8" x14ac:dyDescent="0.25">
      <c r="A809" t="s">
        <v>1440</v>
      </c>
      <c r="B809" t="s">
        <v>53</v>
      </c>
      <c r="C809" t="s">
        <v>1970</v>
      </c>
      <c r="D809" t="s">
        <v>1971</v>
      </c>
      <c r="E809" t="s">
        <v>50</v>
      </c>
      <c r="F809" t="s">
        <v>51</v>
      </c>
      <c r="G809" t="s">
        <v>14</v>
      </c>
      <c r="H809" t="s">
        <v>1972</v>
      </c>
    </row>
    <row r="810" spans="1:8" x14ac:dyDescent="0.25">
      <c r="A810" t="s">
        <v>1440</v>
      </c>
      <c r="B810" t="s">
        <v>37</v>
      </c>
      <c r="C810" t="s">
        <v>1973</v>
      </c>
      <c r="D810" t="s">
        <v>1974</v>
      </c>
      <c r="E810" t="s">
        <v>12</v>
      </c>
      <c r="F810" t="s">
        <v>19</v>
      </c>
      <c r="G810" t="s">
        <v>14</v>
      </c>
      <c r="H810" t="s">
        <v>645</v>
      </c>
    </row>
    <row r="811" spans="1:8" x14ac:dyDescent="0.25">
      <c r="A811" t="s">
        <v>1440</v>
      </c>
      <c r="B811" t="s">
        <v>77</v>
      </c>
      <c r="C811" t="s">
        <v>1975</v>
      </c>
      <c r="D811" t="s">
        <v>1976</v>
      </c>
      <c r="E811" t="s">
        <v>29</v>
      </c>
      <c r="F811" t="s">
        <v>24</v>
      </c>
      <c r="G811" t="s">
        <v>14</v>
      </c>
      <c r="H811" t="s">
        <v>462</v>
      </c>
    </row>
    <row r="812" spans="1:8" x14ac:dyDescent="0.25">
      <c r="A812" t="s">
        <v>1440</v>
      </c>
      <c r="B812" t="s">
        <v>100</v>
      </c>
      <c r="C812" t="s">
        <v>1977</v>
      </c>
      <c r="D812" t="s">
        <v>1978</v>
      </c>
      <c r="E812" t="s">
        <v>12</v>
      </c>
      <c r="F812" t="s">
        <v>30</v>
      </c>
      <c r="G812" t="s">
        <v>14</v>
      </c>
      <c r="H812" t="s">
        <v>1979</v>
      </c>
    </row>
    <row r="813" spans="1:8" x14ac:dyDescent="0.25">
      <c r="A813" t="s">
        <v>1440</v>
      </c>
      <c r="B813" t="s">
        <v>37</v>
      </c>
      <c r="C813" t="s">
        <v>1980</v>
      </c>
      <c r="D813" t="s">
        <v>1981</v>
      </c>
      <c r="E813" t="s">
        <v>40</v>
      </c>
      <c r="F813" t="s">
        <v>80</v>
      </c>
      <c r="G813" t="s">
        <v>14</v>
      </c>
      <c r="H813" t="s">
        <v>15</v>
      </c>
    </row>
    <row r="814" spans="1:8" x14ac:dyDescent="0.25">
      <c r="A814" t="s">
        <v>1440</v>
      </c>
      <c r="B814" t="s">
        <v>26</v>
      </c>
      <c r="C814" t="s">
        <v>1982</v>
      </c>
      <c r="D814" t="s">
        <v>1983</v>
      </c>
      <c r="E814" t="s">
        <v>29</v>
      </c>
      <c r="F814" t="s">
        <v>30</v>
      </c>
      <c r="G814" t="s">
        <v>14</v>
      </c>
      <c r="H814" t="s">
        <v>122</v>
      </c>
    </row>
    <row r="815" spans="1:8" x14ac:dyDescent="0.25">
      <c r="A815" t="s">
        <v>1440</v>
      </c>
      <c r="B815" t="s">
        <v>26</v>
      </c>
      <c r="C815" t="s">
        <v>1984</v>
      </c>
      <c r="D815" t="s">
        <v>1985</v>
      </c>
      <c r="E815" t="s">
        <v>720</v>
      </c>
      <c r="F815" t="s">
        <v>19</v>
      </c>
      <c r="G815" t="s">
        <v>14</v>
      </c>
      <c r="H815" t="s">
        <v>1986</v>
      </c>
    </row>
    <row r="816" spans="1:8" x14ac:dyDescent="0.25">
      <c r="A816" t="s">
        <v>1440</v>
      </c>
      <c r="B816" t="s">
        <v>16</v>
      </c>
      <c r="C816" t="s">
        <v>1987</v>
      </c>
      <c r="D816" t="s">
        <v>1988</v>
      </c>
      <c r="E816" t="s">
        <v>35</v>
      </c>
      <c r="F816" t="s">
        <v>19</v>
      </c>
      <c r="G816" t="s">
        <v>14</v>
      </c>
      <c r="H816" t="s">
        <v>109</v>
      </c>
    </row>
    <row r="817" spans="1:8" x14ac:dyDescent="0.25">
      <c r="A817" t="s">
        <v>1440</v>
      </c>
      <c r="B817" t="s">
        <v>73</v>
      </c>
      <c r="C817" t="s">
        <v>1989</v>
      </c>
      <c r="D817" t="s">
        <v>1990</v>
      </c>
      <c r="E817" t="s">
        <v>45</v>
      </c>
      <c r="F817" t="s">
        <v>24</v>
      </c>
      <c r="G817" t="s">
        <v>14</v>
      </c>
      <c r="H817" t="s">
        <v>1991</v>
      </c>
    </row>
    <row r="818" spans="1:8" x14ac:dyDescent="0.25">
      <c r="A818" t="s">
        <v>1440</v>
      </c>
      <c r="B818" t="s">
        <v>42</v>
      </c>
      <c r="C818" t="s">
        <v>1992</v>
      </c>
      <c r="D818" t="s">
        <v>1993</v>
      </c>
      <c r="E818" t="s">
        <v>276</v>
      </c>
      <c r="F818" t="s">
        <v>51</v>
      </c>
      <c r="G818" t="s">
        <v>14</v>
      </c>
      <c r="H818" t="s">
        <v>1994</v>
      </c>
    </row>
    <row r="819" spans="1:8" x14ac:dyDescent="0.25">
      <c r="A819" t="s">
        <v>1440</v>
      </c>
      <c r="B819" t="s">
        <v>37</v>
      </c>
      <c r="C819" t="s">
        <v>1995</v>
      </c>
      <c r="D819" t="s">
        <v>1996</v>
      </c>
      <c r="E819" t="s">
        <v>29</v>
      </c>
      <c r="F819" t="s">
        <v>19</v>
      </c>
      <c r="G819" t="s">
        <v>14</v>
      </c>
      <c r="H819" t="s">
        <v>1997</v>
      </c>
    </row>
    <row r="820" spans="1:8" x14ac:dyDescent="0.25">
      <c r="A820" t="s">
        <v>1440</v>
      </c>
      <c r="B820" t="s">
        <v>9</v>
      </c>
      <c r="C820" t="s">
        <v>1998</v>
      </c>
      <c r="D820" t="s">
        <v>1999</v>
      </c>
      <c r="E820" t="s">
        <v>35</v>
      </c>
      <c r="F820" t="s">
        <v>24</v>
      </c>
      <c r="G820" t="s">
        <v>14</v>
      </c>
      <c r="H820" t="s">
        <v>140</v>
      </c>
    </row>
    <row r="821" spans="1:8" x14ac:dyDescent="0.25">
      <c r="A821" t="s">
        <v>1440</v>
      </c>
      <c r="B821" t="s">
        <v>100</v>
      </c>
      <c r="C821" t="s">
        <v>2000</v>
      </c>
      <c r="D821" t="s">
        <v>2001</v>
      </c>
      <c r="E821" t="s">
        <v>172</v>
      </c>
      <c r="F821" t="s">
        <v>30</v>
      </c>
      <c r="G821" t="s">
        <v>14</v>
      </c>
      <c r="H821" t="s">
        <v>1436</v>
      </c>
    </row>
    <row r="822" spans="1:8" x14ac:dyDescent="0.25">
      <c r="A822" t="s">
        <v>1440</v>
      </c>
      <c r="B822" t="s">
        <v>16</v>
      </c>
      <c r="C822" t="s">
        <v>2002</v>
      </c>
      <c r="D822" t="s">
        <v>2003</v>
      </c>
      <c r="E822" t="s">
        <v>40</v>
      </c>
      <c r="F822" t="s">
        <v>80</v>
      </c>
      <c r="G822" t="s">
        <v>14</v>
      </c>
      <c r="H822" t="s">
        <v>2004</v>
      </c>
    </row>
    <row r="823" spans="1:8" x14ac:dyDescent="0.25">
      <c r="A823" t="s">
        <v>1440</v>
      </c>
      <c r="B823" t="s">
        <v>16</v>
      </c>
      <c r="C823" t="s">
        <v>2005</v>
      </c>
      <c r="D823" t="s">
        <v>2005</v>
      </c>
      <c r="E823" t="s">
        <v>35</v>
      </c>
      <c r="F823" t="s">
        <v>24</v>
      </c>
      <c r="G823" t="s">
        <v>63</v>
      </c>
      <c r="H823" t="s">
        <v>192</v>
      </c>
    </row>
    <row r="824" spans="1:8" x14ac:dyDescent="0.25">
      <c r="A824" t="s">
        <v>1440</v>
      </c>
      <c r="B824" t="s">
        <v>26</v>
      </c>
      <c r="C824" t="s">
        <v>2006</v>
      </c>
      <c r="D824" t="s">
        <v>2007</v>
      </c>
      <c r="E824" t="s">
        <v>35</v>
      </c>
      <c r="F824" t="s">
        <v>30</v>
      </c>
      <c r="G824" t="s">
        <v>14</v>
      </c>
      <c r="H824" t="s">
        <v>2008</v>
      </c>
    </row>
    <row r="825" spans="1:8" x14ac:dyDescent="0.25">
      <c r="A825" t="s">
        <v>1440</v>
      </c>
      <c r="B825" t="s">
        <v>2009</v>
      </c>
      <c r="C825" t="s">
        <v>2010</v>
      </c>
      <c r="D825" t="s">
        <v>2011</v>
      </c>
      <c r="E825" t="s">
        <v>172</v>
      </c>
      <c r="F825" t="s">
        <v>30</v>
      </c>
      <c r="G825" t="s">
        <v>56</v>
      </c>
      <c r="H825" t="s">
        <v>1647</v>
      </c>
    </row>
    <row r="826" spans="1:8" x14ac:dyDescent="0.25">
      <c r="A826" t="s">
        <v>1440</v>
      </c>
      <c r="B826" t="s">
        <v>16</v>
      </c>
      <c r="C826" t="s">
        <v>2012</v>
      </c>
      <c r="D826" t="s">
        <v>2013</v>
      </c>
      <c r="E826" t="s">
        <v>29</v>
      </c>
      <c r="F826" t="s">
        <v>24</v>
      </c>
      <c r="G826" t="s">
        <v>14</v>
      </c>
      <c r="H826" t="s">
        <v>375</v>
      </c>
    </row>
    <row r="827" spans="1:8" x14ac:dyDescent="0.25">
      <c r="A827" t="s">
        <v>1440</v>
      </c>
      <c r="B827" t="s">
        <v>9</v>
      </c>
      <c r="C827" t="s">
        <v>2014</v>
      </c>
      <c r="D827" t="s">
        <v>2015</v>
      </c>
      <c r="E827" t="s">
        <v>60</v>
      </c>
      <c r="F827" t="s">
        <v>13</v>
      </c>
      <c r="G827" t="s">
        <v>14</v>
      </c>
      <c r="H827" t="s">
        <v>582</v>
      </c>
    </row>
    <row r="828" spans="1:8" x14ac:dyDescent="0.25">
      <c r="A828" t="s">
        <v>1440</v>
      </c>
      <c r="B828" t="s">
        <v>42</v>
      </c>
      <c r="C828" t="s">
        <v>2016</v>
      </c>
      <c r="D828" t="s">
        <v>2017</v>
      </c>
      <c r="E828" t="s">
        <v>40</v>
      </c>
      <c r="F828" t="s">
        <v>80</v>
      </c>
      <c r="G828" t="s">
        <v>14</v>
      </c>
      <c r="H828" t="s">
        <v>2018</v>
      </c>
    </row>
    <row r="829" spans="1:8" x14ac:dyDescent="0.25">
      <c r="A829" t="s">
        <v>1440</v>
      </c>
      <c r="B829" t="s">
        <v>9</v>
      </c>
      <c r="C829" t="s">
        <v>2019</v>
      </c>
      <c r="D829" t="s">
        <v>2020</v>
      </c>
      <c r="E829" t="s">
        <v>29</v>
      </c>
      <c r="F829" t="s">
        <v>13</v>
      </c>
      <c r="G829" t="s">
        <v>56</v>
      </c>
      <c r="H829" t="s">
        <v>140</v>
      </c>
    </row>
    <row r="830" spans="1:8" x14ac:dyDescent="0.25">
      <c r="A830" t="s">
        <v>1440</v>
      </c>
      <c r="B830" t="s">
        <v>16</v>
      </c>
      <c r="C830" t="s">
        <v>2021</v>
      </c>
      <c r="D830" t="s">
        <v>2022</v>
      </c>
      <c r="E830" t="s">
        <v>23</v>
      </c>
      <c r="F830" t="s">
        <v>24</v>
      </c>
      <c r="G830" t="s">
        <v>56</v>
      </c>
      <c r="H830" t="s">
        <v>2023</v>
      </c>
    </row>
    <row r="831" spans="1:8" x14ac:dyDescent="0.25">
      <c r="A831" t="s">
        <v>1440</v>
      </c>
      <c r="B831" t="s">
        <v>9</v>
      </c>
      <c r="C831" t="s">
        <v>2024</v>
      </c>
      <c r="D831" t="s">
        <v>2025</v>
      </c>
      <c r="E831" t="s">
        <v>60</v>
      </c>
      <c r="F831" t="s">
        <v>71</v>
      </c>
      <c r="G831" t="s">
        <v>14</v>
      </c>
      <c r="H831" t="s">
        <v>2026</v>
      </c>
    </row>
    <row r="832" spans="1:8" x14ac:dyDescent="0.25">
      <c r="A832" t="s">
        <v>1440</v>
      </c>
      <c r="B832" t="s">
        <v>42</v>
      </c>
      <c r="C832" t="s">
        <v>2027</v>
      </c>
      <c r="D832" t="s">
        <v>2028</v>
      </c>
      <c r="E832" t="s">
        <v>172</v>
      </c>
      <c r="F832" t="s">
        <v>30</v>
      </c>
      <c r="G832" t="s">
        <v>14</v>
      </c>
      <c r="H832" t="s">
        <v>72</v>
      </c>
    </row>
    <row r="833" spans="1:8" x14ac:dyDescent="0.25">
      <c r="A833" t="s">
        <v>1440</v>
      </c>
      <c r="B833" t="s">
        <v>26</v>
      </c>
      <c r="C833" t="s">
        <v>2029</v>
      </c>
      <c r="D833" t="s">
        <v>2030</v>
      </c>
      <c r="E833" t="s">
        <v>505</v>
      </c>
      <c r="F833" t="s">
        <v>51</v>
      </c>
      <c r="G833" t="s">
        <v>14</v>
      </c>
      <c r="H833" t="s">
        <v>68</v>
      </c>
    </row>
    <row r="834" spans="1:8" x14ac:dyDescent="0.25">
      <c r="A834" t="s">
        <v>1440</v>
      </c>
      <c r="B834" t="s">
        <v>37</v>
      </c>
      <c r="C834" t="s">
        <v>2031</v>
      </c>
      <c r="D834" t="s">
        <v>2032</v>
      </c>
      <c r="E834" t="s">
        <v>29</v>
      </c>
      <c r="F834" t="s">
        <v>30</v>
      </c>
      <c r="G834" t="s">
        <v>14</v>
      </c>
      <c r="H834" t="s">
        <v>378</v>
      </c>
    </row>
    <row r="835" spans="1:8" x14ac:dyDescent="0.25">
      <c r="A835" t="s">
        <v>1440</v>
      </c>
      <c r="B835" t="s">
        <v>77</v>
      </c>
      <c r="C835" t="s">
        <v>2033</v>
      </c>
      <c r="D835" t="s">
        <v>2034</v>
      </c>
      <c r="E835" t="s">
        <v>12</v>
      </c>
      <c r="F835" t="s">
        <v>19</v>
      </c>
      <c r="G835" t="s">
        <v>14</v>
      </c>
      <c r="H835" t="s">
        <v>1469</v>
      </c>
    </row>
    <row r="836" spans="1:8" x14ac:dyDescent="0.25">
      <c r="A836" t="s">
        <v>1440</v>
      </c>
      <c r="B836" t="s">
        <v>42</v>
      </c>
      <c r="C836" t="s">
        <v>2035</v>
      </c>
      <c r="D836" t="s">
        <v>2036</v>
      </c>
      <c r="E836" t="s">
        <v>29</v>
      </c>
      <c r="F836" t="s">
        <v>19</v>
      </c>
      <c r="G836" t="s">
        <v>14</v>
      </c>
      <c r="H836" t="s">
        <v>378</v>
      </c>
    </row>
    <row r="837" spans="1:8" x14ac:dyDescent="0.25">
      <c r="A837" t="s">
        <v>1440</v>
      </c>
      <c r="B837" t="s">
        <v>26</v>
      </c>
      <c r="C837" t="s">
        <v>2037</v>
      </c>
      <c r="D837" t="s">
        <v>2037</v>
      </c>
      <c r="E837" t="s">
        <v>12</v>
      </c>
      <c r="F837" t="s">
        <v>13</v>
      </c>
      <c r="G837" t="s">
        <v>63</v>
      </c>
      <c r="H837" t="s">
        <v>2038</v>
      </c>
    </row>
    <row r="838" spans="1:8" x14ac:dyDescent="0.25">
      <c r="A838" t="s">
        <v>1440</v>
      </c>
      <c r="B838" t="s">
        <v>9</v>
      </c>
      <c r="C838" t="s">
        <v>2039</v>
      </c>
      <c r="D838" t="s">
        <v>2039</v>
      </c>
      <c r="E838" t="s">
        <v>641</v>
      </c>
      <c r="F838" t="s">
        <v>191</v>
      </c>
      <c r="G838" t="s">
        <v>63</v>
      </c>
      <c r="H838" t="s">
        <v>352</v>
      </c>
    </row>
    <row r="839" spans="1:8" x14ac:dyDescent="0.25">
      <c r="A839" t="s">
        <v>1440</v>
      </c>
      <c r="B839" t="s">
        <v>9</v>
      </c>
      <c r="C839" t="s">
        <v>2040</v>
      </c>
      <c r="D839" t="s">
        <v>2041</v>
      </c>
      <c r="E839" t="s">
        <v>23</v>
      </c>
      <c r="F839" t="s">
        <v>24</v>
      </c>
      <c r="G839" t="s">
        <v>14</v>
      </c>
      <c r="H839" t="s">
        <v>748</v>
      </c>
    </row>
    <row r="840" spans="1:8" x14ac:dyDescent="0.25">
      <c r="A840" t="s">
        <v>1440</v>
      </c>
      <c r="B840" t="s">
        <v>37</v>
      </c>
      <c r="C840" t="s">
        <v>1391</v>
      </c>
      <c r="D840" t="s">
        <v>2042</v>
      </c>
      <c r="E840" t="s">
        <v>12</v>
      </c>
      <c r="F840" t="s">
        <v>13</v>
      </c>
      <c r="G840" t="s">
        <v>14</v>
      </c>
      <c r="H840" t="s">
        <v>587</v>
      </c>
    </row>
    <row r="841" spans="1:8" x14ac:dyDescent="0.25">
      <c r="A841" t="s">
        <v>1440</v>
      </c>
      <c r="B841" t="s">
        <v>113</v>
      </c>
      <c r="C841" t="s">
        <v>2043</v>
      </c>
      <c r="D841" t="s">
        <v>2044</v>
      </c>
      <c r="E841" t="s">
        <v>29</v>
      </c>
      <c r="F841" t="s">
        <v>30</v>
      </c>
      <c r="G841" t="s">
        <v>56</v>
      </c>
      <c r="H841" t="s">
        <v>828</v>
      </c>
    </row>
    <row r="842" spans="1:8" x14ac:dyDescent="0.25">
      <c r="A842" t="s">
        <v>1440</v>
      </c>
      <c r="B842" t="s">
        <v>26</v>
      </c>
      <c r="C842" t="s">
        <v>2045</v>
      </c>
      <c r="D842" t="s">
        <v>2046</v>
      </c>
      <c r="E842" t="s">
        <v>2047</v>
      </c>
      <c r="F842" t="s">
        <v>191</v>
      </c>
      <c r="G842" t="s">
        <v>56</v>
      </c>
      <c r="H842" t="s">
        <v>506</v>
      </c>
    </row>
    <row r="843" spans="1:8" x14ac:dyDescent="0.25">
      <c r="A843" t="s">
        <v>1440</v>
      </c>
      <c r="B843" t="s">
        <v>9</v>
      </c>
      <c r="C843" t="s">
        <v>2048</v>
      </c>
      <c r="D843" t="s">
        <v>2049</v>
      </c>
      <c r="E843" t="s">
        <v>172</v>
      </c>
      <c r="F843" t="s">
        <v>30</v>
      </c>
      <c r="G843" t="s">
        <v>56</v>
      </c>
      <c r="H843" t="s">
        <v>375</v>
      </c>
    </row>
    <row r="844" spans="1:8" x14ac:dyDescent="0.25">
      <c r="A844" t="s">
        <v>1440</v>
      </c>
      <c r="B844" t="s">
        <v>91</v>
      </c>
      <c r="C844" t="s">
        <v>2050</v>
      </c>
      <c r="D844" t="s">
        <v>2051</v>
      </c>
      <c r="E844" t="s">
        <v>29</v>
      </c>
      <c r="F844" t="s">
        <v>97</v>
      </c>
      <c r="G844" t="s">
        <v>98</v>
      </c>
      <c r="H844" t="s">
        <v>1896</v>
      </c>
    </row>
    <row r="845" spans="1:8" x14ac:dyDescent="0.25">
      <c r="A845" t="s">
        <v>1440</v>
      </c>
      <c r="B845" t="s">
        <v>37</v>
      </c>
      <c r="C845" t="s">
        <v>2052</v>
      </c>
      <c r="D845" t="s">
        <v>2053</v>
      </c>
      <c r="E845" t="s">
        <v>29</v>
      </c>
      <c r="F845" t="s">
        <v>30</v>
      </c>
      <c r="G845" t="s">
        <v>14</v>
      </c>
      <c r="H845" t="s">
        <v>31</v>
      </c>
    </row>
    <row r="846" spans="1:8" x14ac:dyDescent="0.25">
      <c r="A846" t="s">
        <v>1440</v>
      </c>
      <c r="B846" t="s">
        <v>113</v>
      </c>
      <c r="C846" t="s">
        <v>2054</v>
      </c>
      <c r="D846" t="s">
        <v>2055</v>
      </c>
      <c r="E846" t="s">
        <v>29</v>
      </c>
      <c r="F846" t="s">
        <v>30</v>
      </c>
      <c r="G846" t="s">
        <v>14</v>
      </c>
      <c r="H846" t="s">
        <v>2056</v>
      </c>
    </row>
    <row r="847" spans="1:8" x14ac:dyDescent="0.25">
      <c r="A847" t="s">
        <v>1440</v>
      </c>
      <c r="B847" t="s">
        <v>73</v>
      </c>
      <c r="C847" t="s">
        <v>2057</v>
      </c>
      <c r="D847" t="s">
        <v>2058</v>
      </c>
      <c r="E847" t="s">
        <v>12</v>
      </c>
      <c r="F847" t="s">
        <v>13</v>
      </c>
      <c r="G847" t="s">
        <v>14</v>
      </c>
      <c r="H847" t="s">
        <v>1187</v>
      </c>
    </row>
    <row r="848" spans="1:8" x14ac:dyDescent="0.25">
      <c r="A848" t="s">
        <v>1440</v>
      </c>
      <c r="B848" t="s">
        <v>100</v>
      </c>
      <c r="C848" t="s">
        <v>2059</v>
      </c>
      <c r="D848" t="s">
        <v>2060</v>
      </c>
      <c r="E848" t="s">
        <v>60</v>
      </c>
      <c r="F848" t="s">
        <v>71</v>
      </c>
      <c r="G848" t="s">
        <v>14</v>
      </c>
      <c r="H848" t="s">
        <v>903</v>
      </c>
    </row>
    <row r="849" spans="1:8" x14ac:dyDescent="0.25">
      <c r="A849" t="s">
        <v>1440</v>
      </c>
      <c r="B849" t="s">
        <v>42</v>
      </c>
      <c r="C849" t="s">
        <v>2061</v>
      </c>
      <c r="D849" t="s">
        <v>2062</v>
      </c>
      <c r="E849" t="s">
        <v>45</v>
      </c>
      <c r="F849" t="s">
        <v>30</v>
      </c>
      <c r="G849" t="s">
        <v>14</v>
      </c>
      <c r="H849" t="s">
        <v>823</v>
      </c>
    </row>
    <row r="850" spans="1:8" x14ac:dyDescent="0.25">
      <c r="A850" t="s">
        <v>1440</v>
      </c>
      <c r="B850" t="s">
        <v>26</v>
      </c>
      <c r="C850" t="s">
        <v>2063</v>
      </c>
      <c r="D850" t="s">
        <v>2064</v>
      </c>
      <c r="E850" t="s">
        <v>12</v>
      </c>
      <c r="F850" t="s">
        <v>13</v>
      </c>
      <c r="G850" t="s">
        <v>14</v>
      </c>
      <c r="H850" t="s">
        <v>375</v>
      </c>
    </row>
    <row r="851" spans="1:8" x14ac:dyDescent="0.25">
      <c r="A851" t="s">
        <v>1440</v>
      </c>
      <c r="B851" t="s">
        <v>37</v>
      </c>
      <c r="C851" t="s">
        <v>2065</v>
      </c>
      <c r="D851" t="s">
        <v>2066</v>
      </c>
      <c r="E851" t="s">
        <v>116</v>
      </c>
      <c r="F851" t="s">
        <v>30</v>
      </c>
      <c r="G851" t="s">
        <v>14</v>
      </c>
      <c r="H851" t="s">
        <v>140</v>
      </c>
    </row>
    <row r="852" spans="1:8" x14ac:dyDescent="0.25">
      <c r="A852" t="s">
        <v>1440</v>
      </c>
      <c r="B852" t="s">
        <v>16</v>
      </c>
      <c r="C852" t="s">
        <v>2067</v>
      </c>
      <c r="D852" t="s">
        <v>2068</v>
      </c>
      <c r="E852" t="s">
        <v>2069</v>
      </c>
      <c r="F852" t="s">
        <v>191</v>
      </c>
      <c r="G852" t="s">
        <v>56</v>
      </c>
      <c r="H852" t="s">
        <v>217</v>
      </c>
    </row>
    <row r="853" spans="1:8" x14ac:dyDescent="0.25">
      <c r="A853" t="s">
        <v>1440</v>
      </c>
      <c r="B853" t="s">
        <v>113</v>
      </c>
      <c r="C853" t="s">
        <v>2070</v>
      </c>
      <c r="D853" t="s">
        <v>2071</v>
      </c>
      <c r="E853" t="s">
        <v>35</v>
      </c>
      <c r="F853" t="s">
        <v>24</v>
      </c>
      <c r="G853" t="s">
        <v>14</v>
      </c>
      <c r="H853" t="s">
        <v>367</v>
      </c>
    </row>
    <row r="854" spans="1:8" x14ac:dyDescent="0.25">
      <c r="A854" t="s">
        <v>1440</v>
      </c>
      <c r="B854" t="s">
        <v>91</v>
      </c>
      <c r="C854" t="s">
        <v>2072</v>
      </c>
      <c r="D854" t="s">
        <v>2073</v>
      </c>
      <c r="E854" t="s">
        <v>467</v>
      </c>
      <c r="F854" t="s">
        <v>51</v>
      </c>
      <c r="G854" t="s">
        <v>14</v>
      </c>
      <c r="H854" t="s">
        <v>2074</v>
      </c>
    </row>
    <row r="855" spans="1:8" x14ac:dyDescent="0.25">
      <c r="A855" t="s">
        <v>1440</v>
      </c>
      <c r="B855" t="s">
        <v>77</v>
      </c>
      <c r="C855" t="s">
        <v>2075</v>
      </c>
      <c r="D855" t="s">
        <v>2076</v>
      </c>
      <c r="E855" t="s">
        <v>45</v>
      </c>
      <c r="F855" t="s">
        <v>71</v>
      </c>
      <c r="G855" t="s">
        <v>14</v>
      </c>
      <c r="H855" t="s">
        <v>36</v>
      </c>
    </row>
    <row r="856" spans="1:8" x14ac:dyDescent="0.25">
      <c r="A856" t="s">
        <v>1440</v>
      </c>
      <c r="B856" t="s">
        <v>37</v>
      </c>
      <c r="C856" t="s">
        <v>2077</v>
      </c>
      <c r="D856" t="s">
        <v>2078</v>
      </c>
      <c r="E856" t="s">
        <v>635</v>
      </c>
      <c r="F856" t="s">
        <v>51</v>
      </c>
      <c r="G856" t="s">
        <v>14</v>
      </c>
      <c r="H856" t="s">
        <v>2079</v>
      </c>
    </row>
    <row r="857" spans="1:8" x14ac:dyDescent="0.25">
      <c r="A857" t="s">
        <v>1440</v>
      </c>
      <c r="B857" t="s">
        <v>26</v>
      </c>
      <c r="C857" t="s">
        <v>2080</v>
      </c>
      <c r="D857" t="s">
        <v>2081</v>
      </c>
      <c r="E857" t="s">
        <v>12</v>
      </c>
      <c r="F857" t="s">
        <v>30</v>
      </c>
      <c r="G857" t="s">
        <v>14</v>
      </c>
      <c r="H857" t="s">
        <v>2082</v>
      </c>
    </row>
    <row r="858" spans="1:8" x14ac:dyDescent="0.25">
      <c r="A858" t="s">
        <v>1440</v>
      </c>
      <c r="B858" t="s">
        <v>37</v>
      </c>
      <c r="C858" t="s">
        <v>2083</v>
      </c>
      <c r="D858" t="s">
        <v>2084</v>
      </c>
      <c r="E858" t="s">
        <v>35</v>
      </c>
      <c r="F858" t="s">
        <v>24</v>
      </c>
      <c r="G858" t="s">
        <v>14</v>
      </c>
      <c r="H858" t="s">
        <v>122</v>
      </c>
    </row>
    <row r="859" spans="1:8" x14ac:dyDescent="0.25">
      <c r="A859" t="s">
        <v>1440</v>
      </c>
      <c r="B859" t="s">
        <v>37</v>
      </c>
      <c r="C859" t="s">
        <v>2085</v>
      </c>
      <c r="D859" t="s">
        <v>2086</v>
      </c>
      <c r="E859" t="s">
        <v>50</v>
      </c>
      <c r="F859" t="s">
        <v>71</v>
      </c>
      <c r="G859" t="s">
        <v>14</v>
      </c>
      <c r="H859" t="s">
        <v>2087</v>
      </c>
    </row>
    <row r="860" spans="1:8" x14ac:dyDescent="0.25">
      <c r="A860" t="s">
        <v>1440</v>
      </c>
      <c r="B860" t="s">
        <v>26</v>
      </c>
      <c r="C860" t="s">
        <v>2088</v>
      </c>
      <c r="D860" t="s">
        <v>2089</v>
      </c>
      <c r="E860" t="s">
        <v>50</v>
      </c>
      <c r="F860" t="s">
        <v>24</v>
      </c>
      <c r="G860" t="s">
        <v>14</v>
      </c>
      <c r="H860" t="s">
        <v>705</v>
      </c>
    </row>
    <row r="861" spans="1:8" x14ac:dyDescent="0.25">
      <c r="A861" t="s">
        <v>1440</v>
      </c>
      <c r="B861" t="s">
        <v>91</v>
      </c>
      <c r="C861" t="s">
        <v>2090</v>
      </c>
      <c r="D861" t="s">
        <v>2091</v>
      </c>
      <c r="E861" t="s">
        <v>172</v>
      </c>
      <c r="F861" t="s">
        <v>24</v>
      </c>
      <c r="G861" t="s">
        <v>14</v>
      </c>
      <c r="H861" t="s">
        <v>1855</v>
      </c>
    </row>
    <row r="862" spans="1:8" x14ac:dyDescent="0.25">
      <c r="A862" t="s">
        <v>1440</v>
      </c>
      <c r="B862" t="s">
        <v>42</v>
      </c>
      <c r="C862" t="s">
        <v>2092</v>
      </c>
      <c r="D862" t="s">
        <v>2093</v>
      </c>
      <c r="E862" t="s">
        <v>40</v>
      </c>
      <c r="F862" t="s">
        <v>80</v>
      </c>
      <c r="G862" t="s">
        <v>14</v>
      </c>
      <c r="H862" t="s">
        <v>611</v>
      </c>
    </row>
    <row r="863" spans="1:8" x14ac:dyDescent="0.25">
      <c r="A863" t="s">
        <v>1440</v>
      </c>
      <c r="B863" t="s">
        <v>26</v>
      </c>
      <c r="C863" t="s">
        <v>2094</v>
      </c>
      <c r="D863" t="s">
        <v>2095</v>
      </c>
      <c r="E863" t="s">
        <v>2096</v>
      </c>
      <c r="F863" t="s">
        <v>51</v>
      </c>
      <c r="G863" t="s">
        <v>14</v>
      </c>
      <c r="H863" t="s">
        <v>2097</v>
      </c>
    </row>
    <row r="864" spans="1:8" x14ac:dyDescent="0.25">
      <c r="A864" t="s">
        <v>1440</v>
      </c>
      <c r="B864" t="s">
        <v>77</v>
      </c>
      <c r="C864" t="s">
        <v>2098</v>
      </c>
      <c r="D864" t="s">
        <v>2099</v>
      </c>
      <c r="E864" t="s">
        <v>172</v>
      </c>
      <c r="F864" t="s">
        <v>30</v>
      </c>
      <c r="G864" t="s">
        <v>14</v>
      </c>
      <c r="H864" t="s">
        <v>61</v>
      </c>
    </row>
    <row r="865" spans="1:8" x14ac:dyDescent="0.25">
      <c r="A865" t="s">
        <v>1440</v>
      </c>
      <c r="B865" t="s">
        <v>26</v>
      </c>
      <c r="C865" t="s">
        <v>2100</v>
      </c>
      <c r="D865" t="s">
        <v>2101</v>
      </c>
      <c r="E865" t="s">
        <v>35</v>
      </c>
      <c r="F865" t="s">
        <v>19</v>
      </c>
      <c r="G865" t="s">
        <v>14</v>
      </c>
      <c r="H865" t="s">
        <v>2102</v>
      </c>
    </row>
    <row r="866" spans="1:8" x14ac:dyDescent="0.25">
      <c r="A866" t="s">
        <v>1440</v>
      </c>
      <c r="B866" t="s">
        <v>91</v>
      </c>
      <c r="C866" t="s">
        <v>2103</v>
      </c>
      <c r="D866" t="s">
        <v>2104</v>
      </c>
      <c r="E866" t="s">
        <v>172</v>
      </c>
      <c r="F866" t="s">
        <v>30</v>
      </c>
      <c r="G866" t="s">
        <v>14</v>
      </c>
      <c r="H866" t="s">
        <v>322</v>
      </c>
    </row>
    <row r="867" spans="1:8" x14ac:dyDescent="0.25">
      <c r="A867" t="s">
        <v>1440</v>
      </c>
      <c r="B867" t="s">
        <v>42</v>
      </c>
      <c r="C867" t="s">
        <v>2105</v>
      </c>
      <c r="D867" t="s">
        <v>2106</v>
      </c>
      <c r="E867" t="s">
        <v>29</v>
      </c>
      <c r="F867" t="s">
        <v>30</v>
      </c>
      <c r="G867" t="s">
        <v>14</v>
      </c>
      <c r="H867" t="s">
        <v>346</v>
      </c>
    </row>
    <row r="868" spans="1:8" x14ac:dyDescent="0.25">
      <c r="A868" t="s">
        <v>1440</v>
      </c>
      <c r="B868" t="s">
        <v>9</v>
      </c>
      <c r="C868" t="s">
        <v>2107</v>
      </c>
      <c r="D868" t="s">
        <v>2108</v>
      </c>
      <c r="E868" t="s">
        <v>635</v>
      </c>
      <c r="F868" t="s">
        <v>51</v>
      </c>
      <c r="G868" t="s">
        <v>14</v>
      </c>
      <c r="H868" t="s">
        <v>2109</v>
      </c>
    </row>
    <row r="869" spans="1:8" x14ac:dyDescent="0.25">
      <c r="A869" t="s">
        <v>1440</v>
      </c>
      <c r="B869" t="s">
        <v>42</v>
      </c>
      <c r="C869" t="s">
        <v>2110</v>
      </c>
      <c r="D869" t="s">
        <v>2111</v>
      </c>
      <c r="E869" t="s">
        <v>172</v>
      </c>
      <c r="F869" t="s">
        <v>24</v>
      </c>
      <c r="G869" t="s">
        <v>14</v>
      </c>
      <c r="H869" t="s">
        <v>131</v>
      </c>
    </row>
    <row r="870" spans="1:8" x14ac:dyDescent="0.25">
      <c r="A870" t="s">
        <v>1440</v>
      </c>
      <c r="B870" t="s">
        <v>16</v>
      </c>
      <c r="C870" t="s">
        <v>2112</v>
      </c>
      <c r="D870" t="s">
        <v>2113</v>
      </c>
      <c r="E870" t="s">
        <v>29</v>
      </c>
      <c r="F870" t="s">
        <v>51</v>
      </c>
      <c r="G870" t="s">
        <v>67</v>
      </c>
      <c r="H870" t="s">
        <v>1065</v>
      </c>
    </row>
    <row r="871" spans="1:8" x14ac:dyDescent="0.25">
      <c r="A871" t="s">
        <v>1440</v>
      </c>
      <c r="B871" t="s">
        <v>77</v>
      </c>
      <c r="C871" t="s">
        <v>2114</v>
      </c>
      <c r="D871" t="s">
        <v>2115</v>
      </c>
      <c r="E871" t="s">
        <v>12</v>
      </c>
      <c r="F871" t="s">
        <v>30</v>
      </c>
      <c r="G871" t="s">
        <v>14</v>
      </c>
      <c r="H871" t="s">
        <v>487</v>
      </c>
    </row>
    <row r="872" spans="1:8" x14ac:dyDescent="0.25">
      <c r="A872" t="s">
        <v>1440</v>
      </c>
      <c r="B872" t="s">
        <v>77</v>
      </c>
      <c r="C872" t="s">
        <v>2116</v>
      </c>
      <c r="D872" t="s">
        <v>2117</v>
      </c>
      <c r="E872" t="s">
        <v>12</v>
      </c>
      <c r="F872" t="s">
        <v>19</v>
      </c>
      <c r="G872" t="s">
        <v>14</v>
      </c>
      <c r="H872" t="s">
        <v>1735</v>
      </c>
    </row>
    <row r="873" spans="1:8" x14ac:dyDescent="0.25">
      <c r="A873" t="s">
        <v>1440</v>
      </c>
      <c r="B873" t="s">
        <v>26</v>
      </c>
      <c r="C873" t="s">
        <v>2118</v>
      </c>
      <c r="D873" t="s">
        <v>2119</v>
      </c>
      <c r="E873" t="s">
        <v>12</v>
      </c>
      <c r="F873" t="s">
        <v>13</v>
      </c>
      <c r="G873" t="s">
        <v>14</v>
      </c>
      <c r="H873" t="s">
        <v>471</v>
      </c>
    </row>
    <row r="874" spans="1:8" x14ac:dyDescent="0.25">
      <c r="A874" t="s">
        <v>1440</v>
      </c>
      <c r="B874" t="s">
        <v>37</v>
      </c>
      <c r="C874" t="s">
        <v>2120</v>
      </c>
      <c r="D874" t="s">
        <v>2121</v>
      </c>
      <c r="E874" t="s">
        <v>12</v>
      </c>
      <c r="F874" t="s">
        <v>13</v>
      </c>
      <c r="G874" t="s">
        <v>14</v>
      </c>
      <c r="H874" t="s">
        <v>163</v>
      </c>
    </row>
    <row r="875" spans="1:8" x14ac:dyDescent="0.25">
      <c r="A875" t="s">
        <v>1440</v>
      </c>
      <c r="B875" t="s">
        <v>32</v>
      </c>
      <c r="C875" t="s">
        <v>2122</v>
      </c>
      <c r="D875" t="s">
        <v>2123</v>
      </c>
      <c r="E875" t="s">
        <v>12</v>
      </c>
      <c r="F875" t="s">
        <v>30</v>
      </c>
      <c r="G875" t="s">
        <v>14</v>
      </c>
      <c r="H875" t="s">
        <v>2124</v>
      </c>
    </row>
    <row r="876" spans="1:8" x14ac:dyDescent="0.25">
      <c r="A876" t="s">
        <v>1440</v>
      </c>
      <c r="B876" t="s">
        <v>37</v>
      </c>
      <c r="C876" t="s">
        <v>2125</v>
      </c>
      <c r="D876" t="s">
        <v>2126</v>
      </c>
      <c r="E876" t="s">
        <v>172</v>
      </c>
      <c r="F876" t="s">
        <v>30</v>
      </c>
      <c r="G876" t="s">
        <v>14</v>
      </c>
      <c r="H876" t="s">
        <v>155</v>
      </c>
    </row>
    <row r="877" spans="1:8" x14ac:dyDescent="0.25">
      <c r="A877" t="s">
        <v>1440</v>
      </c>
      <c r="B877" t="s">
        <v>26</v>
      </c>
      <c r="C877" t="s">
        <v>2127</v>
      </c>
      <c r="D877" t="s">
        <v>2128</v>
      </c>
      <c r="E877" t="s">
        <v>29</v>
      </c>
      <c r="F877" t="s">
        <v>30</v>
      </c>
      <c r="G877" t="s">
        <v>14</v>
      </c>
      <c r="H877" t="s">
        <v>1383</v>
      </c>
    </row>
    <row r="878" spans="1:8" x14ac:dyDescent="0.25">
      <c r="A878" t="s">
        <v>1440</v>
      </c>
      <c r="B878" t="s">
        <v>26</v>
      </c>
      <c r="C878" t="s">
        <v>2129</v>
      </c>
      <c r="D878" t="s">
        <v>2130</v>
      </c>
      <c r="E878" t="s">
        <v>172</v>
      </c>
      <c r="F878" t="s">
        <v>30</v>
      </c>
      <c r="G878" t="s">
        <v>14</v>
      </c>
      <c r="H878" t="s">
        <v>264</v>
      </c>
    </row>
    <row r="879" spans="1:8" x14ac:dyDescent="0.25">
      <c r="A879" t="s">
        <v>1440</v>
      </c>
      <c r="B879" t="s">
        <v>42</v>
      </c>
      <c r="C879" t="s">
        <v>2131</v>
      </c>
      <c r="D879" t="s">
        <v>2132</v>
      </c>
      <c r="E879" t="s">
        <v>172</v>
      </c>
      <c r="F879" t="s">
        <v>30</v>
      </c>
      <c r="G879" t="s">
        <v>14</v>
      </c>
      <c r="H879" t="s">
        <v>471</v>
      </c>
    </row>
    <row r="880" spans="1:8" x14ac:dyDescent="0.25">
      <c r="A880" t="s">
        <v>1440</v>
      </c>
      <c r="B880" t="s">
        <v>9</v>
      </c>
      <c r="C880" t="s">
        <v>2133</v>
      </c>
      <c r="D880" t="s">
        <v>2134</v>
      </c>
      <c r="E880" t="s">
        <v>12</v>
      </c>
      <c r="F880" t="s">
        <v>13</v>
      </c>
      <c r="G880" t="s">
        <v>14</v>
      </c>
      <c r="H880" t="s">
        <v>502</v>
      </c>
    </row>
    <row r="881" spans="1:8" x14ac:dyDescent="0.25">
      <c r="A881" t="s">
        <v>1440</v>
      </c>
      <c r="B881" t="s">
        <v>37</v>
      </c>
      <c r="C881" t="s">
        <v>2135</v>
      </c>
      <c r="D881" t="s">
        <v>2136</v>
      </c>
      <c r="E881" t="s">
        <v>635</v>
      </c>
      <c r="F881" t="s">
        <v>51</v>
      </c>
      <c r="G881" t="s">
        <v>14</v>
      </c>
      <c r="H881" t="s">
        <v>2137</v>
      </c>
    </row>
    <row r="882" spans="1:8" x14ac:dyDescent="0.25">
      <c r="A882" t="s">
        <v>1440</v>
      </c>
      <c r="B882" t="s">
        <v>77</v>
      </c>
      <c r="C882" t="s">
        <v>2138</v>
      </c>
      <c r="D882" t="s">
        <v>2139</v>
      </c>
      <c r="E882" t="s">
        <v>116</v>
      </c>
      <c r="F882" t="s">
        <v>30</v>
      </c>
      <c r="G882" t="s">
        <v>14</v>
      </c>
      <c r="H882" t="s">
        <v>137</v>
      </c>
    </row>
    <row r="883" spans="1:8" x14ac:dyDescent="0.25">
      <c r="A883" t="s">
        <v>1440</v>
      </c>
      <c r="B883" t="s">
        <v>91</v>
      </c>
      <c r="C883" t="s">
        <v>2140</v>
      </c>
      <c r="D883" t="s">
        <v>2141</v>
      </c>
      <c r="E883" t="s">
        <v>12</v>
      </c>
      <c r="F883" t="s">
        <v>13</v>
      </c>
      <c r="G883" t="s">
        <v>14</v>
      </c>
      <c r="H883" t="s">
        <v>173</v>
      </c>
    </row>
    <row r="884" spans="1:8" x14ac:dyDescent="0.25">
      <c r="A884" t="s">
        <v>1440</v>
      </c>
      <c r="B884" t="s">
        <v>37</v>
      </c>
      <c r="C884" t="s">
        <v>2142</v>
      </c>
      <c r="D884" t="s">
        <v>2143</v>
      </c>
      <c r="E884" t="s">
        <v>12</v>
      </c>
      <c r="F884" t="s">
        <v>30</v>
      </c>
      <c r="G884" t="s">
        <v>14</v>
      </c>
      <c r="H884" t="s">
        <v>2144</v>
      </c>
    </row>
    <row r="885" spans="1:8" x14ac:dyDescent="0.25">
      <c r="A885" t="s">
        <v>1440</v>
      </c>
      <c r="B885" t="s">
        <v>53</v>
      </c>
      <c r="C885" t="s">
        <v>2145</v>
      </c>
      <c r="D885" t="s">
        <v>2146</v>
      </c>
      <c r="E885" t="s">
        <v>172</v>
      </c>
      <c r="F885" t="s">
        <v>30</v>
      </c>
      <c r="G885" t="s">
        <v>56</v>
      </c>
      <c r="H885" t="s">
        <v>2147</v>
      </c>
    </row>
    <row r="886" spans="1:8" x14ac:dyDescent="0.25">
      <c r="A886" t="s">
        <v>1440</v>
      </c>
      <c r="B886" t="s">
        <v>77</v>
      </c>
      <c r="C886" t="s">
        <v>2148</v>
      </c>
      <c r="D886" t="s">
        <v>2149</v>
      </c>
      <c r="E886" t="s">
        <v>29</v>
      </c>
      <c r="F886" t="s">
        <v>51</v>
      </c>
      <c r="G886" t="s">
        <v>67</v>
      </c>
      <c r="H886" t="s">
        <v>2150</v>
      </c>
    </row>
    <row r="887" spans="1:8" x14ac:dyDescent="0.25">
      <c r="A887" t="s">
        <v>1440</v>
      </c>
      <c r="B887" t="s">
        <v>26</v>
      </c>
      <c r="C887" t="s">
        <v>2151</v>
      </c>
      <c r="D887" t="s">
        <v>2152</v>
      </c>
      <c r="E887" t="s">
        <v>12</v>
      </c>
      <c r="F887" t="s">
        <v>13</v>
      </c>
      <c r="G887" t="s">
        <v>14</v>
      </c>
      <c r="H887" t="s">
        <v>502</v>
      </c>
    </row>
    <row r="888" spans="1:8" x14ac:dyDescent="0.25">
      <c r="A888" t="s">
        <v>1440</v>
      </c>
      <c r="B888" t="s">
        <v>42</v>
      </c>
      <c r="C888" t="s">
        <v>2153</v>
      </c>
      <c r="D888" t="s">
        <v>2154</v>
      </c>
      <c r="E888" t="s">
        <v>45</v>
      </c>
      <c r="F888" t="s">
        <v>24</v>
      </c>
      <c r="G888" t="s">
        <v>14</v>
      </c>
      <c r="H888" t="s">
        <v>2155</v>
      </c>
    </row>
    <row r="889" spans="1:8" x14ac:dyDescent="0.25">
      <c r="A889" t="s">
        <v>1440</v>
      </c>
      <c r="B889" t="s">
        <v>9</v>
      </c>
      <c r="C889" t="s">
        <v>2156</v>
      </c>
      <c r="D889" t="s">
        <v>2157</v>
      </c>
      <c r="E889" t="s">
        <v>40</v>
      </c>
      <c r="F889" t="s">
        <v>80</v>
      </c>
      <c r="G889" t="s">
        <v>14</v>
      </c>
      <c r="H889" t="s">
        <v>2158</v>
      </c>
    </row>
    <row r="890" spans="1:8" x14ac:dyDescent="0.25">
      <c r="A890" t="s">
        <v>1440</v>
      </c>
      <c r="B890" t="s">
        <v>91</v>
      </c>
      <c r="C890" t="s">
        <v>2159</v>
      </c>
      <c r="D890" t="s">
        <v>2160</v>
      </c>
      <c r="E890" t="s">
        <v>40</v>
      </c>
      <c r="F890" t="s">
        <v>80</v>
      </c>
      <c r="G890" t="s">
        <v>14</v>
      </c>
      <c r="H890" t="s">
        <v>2161</v>
      </c>
    </row>
    <row r="891" spans="1:8" x14ac:dyDescent="0.25">
      <c r="A891" t="s">
        <v>1440</v>
      </c>
      <c r="B891" t="s">
        <v>42</v>
      </c>
      <c r="C891" t="s">
        <v>2162</v>
      </c>
      <c r="D891" t="s">
        <v>2163</v>
      </c>
      <c r="E891" t="s">
        <v>172</v>
      </c>
      <c r="F891" t="s">
        <v>30</v>
      </c>
      <c r="G891" t="s">
        <v>14</v>
      </c>
      <c r="H891" t="s">
        <v>2164</v>
      </c>
    </row>
    <row r="892" spans="1:8" x14ac:dyDescent="0.25">
      <c r="A892" t="s">
        <v>1440</v>
      </c>
      <c r="B892" t="s">
        <v>123</v>
      </c>
      <c r="C892" t="s">
        <v>2165</v>
      </c>
      <c r="D892" t="s">
        <v>2166</v>
      </c>
      <c r="E892" t="s">
        <v>635</v>
      </c>
      <c r="F892" t="s">
        <v>51</v>
      </c>
      <c r="G892" t="s">
        <v>14</v>
      </c>
      <c r="H892" t="s">
        <v>2167</v>
      </c>
    </row>
    <row r="893" spans="1:8" x14ac:dyDescent="0.25">
      <c r="A893" t="s">
        <v>1440</v>
      </c>
      <c r="B893" t="s">
        <v>100</v>
      </c>
      <c r="C893" t="s">
        <v>2168</v>
      </c>
      <c r="D893" t="s">
        <v>2169</v>
      </c>
      <c r="E893" t="s">
        <v>641</v>
      </c>
      <c r="F893" t="s">
        <v>19</v>
      </c>
      <c r="G893" t="s">
        <v>14</v>
      </c>
      <c r="H893" t="s">
        <v>2170</v>
      </c>
    </row>
    <row r="894" spans="1:8" x14ac:dyDescent="0.25">
      <c r="A894" t="s">
        <v>1440</v>
      </c>
      <c r="B894" t="s">
        <v>91</v>
      </c>
      <c r="C894" t="s">
        <v>2171</v>
      </c>
      <c r="D894" t="s">
        <v>2172</v>
      </c>
      <c r="E894" t="s">
        <v>40</v>
      </c>
      <c r="F894" t="s">
        <v>51</v>
      </c>
      <c r="G894" t="s">
        <v>14</v>
      </c>
      <c r="H894" t="s">
        <v>2173</v>
      </c>
    </row>
    <row r="895" spans="1:8" x14ac:dyDescent="0.25">
      <c r="A895" t="s">
        <v>1440</v>
      </c>
      <c r="B895" t="s">
        <v>77</v>
      </c>
      <c r="C895" t="s">
        <v>2174</v>
      </c>
      <c r="D895" t="s">
        <v>2175</v>
      </c>
      <c r="E895" t="s">
        <v>29</v>
      </c>
      <c r="F895" t="s">
        <v>51</v>
      </c>
      <c r="G895" t="s">
        <v>67</v>
      </c>
      <c r="H895" t="s">
        <v>2074</v>
      </c>
    </row>
    <row r="896" spans="1:8" x14ac:dyDescent="0.25">
      <c r="A896" t="s">
        <v>1440</v>
      </c>
      <c r="B896" t="s">
        <v>26</v>
      </c>
      <c r="C896" t="s">
        <v>2176</v>
      </c>
      <c r="D896" t="s">
        <v>2177</v>
      </c>
      <c r="E896" t="s">
        <v>29</v>
      </c>
      <c r="F896" t="s">
        <v>24</v>
      </c>
      <c r="G896" t="s">
        <v>14</v>
      </c>
      <c r="H896" t="s">
        <v>539</v>
      </c>
    </row>
    <row r="897" spans="1:8" x14ac:dyDescent="0.25">
      <c r="A897" t="s">
        <v>1440</v>
      </c>
      <c r="B897" t="s">
        <v>9</v>
      </c>
      <c r="C897" t="s">
        <v>2178</v>
      </c>
      <c r="D897" t="s">
        <v>2179</v>
      </c>
      <c r="E897" t="s">
        <v>50</v>
      </c>
      <c r="F897" t="s">
        <v>30</v>
      </c>
      <c r="G897" t="s">
        <v>14</v>
      </c>
      <c r="H897" t="s">
        <v>2180</v>
      </c>
    </row>
    <row r="898" spans="1:8" x14ac:dyDescent="0.25">
      <c r="A898" t="s">
        <v>1440</v>
      </c>
      <c r="B898" t="s">
        <v>100</v>
      </c>
      <c r="C898" t="s">
        <v>2181</v>
      </c>
      <c r="D898" t="s">
        <v>2182</v>
      </c>
      <c r="E898" t="s">
        <v>40</v>
      </c>
      <c r="F898" t="s">
        <v>19</v>
      </c>
      <c r="G898" t="s">
        <v>14</v>
      </c>
      <c r="H898" t="s">
        <v>2183</v>
      </c>
    </row>
    <row r="899" spans="1:8" x14ac:dyDescent="0.25">
      <c r="A899" t="s">
        <v>1440</v>
      </c>
      <c r="B899" t="s">
        <v>37</v>
      </c>
      <c r="C899" t="s">
        <v>2184</v>
      </c>
      <c r="D899" t="s">
        <v>2185</v>
      </c>
      <c r="E899" t="s">
        <v>390</v>
      </c>
      <c r="F899" t="s">
        <v>51</v>
      </c>
      <c r="G899" t="s">
        <v>14</v>
      </c>
      <c r="H899" t="s">
        <v>2186</v>
      </c>
    </row>
    <row r="900" spans="1:8" x14ac:dyDescent="0.25">
      <c r="A900" t="s">
        <v>1440</v>
      </c>
      <c r="B900" t="s">
        <v>77</v>
      </c>
      <c r="C900" t="s">
        <v>2187</v>
      </c>
      <c r="D900" t="s">
        <v>2187</v>
      </c>
      <c r="E900" t="s">
        <v>50</v>
      </c>
      <c r="F900" t="s">
        <v>30</v>
      </c>
      <c r="G900" t="s">
        <v>63</v>
      </c>
      <c r="H900" t="s">
        <v>192</v>
      </c>
    </row>
    <row r="901" spans="1:8" x14ac:dyDescent="0.25">
      <c r="A901" t="s">
        <v>1440</v>
      </c>
      <c r="B901" t="s">
        <v>100</v>
      </c>
      <c r="C901" t="s">
        <v>2188</v>
      </c>
      <c r="D901" t="s">
        <v>2189</v>
      </c>
      <c r="E901" t="s">
        <v>641</v>
      </c>
      <c r="F901" t="s">
        <v>19</v>
      </c>
      <c r="G901" t="s">
        <v>14</v>
      </c>
      <c r="H901" t="s">
        <v>2190</v>
      </c>
    </row>
    <row r="902" spans="1:8" x14ac:dyDescent="0.25">
      <c r="A902" t="s">
        <v>1440</v>
      </c>
      <c r="B902" t="s">
        <v>91</v>
      </c>
      <c r="C902" t="s">
        <v>2191</v>
      </c>
      <c r="D902" t="s">
        <v>2192</v>
      </c>
      <c r="E902" t="s">
        <v>23</v>
      </c>
      <c r="F902" t="s">
        <v>24</v>
      </c>
      <c r="G902" t="s">
        <v>14</v>
      </c>
      <c r="H902" t="s">
        <v>1972</v>
      </c>
    </row>
    <row r="903" spans="1:8" x14ac:dyDescent="0.25">
      <c r="A903" t="s">
        <v>1440</v>
      </c>
      <c r="B903" t="s">
        <v>9</v>
      </c>
      <c r="C903" t="s">
        <v>2193</v>
      </c>
      <c r="D903" t="s">
        <v>2194</v>
      </c>
      <c r="E903" t="s">
        <v>45</v>
      </c>
      <c r="F903" t="s">
        <v>19</v>
      </c>
      <c r="G903" t="s">
        <v>14</v>
      </c>
      <c r="H903" t="s">
        <v>443</v>
      </c>
    </row>
    <row r="904" spans="1:8" x14ac:dyDescent="0.25">
      <c r="A904" t="s">
        <v>1440</v>
      </c>
      <c r="B904" t="s">
        <v>77</v>
      </c>
      <c r="C904" t="s">
        <v>2195</v>
      </c>
      <c r="D904" t="s">
        <v>2196</v>
      </c>
      <c r="E904" t="s">
        <v>67</v>
      </c>
      <c r="F904" t="s">
        <v>19</v>
      </c>
      <c r="G904" t="s">
        <v>67</v>
      </c>
      <c r="H904" t="s">
        <v>2197</v>
      </c>
    </row>
    <row r="905" spans="1:8" x14ac:dyDescent="0.25">
      <c r="A905" t="s">
        <v>1440</v>
      </c>
      <c r="B905" t="s">
        <v>37</v>
      </c>
      <c r="C905" t="s">
        <v>2198</v>
      </c>
      <c r="D905" t="s">
        <v>2199</v>
      </c>
      <c r="E905" t="s">
        <v>35</v>
      </c>
      <c r="F905" t="s">
        <v>30</v>
      </c>
      <c r="G905" t="s">
        <v>14</v>
      </c>
      <c r="H905" t="s">
        <v>996</v>
      </c>
    </row>
    <row r="906" spans="1:8" x14ac:dyDescent="0.25">
      <c r="A906" t="s">
        <v>1440</v>
      </c>
      <c r="B906" t="s">
        <v>42</v>
      </c>
      <c r="C906" t="s">
        <v>2200</v>
      </c>
      <c r="D906" t="s">
        <v>2201</v>
      </c>
      <c r="E906" t="s">
        <v>12</v>
      </c>
      <c r="F906" t="s">
        <v>30</v>
      </c>
      <c r="G906" t="s">
        <v>14</v>
      </c>
      <c r="H906" t="s">
        <v>2202</v>
      </c>
    </row>
    <row r="907" spans="1:8" x14ac:dyDescent="0.25">
      <c r="A907" t="s">
        <v>1440</v>
      </c>
      <c r="B907" t="s">
        <v>42</v>
      </c>
      <c r="C907" t="s">
        <v>2203</v>
      </c>
      <c r="D907" t="s">
        <v>2204</v>
      </c>
      <c r="E907" t="s">
        <v>29</v>
      </c>
      <c r="F907" t="s">
        <v>30</v>
      </c>
      <c r="G907" t="s">
        <v>14</v>
      </c>
      <c r="H907" t="s">
        <v>339</v>
      </c>
    </row>
    <row r="908" spans="1:8" x14ac:dyDescent="0.25">
      <c r="A908" t="s">
        <v>1440</v>
      </c>
      <c r="B908" t="s">
        <v>9</v>
      </c>
      <c r="C908" t="s">
        <v>2205</v>
      </c>
      <c r="D908" t="s">
        <v>2206</v>
      </c>
      <c r="E908" t="s">
        <v>67</v>
      </c>
      <c r="F908" t="s">
        <v>24</v>
      </c>
      <c r="G908" t="s">
        <v>67</v>
      </c>
      <c r="H908" t="s">
        <v>217</v>
      </c>
    </row>
    <row r="909" spans="1:8" x14ac:dyDescent="0.25">
      <c r="A909" t="s">
        <v>1440</v>
      </c>
      <c r="B909" t="s">
        <v>16</v>
      </c>
      <c r="C909" t="s">
        <v>2207</v>
      </c>
      <c r="D909" t="s">
        <v>2208</v>
      </c>
      <c r="E909" t="s">
        <v>67</v>
      </c>
      <c r="F909" t="s">
        <v>24</v>
      </c>
      <c r="G909" t="s">
        <v>67</v>
      </c>
      <c r="H909" t="s">
        <v>2209</v>
      </c>
    </row>
    <row r="910" spans="1:8" x14ac:dyDescent="0.25">
      <c r="A910" t="s">
        <v>1440</v>
      </c>
      <c r="B910" t="s">
        <v>100</v>
      </c>
      <c r="C910" t="s">
        <v>2210</v>
      </c>
      <c r="D910" t="s">
        <v>2211</v>
      </c>
      <c r="E910" t="s">
        <v>29</v>
      </c>
      <c r="F910" t="s">
        <v>30</v>
      </c>
      <c r="G910" t="s">
        <v>14</v>
      </c>
      <c r="H910" t="s">
        <v>2212</v>
      </c>
    </row>
    <row r="911" spans="1:8" x14ac:dyDescent="0.25">
      <c r="A911" t="s">
        <v>1440</v>
      </c>
      <c r="B911" t="s">
        <v>9</v>
      </c>
      <c r="C911" t="s">
        <v>2213</v>
      </c>
      <c r="D911" t="s">
        <v>2214</v>
      </c>
      <c r="E911" t="s">
        <v>67</v>
      </c>
      <c r="F911" t="s">
        <v>24</v>
      </c>
      <c r="G911" t="s">
        <v>67</v>
      </c>
      <c r="H911" t="s">
        <v>1168</v>
      </c>
    </row>
    <row r="912" spans="1:8" x14ac:dyDescent="0.25">
      <c r="A912" t="s">
        <v>1440</v>
      </c>
      <c r="B912" t="s">
        <v>37</v>
      </c>
      <c r="C912" t="s">
        <v>2215</v>
      </c>
      <c r="D912" t="s">
        <v>2216</v>
      </c>
      <c r="E912" t="s">
        <v>12</v>
      </c>
      <c r="F912" t="s">
        <v>19</v>
      </c>
      <c r="G912" t="s">
        <v>14</v>
      </c>
      <c r="H912" t="s">
        <v>1235</v>
      </c>
    </row>
    <row r="913" spans="1:8" x14ac:dyDescent="0.25">
      <c r="A913" t="s">
        <v>1440</v>
      </c>
      <c r="B913" t="s">
        <v>37</v>
      </c>
      <c r="C913" t="s">
        <v>2217</v>
      </c>
      <c r="D913" t="s">
        <v>2218</v>
      </c>
      <c r="E913" t="s">
        <v>67</v>
      </c>
      <c r="F913" t="s">
        <v>24</v>
      </c>
      <c r="G913" t="s">
        <v>67</v>
      </c>
      <c r="H913" t="s">
        <v>937</v>
      </c>
    </row>
    <row r="914" spans="1:8" x14ac:dyDescent="0.25">
      <c r="A914" t="s">
        <v>1440</v>
      </c>
      <c r="B914" t="s">
        <v>113</v>
      </c>
      <c r="C914" t="s">
        <v>2219</v>
      </c>
      <c r="D914" t="s">
        <v>2220</v>
      </c>
      <c r="E914" t="s">
        <v>67</v>
      </c>
      <c r="F914" t="s">
        <v>24</v>
      </c>
      <c r="G914" t="s">
        <v>67</v>
      </c>
      <c r="H914" t="s">
        <v>587</v>
      </c>
    </row>
    <row r="915" spans="1:8" x14ac:dyDescent="0.25">
      <c r="A915" t="s">
        <v>1440</v>
      </c>
      <c r="B915" t="s">
        <v>42</v>
      </c>
      <c r="C915" t="s">
        <v>2221</v>
      </c>
      <c r="D915" t="s">
        <v>2222</v>
      </c>
      <c r="E915" t="s">
        <v>45</v>
      </c>
      <c r="F915" t="s">
        <v>71</v>
      </c>
      <c r="G915" t="s">
        <v>14</v>
      </c>
      <c r="H915" t="s">
        <v>375</v>
      </c>
    </row>
    <row r="916" spans="1:8" x14ac:dyDescent="0.25">
      <c r="A916" t="s">
        <v>1440</v>
      </c>
      <c r="B916" t="s">
        <v>42</v>
      </c>
      <c r="C916" t="s">
        <v>2223</v>
      </c>
      <c r="D916" t="s">
        <v>2224</v>
      </c>
      <c r="E916" t="s">
        <v>67</v>
      </c>
      <c r="F916" t="s">
        <v>24</v>
      </c>
      <c r="G916" t="s">
        <v>67</v>
      </c>
      <c r="H916" t="s">
        <v>122</v>
      </c>
    </row>
    <row r="917" spans="1:8" x14ac:dyDescent="0.25">
      <c r="A917" t="s">
        <v>1440</v>
      </c>
      <c r="B917" t="s">
        <v>113</v>
      </c>
      <c r="C917" t="s">
        <v>2225</v>
      </c>
      <c r="D917" t="s">
        <v>2226</v>
      </c>
      <c r="E917" t="s">
        <v>467</v>
      </c>
      <c r="F917" t="s">
        <v>51</v>
      </c>
      <c r="G917" t="s">
        <v>14</v>
      </c>
      <c r="H917" t="s">
        <v>1065</v>
      </c>
    </row>
    <row r="918" spans="1:8" x14ac:dyDescent="0.25">
      <c r="A918" t="s">
        <v>1440</v>
      </c>
      <c r="B918" t="s">
        <v>91</v>
      </c>
      <c r="C918" t="s">
        <v>2227</v>
      </c>
      <c r="D918" t="s">
        <v>2228</v>
      </c>
      <c r="E918" t="s">
        <v>12</v>
      </c>
      <c r="F918" t="s">
        <v>13</v>
      </c>
      <c r="G918" t="s">
        <v>14</v>
      </c>
      <c r="H918" t="s">
        <v>2229</v>
      </c>
    </row>
    <row r="919" spans="1:8" x14ac:dyDescent="0.25">
      <c r="A919" t="s">
        <v>1440</v>
      </c>
      <c r="B919" t="s">
        <v>37</v>
      </c>
      <c r="C919" t="s">
        <v>2230</v>
      </c>
      <c r="D919" t="s">
        <v>2231</v>
      </c>
      <c r="E919" t="s">
        <v>67</v>
      </c>
      <c r="F919" t="s">
        <v>24</v>
      </c>
      <c r="G919" t="s">
        <v>67</v>
      </c>
      <c r="H919" t="s">
        <v>250</v>
      </c>
    </row>
    <row r="920" spans="1:8" x14ac:dyDescent="0.25">
      <c r="A920" t="s">
        <v>1440</v>
      </c>
      <c r="B920" t="s">
        <v>91</v>
      </c>
      <c r="C920" t="s">
        <v>2232</v>
      </c>
      <c r="D920" t="s">
        <v>2233</v>
      </c>
      <c r="E920" t="s">
        <v>67</v>
      </c>
      <c r="F920" t="s">
        <v>24</v>
      </c>
      <c r="G920" t="s">
        <v>67</v>
      </c>
      <c r="H920" t="s">
        <v>2234</v>
      </c>
    </row>
    <row r="921" spans="1:8" x14ac:dyDescent="0.25">
      <c r="A921" t="s">
        <v>1440</v>
      </c>
      <c r="B921" t="s">
        <v>42</v>
      </c>
      <c r="C921" t="s">
        <v>2235</v>
      </c>
      <c r="D921" t="s">
        <v>2236</v>
      </c>
      <c r="E921" t="s">
        <v>641</v>
      </c>
      <c r="F921" t="s">
        <v>19</v>
      </c>
      <c r="G921" t="s">
        <v>14</v>
      </c>
      <c r="H921" t="s">
        <v>163</v>
      </c>
    </row>
    <row r="922" spans="1:8" x14ac:dyDescent="0.25">
      <c r="A922" t="s">
        <v>1440</v>
      </c>
      <c r="B922" t="s">
        <v>37</v>
      </c>
      <c r="C922" t="s">
        <v>2237</v>
      </c>
      <c r="D922" t="s">
        <v>2238</v>
      </c>
      <c r="E922" t="s">
        <v>67</v>
      </c>
      <c r="F922" t="s">
        <v>30</v>
      </c>
      <c r="G922" t="s">
        <v>67</v>
      </c>
      <c r="H922" t="s">
        <v>173</v>
      </c>
    </row>
    <row r="923" spans="1:8" x14ac:dyDescent="0.25">
      <c r="A923" t="s">
        <v>1440</v>
      </c>
      <c r="B923" t="s">
        <v>100</v>
      </c>
      <c r="C923" t="s">
        <v>2239</v>
      </c>
      <c r="D923" t="s">
        <v>2240</v>
      </c>
      <c r="E923" t="s">
        <v>67</v>
      </c>
      <c r="F923" t="s">
        <v>30</v>
      </c>
      <c r="G923" t="s">
        <v>67</v>
      </c>
      <c r="H923" t="s">
        <v>375</v>
      </c>
    </row>
    <row r="924" spans="1:8" x14ac:dyDescent="0.25">
      <c r="A924" t="s">
        <v>1440</v>
      </c>
      <c r="B924" t="s">
        <v>26</v>
      </c>
      <c r="C924" t="s">
        <v>2241</v>
      </c>
      <c r="D924" t="s">
        <v>2242</v>
      </c>
      <c r="E924" t="s">
        <v>328</v>
      </c>
      <c r="F924" t="s">
        <v>51</v>
      </c>
      <c r="G924" t="s">
        <v>14</v>
      </c>
      <c r="H924" t="s">
        <v>2243</v>
      </c>
    </row>
    <row r="925" spans="1:8" x14ac:dyDescent="0.25">
      <c r="A925" t="s">
        <v>1440</v>
      </c>
      <c r="B925" t="s">
        <v>37</v>
      </c>
      <c r="C925" t="s">
        <v>2244</v>
      </c>
      <c r="D925" t="s">
        <v>2245</v>
      </c>
      <c r="E925" t="s">
        <v>67</v>
      </c>
      <c r="F925" t="s">
        <v>30</v>
      </c>
      <c r="G925" t="s">
        <v>67</v>
      </c>
      <c r="H925" t="s">
        <v>828</v>
      </c>
    </row>
    <row r="926" spans="1:8" x14ac:dyDescent="0.25">
      <c r="A926" t="s">
        <v>1440</v>
      </c>
      <c r="B926" t="s">
        <v>73</v>
      </c>
      <c r="C926" t="s">
        <v>2246</v>
      </c>
      <c r="D926" t="s">
        <v>2247</v>
      </c>
      <c r="E926" t="s">
        <v>12</v>
      </c>
      <c r="F926" t="s">
        <v>30</v>
      </c>
      <c r="G926" t="s">
        <v>14</v>
      </c>
      <c r="H926" t="s">
        <v>2248</v>
      </c>
    </row>
    <row r="927" spans="1:8" x14ac:dyDescent="0.25">
      <c r="A927" t="s">
        <v>1440</v>
      </c>
      <c r="B927" t="s">
        <v>91</v>
      </c>
      <c r="C927" t="s">
        <v>2249</v>
      </c>
      <c r="D927" t="s">
        <v>2250</v>
      </c>
      <c r="E927" t="s">
        <v>67</v>
      </c>
      <c r="F927" t="s">
        <v>30</v>
      </c>
      <c r="G927" t="s">
        <v>67</v>
      </c>
      <c r="H927" t="s">
        <v>872</v>
      </c>
    </row>
    <row r="928" spans="1:8" x14ac:dyDescent="0.25">
      <c r="A928" t="s">
        <v>1440</v>
      </c>
      <c r="B928" t="s">
        <v>91</v>
      </c>
      <c r="C928" t="s">
        <v>2251</v>
      </c>
      <c r="D928" t="s">
        <v>2252</v>
      </c>
      <c r="E928" t="s">
        <v>29</v>
      </c>
      <c r="F928" t="s">
        <v>51</v>
      </c>
      <c r="G928" t="s">
        <v>67</v>
      </c>
      <c r="H928" t="s">
        <v>533</v>
      </c>
    </row>
    <row r="929" spans="1:8" x14ac:dyDescent="0.25">
      <c r="A929" t="s">
        <v>1440</v>
      </c>
      <c r="B929" t="s">
        <v>26</v>
      </c>
      <c r="C929" t="s">
        <v>2253</v>
      </c>
      <c r="D929" t="s">
        <v>2254</v>
      </c>
      <c r="E929" t="s">
        <v>67</v>
      </c>
      <c r="F929" t="s">
        <v>30</v>
      </c>
      <c r="G929" t="s">
        <v>67</v>
      </c>
      <c r="H929" t="s">
        <v>2255</v>
      </c>
    </row>
    <row r="930" spans="1:8" x14ac:dyDescent="0.25">
      <c r="A930" t="s">
        <v>1440</v>
      </c>
      <c r="B930" t="s">
        <v>37</v>
      </c>
      <c r="C930" t="s">
        <v>2256</v>
      </c>
      <c r="D930" t="s">
        <v>2257</v>
      </c>
      <c r="E930" t="s">
        <v>50</v>
      </c>
      <c r="F930" t="s">
        <v>30</v>
      </c>
      <c r="G930" t="s">
        <v>14</v>
      </c>
      <c r="H930" t="s">
        <v>2258</v>
      </c>
    </row>
    <row r="931" spans="1:8" x14ac:dyDescent="0.25">
      <c r="A931" t="s">
        <v>1440</v>
      </c>
      <c r="B931" t="s">
        <v>9</v>
      </c>
      <c r="C931" t="s">
        <v>2259</v>
      </c>
      <c r="D931" t="s">
        <v>2260</v>
      </c>
      <c r="E931" t="s">
        <v>29</v>
      </c>
      <c r="F931" t="s">
        <v>97</v>
      </c>
      <c r="G931" t="s">
        <v>98</v>
      </c>
      <c r="H931" t="s">
        <v>2261</v>
      </c>
    </row>
    <row r="932" spans="1:8" x14ac:dyDescent="0.25">
      <c r="A932" t="s">
        <v>1440</v>
      </c>
      <c r="B932" t="s">
        <v>77</v>
      </c>
      <c r="C932" t="s">
        <v>2262</v>
      </c>
      <c r="D932" t="s">
        <v>2263</v>
      </c>
      <c r="E932" t="s">
        <v>67</v>
      </c>
      <c r="F932" t="s">
        <v>24</v>
      </c>
      <c r="G932" t="s">
        <v>67</v>
      </c>
      <c r="H932" t="s">
        <v>261</v>
      </c>
    </row>
    <row r="933" spans="1:8" x14ac:dyDescent="0.25">
      <c r="A933" t="s">
        <v>1440</v>
      </c>
      <c r="B933" t="s">
        <v>37</v>
      </c>
      <c r="C933" t="s">
        <v>2264</v>
      </c>
      <c r="D933" t="s">
        <v>2265</v>
      </c>
      <c r="E933" t="s">
        <v>641</v>
      </c>
      <c r="F933" t="s">
        <v>19</v>
      </c>
      <c r="G933" t="s">
        <v>14</v>
      </c>
      <c r="H933" t="s">
        <v>2266</v>
      </c>
    </row>
    <row r="934" spans="1:8" x14ac:dyDescent="0.25">
      <c r="A934" t="s">
        <v>1440</v>
      </c>
      <c r="B934" t="s">
        <v>73</v>
      </c>
      <c r="C934" t="s">
        <v>2267</v>
      </c>
      <c r="D934" t="s">
        <v>2268</v>
      </c>
      <c r="E934" t="s">
        <v>67</v>
      </c>
      <c r="F934" t="s">
        <v>19</v>
      </c>
      <c r="G934" t="s">
        <v>67</v>
      </c>
      <c r="H934" t="s">
        <v>2269</v>
      </c>
    </row>
    <row r="935" spans="1:8" x14ac:dyDescent="0.25">
      <c r="A935" t="s">
        <v>1440</v>
      </c>
      <c r="B935" t="s">
        <v>16</v>
      </c>
      <c r="C935" t="s">
        <v>2270</v>
      </c>
      <c r="D935" t="s">
        <v>2271</v>
      </c>
      <c r="E935" t="s">
        <v>29</v>
      </c>
      <c r="F935" t="s">
        <v>97</v>
      </c>
      <c r="G935" t="s">
        <v>98</v>
      </c>
      <c r="H935" t="s">
        <v>1516</v>
      </c>
    </row>
    <row r="936" spans="1:8" x14ac:dyDescent="0.25">
      <c r="A936" t="s">
        <v>1440</v>
      </c>
      <c r="B936" t="s">
        <v>42</v>
      </c>
      <c r="C936" t="s">
        <v>2272</v>
      </c>
      <c r="D936" t="s">
        <v>2273</v>
      </c>
      <c r="E936" t="s">
        <v>45</v>
      </c>
      <c r="F936" t="s">
        <v>24</v>
      </c>
      <c r="G936" t="s">
        <v>14</v>
      </c>
      <c r="H936" t="s">
        <v>94</v>
      </c>
    </row>
    <row r="937" spans="1:8" x14ac:dyDescent="0.25">
      <c r="A937" t="s">
        <v>1440</v>
      </c>
      <c r="B937" t="s">
        <v>91</v>
      </c>
      <c r="C937" t="s">
        <v>2274</v>
      </c>
      <c r="D937" t="s">
        <v>2275</v>
      </c>
      <c r="E937" t="s">
        <v>50</v>
      </c>
      <c r="F937" t="s">
        <v>19</v>
      </c>
      <c r="G937" t="s">
        <v>14</v>
      </c>
      <c r="H937" t="s">
        <v>2276</v>
      </c>
    </row>
    <row r="938" spans="1:8" x14ac:dyDescent="0.25">
      <c r="A938" t="s">
        <v>1440</v>
      </c>
      <c r="B938" t="s">
        <v>91</v>
      </c>
      <c r="C938" t="s">
        <v>2277</v>
      </c>
      <c r="D938" t="s">
        <v>2278</v>
      </c>
      <c r="E938" t="s">
        <v>67</v>
      </c>
      <c r="F938" t="s">
        <v>19</v>
      </c>
      <c r="G938" t="s">
        <v>67</v>
      </c>
      <c r="H938" t="s">
        <v>914</v>
      </c>
    </row>
    <row r="939" spans="1:8" x14ac:dyDescent="0.25">
      <c r="A939" t="s">
        <v>1440</v>
      </c>
      <c r="B939" t="s">
        <v>26</v>
      </c>
      <c r="C939" t="s">
        <v>2279</v>
      </c>
      <c r="D939" t="s">
        <v>2280</v>
      </c>
      <c r="E939" t="s">
        <v>67</v>
      </c>
      <c r="F939" t="s">
        <v>19</v>
      </c>
      <c r="G939" t="s">
        <v>67</v>
      </c>
      <c r="H939" t="s">
        <v>914</v>
      </c>
    </row>
    <row r="940" spans="1:8" x14ac:dyDescent="0.25">
      <c r="A940" t="s">
        <v>1440</v>
      </c>
      <c r="B940" t="s">
        <v>42</v>
      </c>
      <c r="C940" t="s">
        <v>2281</v>
      </c>
      <c r="D940" t="s">
        <v>2282</v>
      </c>
      <c r="E940" t="s">
        <v>67</v>
      </c>
      <c r="F940" t="s">
        <v>19</v>
      </c>
      <c r="G940" t="s">
        <v>67</v>
      </c>
      <c r="H940" t="s">
        <v>2164</v>
      </c>
    </row>
    <row r="941" spans="1:8" x14ac:dyDescent="0.25">
      <c r="A941" t="s">
        <v>1440</v>
      </c>
      <c r="B941" t="s">
        <v>100</v>
      </c>
      <c r="C941" t="s">
        <v>2283</v>
      </c>
      <c r="D941" t="s">
        <v>2284</v>
      </c>
      <c r="E941" t="s">
        <v>40</v>
      </c>
      <c r="F941" t="s">
        <v>19</v>
      </c>
      <c r="G941" t="s">
        <v>14</v>
      </c>
      <c r="H941" t="s">
        <v>2285</v>
      </c>
    </row>
    <row r="942" spans="1:8" x14ac:dyDescent="0.25">
      <c r="A942" t="s">
        <v>1440</v>
      </c>
      <c r="B942" t="s">
        <v>26</v>
      </c>
      <c r="C942" t="s">
        <v>2286</v>
      </c>
      <c r="D942" t="s">
        <v>2287</v>
      </c>
      <c r="E942" t="s">
        <v>67</v>
      </c>
      <c r="F942" t="s">
        <v>19</v>
      </c>
      <c r="G942" t="s">
        <v>67</v>
      </c>
      <c r="H942" t="s">
        <v>261</v>
      </c>
    </row>
    <row r="943" spans="1:8" x14ac:dyDescent="0.25">
      <c r="A943" t="s">
        <v>1440</v>
      </c>
      <c r="B943" t="s">
        <v>91</v>
      </c>
      <c r="C943" t="s">
        <v>2288</v>
      </c>
      <c r="D943" t="s">
        <v>2289</v>
      </c>
      <c r="E943" t="s">
        <v>29</v>
      </c>
      <c r="F943" t="s">
        <v>51</v>
      </c>
      <c r="G943" t="s">
        <v>67</v>
      </c>
      <c r="H943" t="s">
        <v>122</v>
      </c>
    </row>
    <row r="944" spans="1:8" x14ac:dyDescent="0.25">
      <c r="A944" t="s">
        <v>1440</v>
      </c>
      <c r="B944" t="s">
        <v>37</v>
      </c>
      <c r="C944" t="s">
        <v>2290</v>
      </c>
      <c r="D944" t="s">
        <v>2291</v>
      </c>
      <c r="E944" t="s">
        <v>390</v>
      </c>
      <c r="F944" t="s">
        <v>51</v>
      </c>
      <c r="G944" t="s">
        <v>14</v>
      </c>
      <c r="H944" t="s">
        <v>106</v>
      </c>
    </row>
    <row r="945" spans="1:8" x14ac:dyDescent="0.25">
      <c r="A945" t="s">
        <v>1440</v>
      </c>
      <c r="B945" t="s">
        <v>77</v>
      </c>
      <c r="C945" t="s">
        <v>2292</v>
      </c>
      <c r="D945" t="s">
        <v>2293</v>
      </c>
      <c r="E945" t="s">
        <v>29</v>
      </c>
      <c r="F945" t="s">
        <v>51</v>
      </c>
      <c r="G945" t="s">
        <v>67</v>
      </c>
      <c r="H945" t="s">
        <v>1039</v>
      </c>
    </row>
    <row r="946" spans="1:8" x14ac:dyDescent="0.25">
      <c r="A946" t="s">
        <v>1440</v>
      </c>
      <c r="B946" t="s">
        <v>42</v>
      </c>
      <c r="C946" t="s">
        <v>2294</v>
      </c>
      <c r="D946" t="s">
        <v>2295</v>
      </c>
      <c r="E946" t="s">
        <v>390</v>
      </c>
      <c r="F946" t="s">
        <v>51</v>
      </c>
      <c r="G946" t="s">
        <v>14</v>
      </c>
      <c r="H946" t="s">
        <v>426</v>
      </c>
    </row>
    <row r="947" spans="1:8" x14ac:dyDescent="0.25">
      <c r="A947" t="s">
        <v>1440</v>
      </c>
      <c r="B947" t="s">
        <v>77</v>
      </c>
      <c r="C947" t="s">
        <v>2296</v>
      </c>
      <c r="D947" t="s">
        <v>2297</v>
      </c>
      <c r="E947" t="s">
        <v>67</v>
      </c>
      <c r="F947" t="s">
        <v>19</v>
      </c>
      <c r="G947" t="s">
        <v>67</v>
      </c>
      <c r="H947" t="s">
        <v>1278</v>
      </c>
    </row>
    <row r="948" spans="1:8" x14ac:dyDescent="0.25">
      <c r="A948" t="s">
        <v>1440</v>
      </c>
      <c r="B948" t="s">
        <v>100</v>
      </c>
      <c r="C948" t="s">
        <v>2298</v>
      </c>
      <c r="D948" t="s">
        <v>2298</v>
      </c>
      <c r="E948" t="s">
        <v>40</v>
      </c>
      <c r="F948" t="s">
        <v>191</v>
      </c>
      <c r="G948" t="s">
        <v>63</v>
      </c>
      <c r="H948" t="s">
        <v>2299</v>
      </c>
    </row>
    <row r="949" spans="1:8" x14ac:dyDescent="0.25">
      <c r="A949" t="s">
        <v>1440</v>
      </c>
      <c r="B949" t="s">
        <v>77</v>
      </c>
      <c r="C949" t="s">
        <v>2300</v>
      </c>
      <c r="D949" t="s">
        <v>2301</v>
      </c>
      <c r="E949" t="s">
        <v>29</v>
      </c>
      <c r="F949" t="s">
        <v>51</v>
      </c>
      <c r="G949" t="s">
        <v>67</v>
      </c>
      <c r="H949" t="s">
        <v>247</v>
      </c>
    </row>
    <row r="950" spans="1:8" x14ac:dyDescent="0.25">
      <c r="A950" t="s">
        <v>1440</v>
      </c>
      <c r="B950" t="s">
        <v>91</v>
      </c>
      <c r="C950" t="s">
        <v>2302</v>
      </c>
      <c r="D950" t="s">
        <v>2302</v>
      </c>
      <c r="E950" t="s">
        <v>172</v>
      </c>
      <c r="F950" t="s">
        <v>30</v>
      </c>
      <c r="G950" t="s">
        <v>63</v>
      </c>
      <c r="H950" t="s">
        <v>1055</v>
      </c>
    </row>
    <row r="951" spans="1:8" x14ac:dyDescent="0.25">
      <c r="A951" t="s">
        <v>1440</v>
      </c>
      <c r="B951" t="s">
        <v>77</v>
      </c>
      <c r="C951" t="s">
        <v>2303</v>
      </c>
      <c r="D951" t="s">
        <v>2304</v>
      </c>
      <c r="E951" t="s">
        <v>40</v>
      </c>
      <c r="F951" t="s">
        <v>80</v>
      </c>
      <c r="G951" t="s">
        <v>14</v>
      </c>
      <c r="H951" t="s">
        <v>1830</v>
      </c>
    </row>
    <row r="952" spans="1:8" x14ac:dyDescent="0.25">
      <c r="A952" t="s">
        <v>1440</v>
      </c>
      <c r="B952" t="s">
        <v>42</v>
      </c>
      <c r="C952" t="s">
        <v>2305</v>
      </c>
      <c r="D952" t="s">
        <v>2306</v>
      </c>
      <c r="E952" t="s">
        <v>29</v>
      </c>
      <c r="F952" t="s">
        <v>51</v>
      </c>
      <c r="G952" t="s">
        <v>67</v>
      </c>
      <c r="H952" t="s">
        <v>333</v>
      </c>
    </row>
    <row r="953" spans="1:8" x14ac:dyDescent="0.25">
      <c r="A953" t="s">
        <v>1440</v>
      </c>
      <c r="B953" t="s">
        <v>42</v>
      </c>
      <c r="C953" t="s">
        <v>2307</v>
      </c>
      <c r="D953" t="s">
        <v>2308</v>
      </c>
      <c r="E953" t="s">
        <v>172</v>
      </c>
      <c r="F953" t="s">
        <v>51</v>
      </c>
      <c r="G953" t="s">
        <v>14</v>
      </c>
      <c r="H953" t="s">
        <v>549</v>
      </c>
    </row>
    <row r="954" spans="1:8" x14ac:dyDescent="0.25">
      <c r="A954" t="s">
        <v>1440</v>
      </c>
      <c r="B954" t="s">
        <v>9</v>
      </c>
      <c r="C954" t="s">
        <v>2309</v>
      </c>
      <c r="D954" t="s">
        <v>2310</v>
      </c>
      <c r="E954" t="s">
        <v>29</v>
      </c>
      <c r="F954" t="s">
        <v>51</v>
      </c>
      <c r="G954" t="s">
        <v>67</v>
      </c>
      <c r="H954" t="s">
        <v>769</v>
      </c>
    </row>
    <row r="955" spans="1:8" x14ac:dyDescent="0.25">
      <c r="A955" t="s">
        <v>1440</v>
      </c>
      <c r="B955" t="s">
        <v>42</v>
      </c>
      <c r="C955" t="s">
        <v>2311</v>
      </c>
      <c r="D955" t="s">
        <v>2312</v>
      </c>
      <c r="E955" t="s">
        <v>29</v>
      </c>
      <c r="F955" t="s">
        <v>51</v>
      </c>
      <c r="G955" t="s">
        <v>67</v>
      </c>
      <c r="H955" t="s">
        <v>645</v>
      </c>
    </row>
    <row r="956" spans="1:8" x14ac:dyDescent="0.25">
      <c r="A956" t="s">
        <v>1440</v>
      </c>
      <c r="B956" t="s">
        <v>42</v>
      </c>
      <c r="C956" t="s">
        <v>2313</v>
      </c>
      <c r="D956" t="s">
        <v>2314</v>
      </c>
      <c r="E956" t="s">
        <v>45</v>
      </c>
      <c r="F956" t="s">
        <v>24</v>
      </c>
      <c r="G956" t="s">
        <v>14</v>
      </c>
      <c r="H956" t="s">
        <v>2315</v>
      </c>
    </row>
    <row r="957" spans="1:8" x14ac:dyDescent="0.25">
      <c r="A957" t="s">
        <v>1440</v>
      </c>
      <c r="B957" t="s">
        <v>42</v>
      </c>
      <c r="C957" t="s">
        <v>2316</v>
      </c>
      <c r="D957" t="s">
        <v>2317</v>
      </c>
      <c r="E957" t="s">
        <v>40</v>
      </c>
      <c r="F957" t="s">
        <v>80</v>
      </c>
      <c r="G957" t="s">
        <v>14</v>
      </c>
      <c r="H957" t="s">
        <v>15</v>
      </c>
    </row>
    <row r="958" spans="1:8" x14ac:dyDescent="0.25">
      <c r="A958" t="s">
        <v>1440</v>
      </c>
      <c r="B958" t="s">
        <v>42</v>
      </c>
      <c r="C958" t="s">
        <v>2318</v>
      </c>
      <c r="D958" t="s">
        <v>2319</v>
      </c>
      <c r="E958" t="s">
        <v>40</v>
      </c>
      <c r="F958" t="s">
        <v>80</v>
      </c>
      <c r="G958" t="s">
        <v>14</v>
      </c>
      <c r="H958" t="s">
        <v>413</v>
      </c>
    </row>
    <row r="959" spans="1:8" x14ac:dyDescent="0.25">
      <c r="A959" t="s">
        <v>1440</v>
      </c>
      <c r="B959" t="s">
        <v>42</v>
      </c>
      <c r="C959" t="s">
        <v>2320</v>
      </c>
      <c r="D959" t="s">
        <v>2321</v>
      </c>
      <c r="E959" t="s">
        <v>29</v>
      </c>
      <c r="F959" t="s">
        <v>51</v>
      </c>
      <c r="G959" t="s">
        <v>67</v>
      </c>
      <c r="H959" t="s">
        <v>2322</v>
      </c>
    </row>
    <row r="960" spans="1:8" x14ac:dyDescent="0.25">
      <c r="A960" t="s">
        <v>1440</v>
      </c>
      <c r="B960" t="s">
        <v>9</v>
      </c>
      <c r="C960" t="s">
        <v>2323</v>
      </c>
      <c r="D960" t="s">
        <v>2324</v>
      </c>
      <c r="E960" t="s">
        <v>29</v>
      </c>
      <c r="F960" t="s">
        <v>51</v>
      </c>
      <c r="G960" t="s">
        <v>67</v>
      </c>
      <c r="H960" t="s">
        <v>122</v>
      </c>
    </row>
    <row r="961" spans="1:8" x14ac:dyDescent="0.25">
      <c r="A961" t="s">
        <v>1440</v>
      </c>
      <c r="B961" t="s">
        <v>9</v>
      </c>
      <c r="C961" t="s">
        <v>2325</v>
      </c>
      <c r="D961" t="s">
        <v>2326</v>
      </c>
      <c r="E961" t="s">
        <v>29</v>
      </c>
      <c r="F961" t="s">
        <v>51</v>
      </c>
      <c r="G961" t="s">
        <v>67</v>
      </c>
      <c r="H961" t="s">
        <v>1436</v>
      </c>
    </row>
    <row r="962" spans="1:8" x14ac:dyDescent="0.25">
      <c r="A962" t="s">
        <v>1440</v>
      </c>
      <c r="B962" t="s">
        <v>42</v>
      </c>
      <c r="C962" t="s">
        <v>2327</v>
      </c>
      <c r="D962" t="s">
        <v>2328</v>
      </c>
      <c r="E962" t="s">
        <v>29</v>
      </c>
      <c r="F962" t="s">
        <v>51</v>
      </c>
      <c r="G962" t="s">
        <v>67</v>
      </c>
      <c r="H962" t="s">
        <v>455</v>
      </c>
    </row>
    <row r="963" spans="1:8" x14ac:dyDescent="0.25">
      <c r="A963" t="s">
        <v>1440</v>
      </c>
      <c r="B963" t="s">
        <v>42</v>
      </c>
      <c r="C963" t="s">
        <v>2329</v>
      </c>
      <c r="D963" t="s">
        <v>2330</v>
      </c>
      <c r="E963" t="s">
        <v>67</v>
      </c>
      <c r="F963" t="s">
        <v>19</v>
      </c>
      <c r="G963" t="s">
        <v>67</v>
      </c>
      <c r="H963" t="s">
        <v>2331</v>
      </c>
    </row>
    <row r="964" spans="1:8" x14ac:dyDescent="0.25">
      <c r="A964" t="s">
        <v>1440</v>
      </c>
      <c r="B964" t="s">
        <v>26</v>
      </c>
      <c r="C964" t="s">
        <v>2332</v>
      </c>
      <c r="D964" t="s">
        <v>2332</v>
      </c>
      <c r="E964" t="s">
        <v>45</v>
      </c>
      <c r="F964" t="s">
        <v>24</v>
      </c>
      <c r="G964" t="s">
        <v>63</v>
      </c>
      <c r="H964" t="s">
        <v>2333</v>
      </c>
    </row>
    <row r="965" spans="1:8" x14ac:dyDescent="0.25">
      <c r="A965" t="s">
        <v>1440</v>
      </c>
      <c r="B965" t="s">
        <v>77</v>
      </c>
      <c r="C965" t="s">
        <v>2334</v>
      </c>
      <c r="D965" t="s">
        <v>2335</v>
      </c>
      <c r="E965" t="s">
        <v>172</v>
      </c>
      <c r="F965" t="s">
        <v>30</v>
      </c>
      <c r="G965" t="s">
        <v>14</v>
      </c>
      <c r="H965" t="s">
        <v>2336</v>
      </c>
    </row>
    <row r="966" spans="1:8" x14ac:dyDescent="0.25">
      <c r="A966" t="s">
        <v>1440</v>
      </c>
      <c r="B966" t="s">
        <v>9</v>
      </c>
      <c r="C966" t="s">
        <v>2337</v>
      </c>
      <c r="D966" t="s">
        <v>2338</v>
      </c>
      <c r="E966" t="s">
        <v>35</v>
      </c>
      <c r="F966" t="s">
        <v>19</v>
      </c>
      <c r="G966" t="s">
        <v>14</v>
      </c>
      <c r="H966" t="s">
        <v>109</v>
      </c>
    </row>
    <row r="967" spans="1:8" x14ac:dyDescent="0.25">
      <c r="A967" t="s">
        <v>1440</v>
      </c>
      <c r="B967" t="s">
        <v>37</v>
      </c>
      <c r="C967" t="s">
        <v>2339</v>
      </c>
      <c r="D967" t="s">
        <v>2340</v>
      </c>
      <c r="E967" t="s">
        <v>276</v>
      </c>
      <c r="F967" t="s">
        <v>51</v>
      </c>
      <c r="G967" t="s">
        <v>14</v>
      </c>
      <c r="H967" t="s">
        <v>2341</v>
      </c>
    </row>
    <row r="968" spans="1:8" x14ac:dyDescent="0.25">
      <c r="A968" t="s">
        <v>1440</v>
      </c>
      <c r="B968" t="s">
        <v>9</v>
      </c>
      <c r="C968" t="s">
        <v>2342</v>
      </c>
      <c r="D968" t="s">
        <v>2343</v>
      </c>
      <c r="E968" t="s">
        <v>172</v>
      </c>
      <c r="F968" t="s">
        <v>24</v>
      </c>
      <c r="G968" t="s">
        <v>14</v>
      </c>
      <c r="H968" t="s">
        <v>84</v>
      </c>
    </row>
    <row r="969" spans="1:8" x14ac:dyDescent="0.25">
      <c r="A969" t="s">
        <v>1440</v>
      </c>
      <c r="B969" t="s">
        <v>37</v>
      </c>
      <c r="C969" t="s">
        <v>2344</v>
      </c>
      <c r="D969" t="s">
        <v>2345</v>
      </c>
      <c r="E969" t="s">
        <v>328</v>
      </c>
      <c r="F969" t="s">
        <v>51</v>
      </c>
      <c r="G969" t="s">
        <v>14</v>
      </c>
      <c r="H969" t="s">
        <v>2346</v>
      </c>
    </row>
    <row r="970" spans="1:8" x14ac:dyDescent="0.25">
      <c r="A970" t="s">
        <v>1440</v>
      </c>
      <c r="B970" t="s">
        <v>37</v>
      </c>
      <c r="C970" t="s">
        <v>2347</v>
      </c>
      <c r="D970" t="s">
        <v>2348</v>
      </c>
      <c r="E970" t="s">
        <v>29</v>
      </c>
      <c r="F970" t="s">
        <v>51</v>
      </c>
      <c r="G970" t="s">
        <v>67</v>
      </c>
      <c r="H970" t="s">
        <v>539</v>
      </c>
    </row>
    <row r="971" spans="1:8" x14ac:dyDescent="0.25">
      <c r="A971" t="s">
        <v>1440</v>
      </c>
      <c r="B971" t="s">
        <v>9</v>
      </c>
      <c r="C971" t="s">
        <v>2349</v>
      </c>
      <c r="D971" t="s">
        <v>2350</v>
      </c>
      <c r="E971" t="s">
        <v>12</v>
      </c>
      <c r="F971" t="s">
        <v>13</v>
      </c>
      <c r="G971" t="s">
        <v>14</v>
      </c>
      <c r="H971" t="s">
        <v>502</v>
      </c>
    </row>
    <row r="972" spans="1:8" x14ac:dyDescent="0.25">
      <c r="A972" t="s">
        <v>1440</v>
      </c>
      <c r="B972" t="s">
        <v>91</v>
      </c>
      <c r="C972" t="s">
        <v>2351</v>
      </c>
      <c r="D972" t="s">
        <v>2352</v>
      </c>
      <c r="E972" t="s">
        <v>29</v>
      </c>
      <c r="F972" t="s">
        <v>30</v>
      </c>
      <c r="G972" t="s">
        <v>14</v>
      </c>
      <c r="H972" t="s">
        <v>84</v>
      </c>
    </row>
    <row r="973" spans="1:8" x14ac:dyDescent="0.25">
      <c r="A973" t="s">
        <v>1440</v>
      </c>
      <c r="B973" t="s">
        <v>37</v>
      </c>
      <c r="C973" t="s">
        <v>2353</v>
      </c>
      <c r="D973" t="s">
        <v>2354</v>
      </c>
      <c r="E973" t="s">
        <v>29</v>
      </c>
      <c r="F973" t="s">
        <v>51</v>
      </c>
      <c r="G973" t="s">
        <v>67</v>
      </c>
      <c r="H973" t="s">
        <v>455</v>
      </c>
    </row>
    <row r="974" spans="1:8" x14ac:dyDescent="0.25">
      <c r="A974" t="s">
        <v>1440</v>
      </c>
      <c r="B974" t="s">
        <v>9</v>
      </c>
      <c r="C974" t="s">
        <v>2355</v>
      </c>
      <c r="D974" t="s">
        <v>2356</v>
      </c>
      <c r="E974" t="s">
        <v>467</v>
      </c>
      <c r="F974" t="s">
        <v>51</v>
      </c>
      <c r="G974" t="s">
        <v>14</v>
      </c>
      <c r="H974" t="s">
        <v>2357</v>
      </c>
    </row>
    <row r="975" spans="1:8" x14ac:dyDescent="0.25">
      <c r="A975" t="s">
        <v>1440</v>
      </c>
      <c r="B975" t="s">
        <v>73</v>
      </c>
      <c r="C975" t="s">
        <v>2358</v>
      </c>
      <c r="D975" t="s">
        <v>2359</v>
      </c>
      <c r="E975" t="s">
        <v>60</v>
      </c>
      <c r="F975" t="s">
        <v>71</v>
      </c>
      <c r="G975" t="s">
        <v>14</v>
      </c>
      <c r="H975" t="s">
        <v>205</v>
      </c>
    </row>
    <row r="976" spans="1:8" x14ac:dyDescent="0.25">
      <c r="A976" t="s">
        <v>1440</v>
      </c>
      <c r="B976" t="s">
        <v>42</v>
      </c>
      <c r="C976" t="s">
        <v>2360</v>
      </c>
      <c r="D976" t="s">
        <v>2361</v>
      </c>
      <c r="E976" t="s">
        <v>40</v>
      </c>
      <c r="F976" t="s">
        <v>51</v>
      </c>
      <c r="G976" t="s">
        <v>14</v>
      </c>
      <c r="H976" t="s">
        <v>223</v>
      </c>
    </row>
    <row r="977" spans="1:8" x14ac:dyDescent="0.25">
      <c r="A977" t="s">
        <v>1440</v>
      </c>
      <c r="B977" t="s">
        <v>113</v>
      </c>
      <c r="C977" t="s">
        <v>2362</v>
      </c>
      <c r="D977" t="s">
        <v>2363</v>
      </c>
      <c r="E977" t="s">
        <v>35</v>
      </c>
      <c r="F977" t="s">
        <v>24</v>
      </c>
      <c r="G977" t="s">
        <v>14</v>
      </c>
      <c r="H977" t="s">
        <v>122</v>
      </c>
    </row>
    <row r="978" spans="1:8" x14ac:dyDescent="0.25">
      <c r="A978" t="s">
        <v>1440</v>
      </c>
      <c r="B978" t="s">
        <v>37</v>
      </c>
      <c r="C978" t="s">
        <v>2364</v>
      </c>
      <c r="D978" t="s">
        <v>2364</v>
      </c>
      <c r="E978" t="s">
        <v>2365</v>
      </c>
      <c r="F978" t="s">
        <v>30</v>
      </c>
      <c r="G978" t="s">
        <v>63</v>
      </c>
      <c r="H978" t="s">
        <v>186</v>
      </c>
    </row>
    <row r="979" spans="1:8" x14ac:dyDescent="0.25">
      <c r="A979" t="s">
        <v>1440</v>
      </c>
      <c r="B979" t="s">
        <v>9</v>
      </c>
      <c r="C979" t="s">
        <v>2366</v>
      </c>
      <c r="D979" t="s">
        <v>2367</v>
      </c>
      <c r="E979" t="s">
        <v>35</v>
      </c>
      <c r="F979" t="s">
        <v>30</v>
      </c>
      <c r="G979" t="s">
        <v>14</v>
      </c>
      <c r="H979" t="s">
        <v>122</v>
      </c>
    </row>
    <row r="980" spans="1:8" x14ac:dyDescent="0.25">
      <c r="A980" t="s">
        <v>1440</v>
      </c>
      <c r="B980" t="s">
        <v>100</v>
      </c>
      <c r="C980" t="s">
        <v>2368</v>
      </c>
      <c r="D980" t="s">
        <v>2369</v>
      </c>
      <c r="E980" t="s">
        <v>50</v>
      </c>
      <c r="F980" t="s">
        <v>51</v>
      </c>
      <c r="G980" t="s">
        <v>14</v>
      </c>
      <c r="H980" t="s">
        <v>2370</v>
      </c>
    </row>
    <row r="981" spans="1:8" x14ac:dyDescent="0.25">
      <c r="A981" t="s">
        <v>1440</v>
      </c>
      <c r="B981" t="s">
        <v>9</v>
      </c>
      <c r="C981" t="s">
        <v>2371</v>
      </c>
      <c r="D981" t="s">
        <v>2372</v>
      </c>
      <c r="E981" t="s">
        <v>12</v>
      </c>
      <c r="F981" t="s">
        <v>30</v>
      </c>
      <c r="G981" t="s">
        <v>14</v>
      </c>
      <c r="H981" t="s">
        <v>2373</v>
      </c>
    </row>
    <row r="982" spans="1:8" x14ac:dyDescent="0.25">
      <c r="A982" t="s">
        <v>1440</v>
      </c>
      <c r="B982" t="s">
        <v>32</v>
      </c>
      <c r="C982" t="s">
        <v>2374</v>
      </c>
      <c r="D982" t="s">
        <v>2374</v>
      </c>
      <c r="E982" t="s">
        <v>45</v>
      </c>
      <c r="F982" t="s">
        <v>30</v>
      </c>
      <c r="G982" t="s">
        <v>63</v>
      </c>
      <c r="H982" t="s">
        <v>2375</v>
      </c>
    </row>
    <row r="983" spans="1:8" x14ac:dyDescent="0.25">
      <c r="A983" t="s">
        <v>1440</v>
      </c>
      <c r="B983" t="s">
        <v>77</v>
      </c>
      <c r="C983" t="s">
        <v>2376</v>
      </c>
      <c r="D983" t="s">
        <v>2377</v>
      </c>
      <c r="E983" t="s">
        <v>505</v>
      </c>
      <c r="F983" t="s">
        <v>51</v>
      </c>
      <c r="G983" t="s">
        <v>14</v>
      </c>
      <c r="H983" t="s">
        <v>2378</v>
      </c>
    </row>
    <row r="984" spans="1:8" x14ac:dyDescent="0.25">
      <c r="A984" t="s">
        <v>1440</v>
      </c>
      <c r="B984" t="s">
        <v>77</v>
      </c>
      <c r="C984" t="s">
        <v>2379</v>
      </c>
      <c r="D984" t="s">
        <v>2380</v>
      </c>
      <c r="E984" t="s">
        <v>29</v>
      </c>
      <c r="F984" t="s">
        <v>51</v>
      </c>
      <c r="G984" t="s">
        <v>67</v>
      </c>
      <c r="H984" t="s">
        <v>455</v>
      </c>
    </row>
    <row r="985" spans="1:8" x14ac:dyDescent="0.25">
      <c r="A985" t="s">
        <v>1440</v>
      </c>
      <c r="B985" t="s">
        <v>9</v>
      </c>
      <c r="C985" t="s">
        <v>2381</v>
      </c>
      <c r="D985" t="s">
        <v>2381</v>
      </c>
      <c r="E985" t="s">
        <v>12</v>
      </c>
      <c r="F985" t="s">
        <v>13</v>
      </c>
      <c r="G985" t="s">
        <v>63</v>
      </c>
      <c r="H985" t="s">
        <v>333</v>
      </c>
    </row>
    <row r="986" spans="1:8" x14ac:dyDescent="0.25">
      <c r="A986" t="s">
        <v>1440</v>
      </c>
      <c r="B986" t="s">
        <v>9</v>
      </c>
      <c r="C986" t="s">
        <v>2382</v>
      </c>
      <c r="D986" t="s">
        <v>2383</v>
      </c>
      <c r="E986" t="s">
        <v>29</v>
      </c>
      <c r="F986" t="s">
        <v>24</v>
      </c>
      <c r="G986" t="s">
        <v>14</v>
      </c>
      <c r="H986" t="s">
        <v>1020</v>
      </c>
    </row>
    <row r="987" spans="1:8" x14ac:dyDescent="0.25">
      <c r="A987" t="s">
        <v>1440</v>
      </c>
      <c r="B987" t="s">
        <v>77</v>
      </c>
      <c r="C987" t="s">
        <v>2384</v>
      </c>
      <c r="D987" t="s">
        <v>2385</v>
      </c>
      <c r="E987" t="s">
        <v>845</v>
      </c>
      <c r="F987" t="s">
        <v>51</v>
      </c>
      <c r="G987" t="s">
        <v>14</v>
      </c>
      <c r="H987" t="s">
        <v>1020</v>
      </c>
    </row>
    <row r="988" spans="1:8" x14ac:dyDescent="0.25">
      <c r="A988" t="s">
        <v>1440</v>
      </c>
      <c r="B988" t="s">
        <v>37</v>
      </c>
      <c r="C988" t="s">
        <v>2386</v>
      </c>
      <c r="D988" t="s">
        <v>2387</v>
      </c>
      <c r="E988" t="s">
        <v>172</v>
      </c>
      <c r="F988" t="s">
        <v>51</v>
      </c>
      <c r="G988" t="s">
        <v>14</v>
      </c>
      <c r="H988" t="s">
        <v>2388</v>
      </c>
    </row>
    <row r="989" spans="1:8" x14ac:dyDescent="0.25">
      <c r="A989" t="s">
        <v>1440</v>
      </c>
      <c r="B989" t="s">
        <v>37</v>
      </c>
      <c r="C989" t="s">
        <v>2389</v>
      </c>
      <c r="D989" t="s">
        <v>2390</v>
      </c>
      <c r="E989" t="s">
        <v>772</v>
      </c>
      <c r="F989" t="s">
        <v>51</v>
      </c>
      <c r="G989" t="s">
        <v>14</v>
      </c>
      <c r="H989" t="s">
        <v>755</v>
      </c>
    </row>
    <row r="990" spans="1:8" x14ac:dyDescent="0.25">
      <c r="A990" t="s">
        <v>1440</v>
      </c>
      <c r="B990" t="s">
        <v>53</v>
      </c>
      <c r="C990" t="s">
        <v>2391</v>
      </c>
      <c r="D990" t="s">
        <v>2392</v>
      </c>
      <c r="E990" t="s">
        <v>2047</v>
      </c>
      <c r="F990" t="s">
        <v>191</v>
      </c>
      <c r="G990" t="s">
        <v>56</v>
      </c>
      <c r="H990" t="s">
        <v>1094</v>
      </c>
    </row>
    <row r="991" spans="1:8" x14ac:dyDescent="0.25">
      <c r="A991" t="s">
        <v>1440</v>
      </c>
      <c r="B991" t="s">
        <v>26</v>
      </c>
      <c r="C991" t="s">
        <v>2393</v>
      </c>
      <c r="D991" t="s">
        <v>2394</v>
      </c>
      <c r="E991" t="s">
        <v>641</v>
      </c>
      <c r="F991" t="s">
        <v>19</v>
      </c>
      <c r="G991" t="s">
        <v>14</v>
      </c>
      <c r="H991" t="s">
        <v>2395</v>
      </c>
    </row>
    <row r="992" spans="1:8" x14ac:dyDescent="0.25">
      <c r="A992" t="s">
        <v>1440</v>
      </c>
      <c r="B992" t="s">
        <v>42</v>
      </c>
      <c r="C992" t="s">
        <v>2396</v>
      </c>
      <c r="D992" t="s">
        <v>2396</v>
      </c>
      <c r="E992" t="s">
        <v>23</v>
      </c>
      <c r="F992" t="s">
        <v>24</v>
      </c>
      <c r="G992" t="s">
        <v>63</v>
      </c>
      <c r="H992" t="s">
        <v>506</v>
      </c>
    </row>
    <row r="993" spans="1:8" x14ac:dyDescent="0.25">
      <c r="A993" t="s">
        <v>1440</v>
      </c>
      <c r="B993" t="s">
        <v>16</v>
      </c>
      <c r="C993" t="s">
        <v>2397</v>
      </c>
      <c r="D993" t="s">
        <v>2398</v>
      </c>
      <c r="E993" t="s">
        <v>40</v>
      </c>
      <c r="F993" t="s">
        <v>51</v>
      </c>
      <c r="G993" t="s">
        <v>14</v>
      </c>
      <c r="H993" t="s">
        <v>2399</v>
      </c>
    </row>
    <row r="994" spans="1:8" x14ac:dyDescent="0.25">
      <c r="A994" t="s">
        <v>1440</v>
      </c>
      <c r="B994" t="s">
        <v>37</v>
      </c>
      <c r="C994" t="s">
        <v>2400</v>
      </c>
      <c r="D994" t="s">
        <v>2401</v>
      </c>
      <c r="E994" t="s">
        <v>40</v>
      </c>
      <c r="F994" t="s">
        <v>19</v>
      </c>
      <c r="G994" t="s">
        <v>14</v>
      </c>
      <c r="H994" t="s">
        <v>2402</v>
      </c>
    </row>
    <row r="995" spans="1:8" x14ac:dyDescent="0.25">
      <c r="A995" t="s">
        <v>1440</v>
      </c>
      <c r="B995" t="s">
        <v>37</v>
      </c>
      <c r="C995" t="s">
        <v>2403</v>
      </c>
      <c r="D995" t="s">
        <v>2404</v>
      </c>
      <c r="E995" t="s">
        <v>845</v>
      </c>
      <c r="F995" t="s">
        <v>51</v>
      </c>
      <c r="G995" t="s">
        <v>14</v>
      </c>
      <c r="H995" t="s">
        <v>223</v>
      </c>
    </row>
    <row r="996" spans="1:8" x14ac:dyDescent="0.25">
      <c r="A996" t="s">
        <v>1440</v>
      </c>
      <c r="B996" t="s">
        <v>42</v>
      </c>
      <c r="C996" t="s">
        <v>2405</v>
      </c>
      <c r="D996" t="s">
        <v>2406</v>
      </c>
      <c r="E996" t="s">
        <v>45</v>
      </c>
      <c r="F996" t="s">
        <v>30</v>
      </c>
      <c r="G996" t="s">
        <v>14</v>
      </c>
      <c r="H996" t="s">
        <v>502</v>
      </c>
    </row>
    <row r="997" spans="1:8" x14ac:dyDescent="0.25">
      <c r="A997" t="s">
        <v>1440</v>
      </c>
      <c r="B997" t="s">
        <v>91</v>
      </c>
      <c r="C997" t="s">
        <v>2407</v>
      </c>
      <c r="D997" t="s">
        <v>2408</v>
      </c>
      <c r="E997" t="s">
        <v>40</v>
      </c>
      <c r="F997" t="s">
        <v>80</v>
      </c>
      <c r="G997" t="s">
        <v>14</v>
      </c>
      <c r="H997" t="s">
        <v>1634</v>
      </c>
    </row>
    <row r="998" spans="1:8" x14ac:dyDescent="0.25">
      <c r="A998" t="s">
        <v>1440</v>
      </c>
      <c r="B998" t="s">
        <v>42</v>
      </c>
      <c r="C998" t="s">
        <v>2409</v>
      </c>
      <c r="D998" t="s">
        <v>2410</v>
      </c>
      <c r="E998" t="s">
        <v>40</v>
      </c>
      <c r="F998" t="s">
        <v>51</v>
      </c>
      <c r="G998" t="s">
        <v>14</v>
      </c>
      <c r="H998" t="s">
        <v>2411</v>
      </c>
    </row>
    <row r="999" spans="1:8" x14ac:dyDescent="0.25">
      <c r="A999" t="s">
        <v>1440</v>
      </c>
      <c r="B999" t="s">
        <v>26</v>
      </c>
      <c r="C999" t="s">
        <v>2412</v>
      </c>
      <c r="D999" t="s">
        <v>2413</v>
      </c>
      <c r="E999" t="s">
        <v>29</v>
      </c>
      <c r="F999" t="s">
        <v>24</v>
      </c>
      <c r="G999" t="s">
        <v>14</v>
      </c>
      <c r="H999" t="s">
        <v>2414</v>
      </c>
    </row>
    <row r="1000" spans="1:8" x14ac:dyDescent="0.25">
      <c r="A1000" t="s">
        <v>1440</v>
      </c>
      <c r="B1000" t="s">
        <v>16</v>
      </c>
      <c r="C1000" t="s">
        <v>2415</v>
      </c>
      <c r="D1000" t="s">
        <v>2416</v>
      </c>
      <c r="E1000" t="s">
        <v>29</v>
      </c>
      <c r="F1000" t="s">
        <v>51</v>
      </c>
      <c r="G1000" t="s">
        <v>67</v>
      </c>
      <c r="H1000" t="s">
        <v>2074</v>
      </c>
    </row>
    <row r="1001" spans="1:8" x14ac:dyDescent="0.25">
      <c r="A1001" t="s">
        <v>1440</v>
      </c>
      <c r="B1001" t="s">
        <v>16</v>
      </c>
      <c r="C1001" t="s">
        <v>2417</v>
      </c>
      <c r="D1001" t="s">
        <v>2418</v>
      </c>
      <c r="E1001" t="s">
        <v>29</v>
      </c>
      <c r="F1001" t="s">
        <v>24</v>
      </c>
      <c r="G1001" t="s">
        <v>14</v>
      </c>
      <c r="H1001" t="s">
        <v>526</v>
      </c>
    </row>
    <row r="1002" spans="1:8" x14ac:dyDescent="0.25">
      <c r="A1002" t="s">
        <v>1440</v>
      </c>
      <c r="B1002" t="s">
        <v>77</v>
      </c>
      <c r="C1002" t="s">
        <v>2419</v>
      </c>
      <c r="D1002" t="s">
        <v>2420</v>
      </c>
      <c r="E1002" t="s">
        <v>29</v>
      </c>
      <c r="F1002" t="s">
        <v>97</v>
      </c>
      <c r="G1002" t="s">
        <v>98</v>
      </c>
      <c r="H1002" t="s">
        <v>1516</v>
      </c>
    </row>
    <row r="1003" spans="1:8" x14ac:dyDescent="0.25">
      <c r="A1003" t="s">
        <v>1440</v>
      </c>
      <c r="B1003" t="s">
        <v>73</v>
      </c>
      <c r="C1003" t="s">
        <v>2421</v>
      </c>
      <c r="D1003" t="s">
        <v>2422</v>
      </c>
      <c r="E1003" t="s">
        <v>29</v>
      </c>
      <c r="F1003" t="s">
        <v>24</v>
      </c>
      <c r="G1003" t="s">
        <v>14</v>
      </c>
      <c r="H1003" t="s">
        <v>443</v>
      </c>
    </row>
    <row r="1004" spans="1:8" x14ac:dyDescent="0.25">
      <c r="A1004" t="s">
        <v>1440</v>
      </c>
      <c r="B1004" t="s">
        <v>100</v>
      </c>
      <c r="C1004" t="s">
        <v>2423</v>
      </c>
      <c r="D1004" t="s">
        <v>2424</v>
      </c>
      <c r="E1004" t="s">
        <v>172</v>
      </c>
      <c r="F1004" t="s">
        <v>30</v>
      </c>
      <c r="G1004" t="s">
        <v>14</v>
      </c>
      <c r="H1004" t="s">
        <v>549</v>
      </c>
    </row>
    <row r="1005" spans="1:8" x14ac:dyDescent="0.25">
      <c r="A1005" t="s">
        <v>1440</v>
      </c>
      <c r="B1005" t="s">
        <v>37</v>
      </c>
      <c r="C1005" t="s">
        <v>2425</v>
      </c>
      <c r="D1005" t="s">
        <v>2426</v>
      </c>
      <c r="E1005" t="s">
        <v>116</v>
      </c>
      <c r="F1005" t="s">
        <v>30</v>
      </c>
      <c r="G1005" t="s">
        <v>14</v>
      </c>
      <c r="H1005" t="s">
        <v>502</v>
      </c>
    </row>
    <row r="1006" spans="1:8" x14ac:dyDescent="0.25">
      <c r="A1006" t="s">
        <v>1440</v>
      </c>
      <c r="B1006" t="s">
        <v>123</v>
      </c>
      <c r="C1006" t="s">
        <v>2427</v>
      </c>
      <c r="D1006" t="s">
        <v>2428</v>
      </c>
      <c r="E1006" t="s">
        <v>23</v>
      </c>
      <c r="F1006" t="s">
        <v>24</v>
      </c>
      <c r="G1006" t="s">
        <v>14</v>
      </c>
      <c r="H1006" t="s">
        <v>2429</v>
      </c>
    </row>
    <row r="1007" spans="1:8" x14ac:dyDescent="0.25">
      <c r="A1007" t="s">
        <v>1440</v>
      </c>
      <c r="B1007" t="s">
        <v>9</v>
      </c>
      <c r="C1007" t="s">
        <v>2430</v>
      </c>
      <c r="D1007" t="s">
        <v>2431</v>
      </c>
      <c r="E1007" t="s">
        <v>172</v>
      </c>
      <c r="F1007" t="s">
        <v>30</v>
      </c>
      <c r="G1007" t="s">
        <v>14</v>
      </c>
      <c r="H1007" t="s">
        <v>36</v>
      </c>
    </row>
    <row r="1008" spans="1:8" x14ac:dyDescent="0.25">
      <c r="A1008" t="s">
        <v>1440</v>
      </c>
      <c r="B1008" t="s">
        <v>26</v>
      </c>
      <c r="C1008" t="s">
        <v>2432</v>
      </c>
      <c r="D1008" t="s">
        <v>2433</v>
      </c>
      <c r="E1008" t="s">
        <v>29</v>
      </c>
      <c r="F1008" t="s">
        <v>24</v>
      </c>
      <c r="G1008" t="s">
        <v>14</v>
      </c>
      <c r="H1008" t="s">
        <v>416</v>
      </c>
    </row>
    <row r="1009" spans="1:8" x14ac:dyDescent="0.25">
      <c r="A1009" t="s">
        <v>1440</v>
      </c>
      <c r="B1009" t="s">
        <v>91</v>
      </c>
      <c r="C1009" t="s">
        <v>2434</v>
      </c>
      <c r="D1009" t="s">
        <v>2435</v>
      </c>
      <c r="E1009" t="s">
        <v>29</v>
      </c>
      <c r="F1009" t="s">
        <v>30</v>
      </c>
      <c r="G1009" t="s">
        <v>14</v>
      </c>
      <c r="H1009" t="s">
        <v>200</v>
      </c>
    </row>
    <row r="1010" spans="1:8" x14ac:dyDescent="0.25">
      <c r="A1010" t="s">
        <v>1440</v>
      </c>
      <c r="B1010" t="s">
        <v>9</v>
      </c>
      <c r="C1010" t="s">
        <v>2436</v>
      </c>
      <c r="D1010" t="s">
        <v>2437</v>
      </c>
      <c r="E1010" t="s">
        <v>67</v>
      </c>
      <c r="F1010" t="s">
        <v>24</v>
      </c>
      <c r="G1010" t="s">
        <v>67</v>
      </c>
      <c r="H1010" t="s">
        <v>223</v>
      </c>
    </row>
    <row r="1011" spans="1:8" x14ac:dyDescent="0.25">
      <c r="A1011" t="s">
        <v>1440</v>
      </c>
      <c r="B1011" t="s">
        <v>26</v>
      </c>
      <c r="C1011" t="s">
        <v>2438</v>
      </c>
      <c r="D1011" t="s">
        <v>2439</v>
      </c>
      <c r="E1011" t="s">
        <v>172</v>
      </c>
      <c r="F1011" t="s">
        <v>24</v>
      </c>
      <c r="G1011" t="s">
        <v>14</v>
      </c>
      <c r="H1011" t="s">
        <v>36</v>
      </c>
    </row>
    <row r="1012" spans="1:8" x14ac:dyDescent="0.25">
      <c r="A1012" t="s">
        <v>1440</v>
      </c>
      <c r="B1012" t="s">
        <v>42</v>
      </c>
      <c r="C1012" t="s">
        <v>2440</v>
      </c>
      <c r="D1012" t="s">
        <v>2441</v>
      </c>
      <c r="E1012" t="s">
        <v>12</v>
      </c>
      <c r="F1012" t="s">
        <v>13</v>
      </c>
      <c r="G1012" t="s">
        <v>14</v>
      </c>
      <c r="H1012" t="s">
        <v>727</v>
      </c>
    </row>
    <row r="1013" spans="1:8" x14ac:dyDescent="0.25">
      <c r="A1013" t="s">
        <v>1440</v>
      </c>
      <c r="B1013" t="s">
        <v>9</v>
      </c>
      <c r="C1013" t="s">
        <v>2442</v>
      </c>
      <c r="D1013" t="s">
        <v>2443</v>
      </c>
      <c r="E1013" t="s">
        <v>172</v>
      </c>
      <c r="F1013" t="s">
        <v>30</v>
      </c>
      <c r="G1013" t="s">
        <v>14</v>
      </c>
      <c r="H1013" t="s">
        <v>2074</v>
      </c>
    </row>
    <row r="1014" spans="1:8" x14ac:dyDescent="0.25">
      <c r="A1014" t="s">
        <v>1440</v>
      </c>
      <c r="B1014" t="s">
        <v>113</v>
      </c>
      <c r="C1014" t="s">
        <v>2444</v>
      </c>
      <c r="D1014" t="s">
        <v>2445</v>
      </c>
      <c r="E1014" t="s">
        <v>172</v>
      </c>
      <c r="F1014" t="s">
        <v>30</v>
      </c>
      <c r="G1014" t="s">
        <v>14</v>
      </c>
      <c r="H1014" t="s">
        <v>46</v>
      </c>
    </row>
    <row r="1015" spans="1:8" x14ac:dyDescent="0.25">
      <c r="A1015" t="s">
        <v>1440</v>
      </c>
      <c r="B1015" t="s">
        <v>42</v>
      </c>
      <c r="C1015" t="s">
        <v>2446</v>
      </c>
      <c r="D1015" t="s">
        <v>2447</v>
      </c>
      <c r="E1015" t="s">
        <v>29</v>
      </c>
      <c r="F1015" t="s">
        <v>30</v>
      </c>
      <c r="G1015" t="s">
        <v>14</v>
      </c>
      <c r="H1015" t="s">
        <v>155</v>
      </c>
    </row>
    <row r="1016" spans="1:8" x14ac:dyDescent="0.25">
      <c r="A1016" t="s">
        <v>1440</v>
      </c>
      <c r="B1016" t="s">
        <v>42</v>
      </c>
      <c r="C1016" t="s">
        <v>2448</v>
      </c>
      <c r="D1016" t="s">
        <v>2449</v>
      </c>
      <c r="E1016" t="s">
        <v>172</v>
      </c>
      <c r="F1016" t="s">
        <v>30</v>
      </c>
      <c r="G1016" t="s">
        <v>14</v>
      </c>
      <c r="H1016" t="s">
        <v>833</v>
      </c>
    </row>
    <row r="1017" spans="1:8" x14ac:dyDescent="0.25">
      <c r="A1017" t="s">
        <v>1440</v>
      </c>
      <c r="B1017" t="s">
        <v>123</v>
      </c>
      <c r="C1017" t="s">
        <v>2450</v>
      </c>
      <c r="D1017" t="s">
        <v>2451</v>
      </c>
      <c r="E1017" t="s">
        <v>67</v>
      </c>
      <c r="F1017" t="s">
        <v>24</v>
      </c>
      <c r="G1017" t="s">
        <v>67</v>
      </c>
      <c r="H1017" t="s">
        <v>2452</v>
      </c>
    </row>
    <row r="1018" spans="1:8" x14ac:dyDescent="0.25">
      <c r="A1018" t="s">
        <v>1440</v>
      </c>
      <c r="B1018" t="s">
        <v>26</v>
      </c>
      <c r="C1018" t="s">
        <v>2453</v>
      </c>
      <c r="D1018" t="s">
        <v>2454</v>
      </c>
      <c r="E1018" t="s">
        <v>116</v>
      </c>
      <c r="F1018" t="s">
        <v>30</v>
      </c>
      <c r="G1018" t="s">
        <v>14</v>
      </c>
      <c r="H1018" t="s">
        <v>237</v>
      </c>
    </row>
    <row r="1019" spans="1:8" x14ac:dyDescent="0.25">
      <c r="A1019" t="s">
        <v>1440</v>
      </c>
      <c r="B1019" t="s">
        <v>26</v>
      </c>
      <c r="C1019" t="s">
        <v>2455</v>
      </c>
      <c r="D1019" t="s">
        <v>2456</v>
      </c>
      <c r="E1019" t="s">
        <v>12</v>
      </c>
      <c r="F1019" t="s">
        <v>30</v>
      </c>
      <c r="G1019" t="s">
        <v>14</v>
      </c>
      <c r="H1019" t="s">
        <v>2457</v>
      </c>
    </row>
    <row r="1020" spans="1:8" x14ac:dyDescent="0.25">
      <c r="A1020" t="s">
        <v>1440</v>
      </c>
      <c r="B1020" t="s">
        <v>91</v>
      </c>
      <c r="C1020" t="s">
        <v>2458</v>
      </c>
      <c r="D1020" t="s">
        <v>2459</v>
      </c>
      <c r="E1020" t="s">
        <v>29</v>
      </c>
      <c r="F1020" t="s">
        <v>97</v>
      </c>
      <c r="G1020" t="s">
        <v>98</v>
      </c>
      <c r="H1020" t="s">
        <v>1516</v>
      </c>
    </row>
    <row r="1021" spans="1:8" x14ac:dyDescent="0.25">
      <c r="A1021" t="s">
        <v>1440</v>
      </c>
      <c r="B1021" t="s">
        <v>77</v>
      </c>
      <c r="C1021" t="s">
        <v>2460</v>
      </c>
      <c r="D1021" t="s">
        <v>2461</v>
      </c>
      <c r="E1021" t="s">
        <v>29</v>
      </c>
      <c r="F1021" t="s">
        <v>97</v>
      </c>
      <c r="G1021" t="s">
        <v>98</v>
      </c>
      <c r="H1021" t="s">
        <v>2261</v>
      </c>
    </row>
    <row r="1022" spans="1:8" x14ac:dyDescent="0.25">
      <c r="A1022" t="s">
        <v>1440</v>
      </c>
      <c r="B1022" t="s">
        <v>37</v>
      </c>
      <c r="C1022" t="s">
        <v>2462</v>
      </c>
      <c r="D1022" t="s">
        <v>2463</v>
      </c>
      <c r="E1022" t="s">
        <v>67</v>
      </c>
      <c r="F1022" t="s">
        <v>24</v>
      </c>
      <c r="G1022" t="s">
        <v>67</v>
      </c>
      <c r="H1022" t="s">
        <v>685</v>
      </c>
    </row>
    <row r="1023" spans="1:8" x14ac:dyDescent="0.25">
      <c r="A1023" t="s">
        <v>1440</v>
      </c>
      <c r="B1023" t="s">
        <v>77</v>
      </c>
      <c r="C1023" t="s">
        <v>2464</v>
      </c>
      <c r="D1023" t="s">
        <v>2465</v>
      </c>
      <c r="E1023" t="s">
        <v>29</v>
      </c>
      <c r="F1023" t="s">
        <v>51</v>
      </c>
      <c r="G1023" t="s">
        <v>67</v>
      </c>
      <c r="H1023" t="s">
        <v>57</v>
      </c>
    </row>
    <row r="1024" spans="1:8" x14ac:dyDescent="0.25">
      <c r="A1024" t="s">
        <v>1440</v>
      </c>
      <c r="B1024" t="s">
        <v>16</v>
      </c>
      <c r="C1024" t="s">
        <v>2466</v>
      </c>
      <c r="D1024" t="s">
        <v>2467</v>
      </c>
      <c r="E1024" t="s">
        <v>67</v>
      </c>
      <c r="F1024" t="s">
        <v>24</v>
      </c>
      <c r="G1024" t="s">
        <v>67</v>
      </c>
      <c r="H1024" t="s">
        <v>1187</v>
      </c>
    </row>
    <row r="1025" spans="1:8" x14ac:dyDescent="0.25">
      <c r="A1025" t="s">
        <v>1440</v>
      </c>
      <c r="B1025" t="s">
        <v>100</v>
      </c>
      <c r="C1025" t="s">
        <v>2468</v>
      </c>
      <c r="D1025" t="s">
        <v>2469</v>
      </c>
      <c r="E1025" t="s">
        <v>67</v>
      </c>
      <c r="F1025" t="s">
        <v>24</v>
      </c>
      <c r="G1025" t="s">
        <v>67</v>
      </c>
      <c r="H1025" t="s">
        <v>959</v>
      </c>
    </row>
    <row r="1026" spans="1:8" x14ac:dyDescent="0.25">
      <c r="A1026" t="s">
        <v>1440</v>
      </c>
      <c r="B1026" t="s">
        <v>91</v>
      </c>
      <c r="C1026" t="s">
        <v>2470</v>
      </c>
      <c r="D1026" t="s">
        <v>2471</v>
      </c>
      <c r="E1026" t="s">
        <v>67</v>
      </c>
      <c r="F1026" t="s">
        <v>24</v>
      </c>
      <c r="G1026" t="s">
        <v>67</v>
      </c>
      <c r="H1026" t="s">
        <v>739</v>
      </c>
    </row>
    <row r="1027" spans="1:8" x14ac:dyDescent="0.25">
      <c r="A1027" t="s">
        <v>1440</v>
      </c>
      <c r="B1027" t="s">
        <v>32</v>
      </c>
      <c r="C1027" t="s">
        <v>2472</v>
      </c>
      <c r="D1027" t="s">
        <v>2473</v>
      </c>
      <c r="E1027" t="s">
        <v>172</v>
      </c>
      <c r="F1027" t="s">
        <v>30</v>
      </c>
      <c r="G1027" t="s">
        <v>14</v>
      </c>
      <c r="H1027" t="s">
        <v>140</v>
      </c>
    </row>
    <row r="1028" spans="1:8" x14ac:dyDescent="0.25">
      <c r="A1028" t="s">
        <v>1440</v>
      </c>
      <c r="B1028" t="s">
        <v>91</v>
      </c>
      <c r="C1028" t="s">
        <v>2474</v>
      </c>
      <c r="D1028" t="s">
        <v>2475</v>
      </c>
      <c r="E1028" t="s">
        <v>67</v>
      </c>
      <c r="F1028" t="s">
        <v>24</v>
      </c>
      <c r="G1028" t="s">
        <v>67</v>
      </c>
      <c r="H1028" t="s">
        <v>2023</v>
      </c>
    </row>
    <row r="1029" spans="1:8" x14ac:dyDescent="0.25">
      <c r="A1029" t="s">
        <v>1440</v>
      </c>
      <c r="B1029" t="s">
        <v>113</v>
      </c>
      <c r="C1029" t="s">
        <v>2476</v>
      </c>
      <c r="D1029" t="s">
        <v>2477</v>
      </c>
      <c r="E1029" t="s">
        <v>12</v>
      </c>
      <c r="F1029" t="s">
        <v>30</v>
      </c>
      <c r="G1029" t="s">
        <v>56</v>
      </c>
      <c r="H1029" t="s">
        <v>173</v>
      </c>
    </row>
    <row r="1030" spans="1:8" x14ac:dyDescent="0.25">
      <c r="A1030" t="s">
        <v>1440</v>
      </c>
      <c r="B1030" t="s">
        <v>91</v>
      </c>
      <c r="C1030" t="s">
        <v>2140</v>
      </c>
      <c r="D1030" t="s">
        <v>2478</v>
      </c>
      <c r="E1030" t="s">
        <v>35</v>
      </c>
      <c r="F1030" t="s">
        <v>24</v>
      </c>
      <c r="G1030" t="s">
        <v>14</v>
      </c>
      <c r="H1030" t="s">
        <v>155</v>
      </c>
    </row>
    <row r="1031" spans="1:8" x14ac:dyDescent="0.25">
      <c r="A1031" t="s">
        <v>1440</v>
      </c>
      <c r="B1031" t="s">
        <v>113</v>
      </c>
      <c r="C1031" t="s">
        <v>2479</v>
      </c>
      <c r="D1031" t="s">
        <v>2480</v>
      </c>
      <c r="E1031" t="s">
        <v>1409</v>
      </c>
      <c r="F1031" t="s">
        <v>191</v>
      </c>
      <c r="G1031" t="s">
        <v>56</v>
      </c>
      <c r="H1031" t="s">
        <v>15</v>
      </c>
    </row>
    <row r="1032" spans="1:8" x14ac:dyDescent="0.25">
      <c r="A1032" t="s">
        <v>1440</v>
      </c>
      <c r="B1032" t="s">
        <v>26</v>
      </c>
      <c r="C1032" t="s">
        <v>2481</v>
      </c>
      <c r="D1032" t="s">
        <v>2482</v>
      </c>
      <c r="E1032" t="s">
        <v>67</v>
      </c>
      <c r="F1032" t="s">
        <v>24</v>
      </c>
      <c r="G1032" t="s">
        <v>67</v>
      </c>
      <c r="H1032" t="s">
        <v>2483</v>
      </c>
    </row>
    <row r="1033" spans="1:8" x14ac:dyDescent="0.25">
      <c r="A1033" t="s">
        <v>1440</v>
      </c>
      <c r="B1033" t="s">
        <v>73</v>
      </c>
      <c r="C1033" t="s">
        <v>2484</v>
      </c>
      <c r="D1033" t="s">
        <v>2485</v>
      </c>
      <c r="E1033" t="s">
        <v>67</v>
      </c>
      <c r="F1033" t="s">
        <v>24</v>
      </c>
      <c r="G1033" t="s">
        <v>67</v>
      </c>
      <c r="H1033" t="s">
        <v>481</v>
      </c>
    </row>
    <row r="1034" spans="1:8" x14ac:dyDescent="0.25">
      <c r="A1034" t="s">
        <v>1440</v>
      </c>
      <c r="B1034" t="s">
        <v>26</v>
      </c>
      <c r="C1034" t="s">
        <v>2486</v>
      </c>
      <c r="D1034" t="s">
        <v>2487</v>
      </c>
      <c r="E1034" t="s">
        <v>67</v>
      </c>
      <c r="F1034" t="s">
        <v>24</v>
      </c>
      <c r="G1034" t="s">
        <v>67</v>
      </c>
      <c r="H1034" t="s">
        <v>739</v>
      </c>
    </row>
    <row r="1035" spans="1:8" x14ac:dyDescent="0.25">
      <c r="A1035" t="s">
        <v>1440</v>
      </c>
      <c r="B1035" t="s">
        <v>16</v>
      </c>
      <c r="C1035" t="s">
        <v>2488</v>
      </c>
      <c r="D1035" t="s">
        <v>2489</v>
      </c>
      <c r="E1035" t="s">
        <v>40</v>
      </c>
      <c r="F1035" t="s">
        <v>80</v>
      </c>
      <c r="G1035" t="s">
        <v>14</v>
      </c>
      <c r="H1035" t="s">
        <v>476</v>
      </c>
    </row>
    <row r="1036" spans="1:8" x14ac:dyDescent="0.25">
      <c r="A1036" t="s">
        <v>1440</v>
      </c>
      <c r="B1036" t="s">
        <v>77</v>
      </c>
      <c r="C1036" t="s">
        <v>2490</v>
      </c>
      <c r="D1036" t="s">
        <v>2491</v>
      </c>
      <c r="E1036" t="s">
        <v>23</v>
      </c>
      <c r="F1036" t="s">
        <v>24</v>
      </c>
      <c r="G1036" t="s">
        <v>56</v>
      </c>
      <c r="H1036" t="s">
        <v>1187</v>
      </c>
    </row>
    <row r="1037" spans="1:8" x14ac:dyDescent="0.25">
      <c r="A1037" t="s">
        <v>1440</v>
      </c>
      <c r="B1037" t="s">
        <v>16</v>
      </c>
      <c r="C1037" t="s">
        <v>2492</v>
      </c>
      <c r="D1037" t="s">
        <v>2493</v>
      </c>
      <c r="E1037" t="s">
        <v>390</v>
      </c>
      <c r="F1037" t="s">
        <v>51</v>
      </c>
      <c r="G1037" t="s">
        <v>14</v>
      </c>
      <c r="H1037" t="s">
        <v>2097</v>
      </c>
    </row>
    <row r="1038" spans="1:8" x14ac:dyDescent="0.25">
      <c r="A1038" t="s">
        <v>2494</v>
      </c>
      <c r="B1038" t="s">
        <v>42</v>
      </c>
      <c r="C1038" t="s">
        <v>2495</v>
      </c>
      <c r="D1038" t="s">
        <v>2496</v>
      </c>
      <c r="E1038" t="s">
        <v>772</v>
      </c>
      <c r="F1038" t="s">
        <v>51</v>
      </c>
      <c r="G1038" t="s">
        <v>14</v>
      </c>
      <c r="H1038" t="s">
        <v>287</v>
      </c>
    </row>
    <row r="1039" spans="1:8" x14ac:dyDescent="0.25">
      <c r="A1039" t="s">
        <v>2494</v>
      </c>
      <c r="B1039" t="s">
        <v>9</v>
      </c>
      <c r="C1039" t="s">
        <v>2497</v>
      </c>
      <c r="D1039" t="s">
        <v>2498</v>
      </c>
      <c r="E1039" t="s">
        <v>276</v>
      </c>
      <c r="F1039" t="s">
        <v>51</v>
      </c>
      <c r="G1039" t="s">
        <v>14</v>
      </c>
      <c r="H1039" t="s">
        <v>858</v>
      </c>
    </row>
    <row r="1040" spans="1:8" x14ac:dyDescent="0.25">
      <c r="A1040" t="s">
        <v>2494</v>
      </c>
      <c r="B1040" t="s">
        <v>26</v>
      </c>
      <c r="C1040" t="s">
        <v>2499</v>
      </c>
      <c r="D1040" t="s">
        <v>2499</v>
      </c>
      <c r="E1040" t="s">
        <v>12</v>
      </c>
      <c r="F1040" t="s">
        <v>30</v>
      </c>
      <c r="G1040" t="s">
        <v>63</v>
      </c>
      <c r="H1040" t="s">
        <v>1492</v>
      </c>
    </row>
    <row r="1041" spans="1:8" x14ac:dyDescent="0.25">
      <c r="A1041" t="s">
        <v>2494</v>
      </c>
      <c r="B1041" t="s">
        <v>37</v>
      </c>
      <c r="C1041" t="s">
        <v>2500</v>
      </c>
      <c r="D1041" t="s">
        <v>2500</v>
      </c>
      <c r="E1041" t="s">
        <v>35</v>
      </c>
      <c r="F1041" t="s">
        <v>24</v>
      </c>
      <c r="G1041" t="s">
        <v>63</v>
      </c>
      <c r="H1041" t="s">
        <v>333</v>
      </c>
    </row>
    <row r="1042" spans="1:8" x14ac:dyDescent="0.25">
      <c r="A1042" t="s">
        <v>2494</v>
      </c>
      <c r="B1042" t="s">
        <v>37</v>
      </c>
      <c r="C1042" t="s">
        <v>2501</v>
      </c>
      <c r="D1042" t="s">
        <v>2502</v>
      </c>
      <c r="E1042" t="s">
        <v>40</v>
      </c>
      <c r="F1042" t="s">
        <v>80</v>
      </c>
      <c r="G1042" t="s">
        <v>14</v>
      </c>
      <c r="H1042" t="s">
        <v>2018</v>
      </c>
    </row>
    <row r="1043" spans="1:8" x14ac:dyDescent="0.25">
      <c r="A1043" t="s">
        <v>2494</v>
      </c>
      <c r="B1043" t="s">
        <v>91</v>
      </c>
      <c r="C1043" t="s">
        <v>2503</v>
      </c>
      <c r="D1043" t="s">
        <v>2504</v>
      </c>
      <c r="E1043" t="s">
        <v>845</v>
      </c>
      <c r="F1043" t="s">
        <v>51</v>
      </c>
      <c r="G1043" t="s">
        <v>14</v>
      </c>
      <c r="H1043" t="s">
        <v>2505</v>
      </c>
    </row>
    <row r="1044" spans="1:8" x14ac:dyDescent="0.25">
      <c r="A1044" t="s">
        <v>2494</v>
      </c>
      <c r="B1044" t="s">
        <v>77</v>
      </c>
      <c r="C1044" t="s">
        <v>2506</v>
      </c>
      <c r="D1044" t="s">
        <v>2507</v>
      </c>
      <c r="E1044" t="s">
        <v>40</v>
      </c>
      <c r="F1044" t="s">
        <v>80</v>
      </c>
      <c r="G1044" t="s">
        <v>14</v>
      </c>
      <c r="H1044" t="s">
        <v>2285</v>
      </c>
    </row>
    <row r="1045" spans="1:8" x14ac:dyDescent="0.25">
      <c r="A1045" t="s">
        <v>2494</v>
      </c>
      <c r="B1045" t="s">
        <v>42</v>
      </c>
      <c r="C1045" t="s">
        <v>2508</v>
      </c>
      <c r="D1045" t="s">
        <v>2509</v>
      </c>
      <c r="E1045" t="s">
        <v>641</v>
      </c>
      <c r="F1045" t="s">
        <v>19</v>
      </c>
      <c r="G1045" t="s">
        <v>14</v>
      </c>
      <c r="H1045" t="s">
        <v>2510</v>
      </c>
    </row>
    <row r="1046" spans="1:8" x14ac:dyDescent="0.25">
      <c r="A1046" t="s">
        <v>2494</v>
      </c>
      <c r="B1046" t="s">
        <v>123</v>
      </c>
      <c r="C1046" t="s">
        <v>2511</v>
      </c>
      <c r="D1046" t="s">
        <v>2512</v>
      </c>
      <c r="E1046" t="s">
        <v>845</v>
      </c>
      <c r="F1046" t="s">
        <v>51</v>
      </c>
      <c r="G1046" t="s">
        <v>14</v>
      </c>
      <c r="H1046" t="s">
        <v>2429</v>
      </c>
    </row>
    <row r="1047" spans="1:8" x14ac:dyDescent="0.25">
      <c r="A1047" t="s">
        <v>2494</v>
      </c>
      <c r="B1047" t="s">
        <v>9</v>
      </c>
      <c r="C1047" t="s">
        <v>2513</v>
      </c>
      <c r="D1047" t="s">
        <v>2514</v>
      </c>
      <c r="E1047" t="s">
        <v>45</v>
      </c>
      <c r="F1047" t="s">
        <v>19</v>
      </c>
      <c r="G1047" t="s">
        <v>14</v>
      </c>
      <c r="H1047" t="s">
        <v>1986</v>
      </c>
    </row>
    <row r="1048" spans="1:8" x14ac:dyDescent="0.25">
      <c r="A1048" t="s">
        <v>2494</v>
      </c>
      <c r="B1048" t="s">
        <v>100</v>
      </c>
      <c r="C1048" t="s">
        <v>2515</v>
      </c>
      <c r="D1048" t="s">
        <v>2516</v>
      </c>
      <c r="E1048" t="s">
        <v>12</v>
      </c>
      <c r="F1048" t="s">
        <v>19</v>
      </c>
      <c r="G1048" t="s">
        <v>14</v>
      </c>
      <c r="H1048" t="s">
        <v>2517</v>
      </c>
    </row>
    <row r="1049" spans="1:8" x14ac:dyDescent="0.25">
      <c r="A1049" t="s">
        <v>2494</v>
      </c>
      <c r="B1049" t="s">
        <v>37</v>
      </c>
      <c r="C1049" t="s">
        <v>2518</v>
      </c>
      <c r="D1049" t="s">
        <v>2519</v>
      </c>
      <c r="E1049" t="s">
        <v>12</v>
      </c>
      <c r="F1049" t="s">
        <v>19</v>
      </c>
      <c r="G1049" t="s">
        <v>14</v>
      </c>
      <c r="H1049" t="s">
        <v>2520</v>
      </c>
    </row>
    <row r="1050" spans="1:8" x14ac:dyDescent="0.25">
      <c r="A1050" t="s">
        <v>2494</v>
      </c>
      <c r="B1050" t="s">
        <v>113</v>
      </c>
      <c r="C1050" t="s">
        <v>2521</v>
      </c>
      <c r="D1050" t="s">
        <v>2522</v>
      </c>
      <c r="E1050" t="s">
        <v>2096</v>
      </c>
      <c r="F1050" t="s">
        <v>51</v>
      </c>
      <c r="G1050" t="s">
        <v>14</v>
      </c>
      <c r="H1050" t="s">
        <v>2523</v>
      </c>
    </row>
    <row r="1051" spans="1:8" x14ac:dyDescent="0.25">
      <c r="A1051" t="s">
        <v>2494</v>
      </c>
      <c r="B1051" t="s">
        <v>16</v>
      </c>
      <c r="C1051" t="s">
        <v>2524</v>
      </c>
      <c r="D1051" t="s">
        <v>2525</v>
      </c>
      <c r="E1051" t="s">
        <v>390</v>
      </c>
      <c r="F1051" t="s">
        <v>51</v>
      </c>
      <c r="G1051" t="s">
        <v>14</v>
      </c>
      <c r="H1051" t="s">
        <v>685</v>
      </c>
    </row>
    <row r="1052" spans="1:8" x14ac:dyDescent="0.25">
      <c r="A1052" t="s">
        <v>2494</v>
      </c>
      <c r="B1052" t="s">
        <v>123</v>
      </c>
      <c r="C1052" t="s">
        <v>2526</v>
      </c>
      <c r="D1052" t="s">
        <v>2527</v>
      </c>
      <c r="E1052" t="s">
        <v>2528</v>
      </c>
      <c r="F1052" t="s">
        <v>191</v>
      </c>
      <c r="G1052" t="s">
        <v>56</v>
      </c>
      <c r="H1052" t="s">
        <v>2529</v>
      </c>
    </row>
    <row r="1053" spans="1:8" x14ac:dyDescent="0.25">
      <c r="A1053" t="s">
        <v>2494</v>
      </c>
      <c r="B1053" t="s">
        <v>26</v>
      </c>
      <c r="C1053" t="s">
        <v>2530</v>
      </c>
      <c r="D1053" t="s">
        <v>2531</v>
      </c>
      <c r="E1053" t="s">
        <v>12</v>
      </c>
      <c r="F1053" t="s">
        <v>19</v>
      </c>
      <c r="G1053" t="s">
        <v>14</v>
      </c>
      <c r="H1053" t="s">
        <v>481</v>
      </c>
    </row>
    <row r="1054" spans="1:8" x14ac:dyDescent="0.25">
      <c r="A1054" t="s">
        <v>2494</v>
      </c>
      <c r="B1054" t="s">
        <v>32</v>
      </c>
      <c r="C1054" t="s">
        <v>2532</v>
      </c>
      <c r="D1054" t="s">
        <v>2533</v>
      </c>
      <c r="E1054" t="s">
        <v>276</v>
      </c>
      <c r="F1054" t="s">
        <v>51</v>
      </c>
      <c r="G1054" t="s">
        <v>14</v>
      </c>
      <c r="H1054" t="s">
        <v>149</v>
      </c>
    </row>
    <row r="1055" spans="1:8" x14ac:dyDescent="0.25">
      <c r="A1055" t="s">
        <v>2494</v>
      </c>
      <c r="B1055" t="s">
        <v>42</v>
      </c>
      <c r="C1055" t="s">
        <v>2534</v>
      </c>
      <c r="D1055" t="s">
        <v>2535</v>
      </c>
      <c r="E1055" t="s">
        <v>772</v>
      </c>
      <c r="F1055" t="s">
        <v>51</v>
      </c>
      <c r="G1055" t="s">
        <v>14</v>
      </c>
      <c r="H1055" t="s">
        <v>1510</v>
      </c>
    </row>
    <row r="1056" spans="1:8" x14ac:dyDescent="0.25">
      <c r="A1056" t="s">
        <v>2494</v>
      </c>
      <c r="B1056" t="s">
        <v>37</v>
      </c>
      <c r="C1056" t="s">
        <v>2536</v>
      </c>
      <c r="D1056" t="s">
        <v>2537</v>
      </c>
      <c r="E1056" t="s">
        <v>12</v>
      </c>
      <c r="F1056" t="s">
        <v>13</v>
      </c>
      <c r="G1056" t="s">
        <v>14</v>
      </c>
      <c r="H1056" t="s">
        <v>1087</v>
      </c>
    </row>
    <row r="1057" spans="1:8" x14ac:dyDescent="0.25">
      <c r="A1057" t="s">
        <v>2494</v>
      </c>
      <c r="B1057" t="s">
        <v>113</v>
      </c>
      <c r="C1057" t="s">
        <v>2538</v>
      </c>
      <c r="D1057" t="s">
        <v>2539</v>
      </c>
      <c r="E1057" t="s">
        <v>2540</v>
      </c>
      <c r="F1057" t="s">
        <v>556</v>
      </c>
      <c r="G1057" t="s">
        <v>56</v>
      </c>
      <c r="H1057" t="s">
        <v>25</v>
      </c>
    </row>
    <row r="1058" spans="1:8" x14ac:dyDescent="0.25">
      <c r="A1058" t="s">
        <v>2494</v>
      </c>
      <c r="B1058" t="s">
        <v>9</v>
      </c>
      <c r="C1058" t="s">
        <v>2541</v>
      </c>
      <c r="D1058" t="s">
        <v>2542</v>
      </c>
      <c r="E1058" t="s">
        <v>12</v>
      </c>
      <c r="F1058" t="s">
        <v>19</v>
      </c>
      <c r="G1058" t="s">
        <v>14</v>
      </c>
      <c r="H1058" t="s">
        <v>968</v>
      </c>
    </row>
    <row r="1059" spans="1:8" x14ac:dyDescent="0.25">
      <c r="A1059" t="s">
        <v>2494</v>
      </c>
      <c r="B1059" t="s">
        <v>42</v>
      </c>
      <c r="C1059" t="s">
        <v>2543</v>
      </c>
      <c r="D1059" t="s">
        <v>2544</v>
      </c>
      <c r="E1059" t="s">
        <v>276</v>
      </c>
      <c r="F1059" t="s">
        <v>51</v>
      </c>
      <c r="G1059" t="s">
        <v>14</v>
      </c>
      <c r="H1059" t="s">
        <v>922</v>
      </c>
    </row>
    <row r="1060" spans="1:8" x14ac:dyDescent="0.25">
      <c r="A1060" t="s">
        <v>2494</v>
      </c>
      <c r="B1060" t="s">
        <v>26</v>
      </c>
      <c r="C1060" t="s">
        <v>2545</v>
      </c>
      <c r="D1060" t="s">
        <v>2546</v>
      </c>
      <c r="E1060" t="s">
        <v>12</v>
      </c>
      <c r="F1060" t="s">
        <v>19</v>
      </c>
      <c r="G1060" t="s">
        <v>14</v>
      </c>
      <c r="H1060" t="s">
        <v>443</v>
      </c>
    </row>
    <row r="1061" spans="1:8" x14ac:dyDescent="0.25">
      <c r="A1061" t="s">
        <v>2494</v>
      </c>
      <c r="B1061" t="s">
        <v>9</v>
      </c>
      <c r="C1061" t="s">
        <v>2547</v>
      </c>
      <c r="D1061" t="s">
        <v>2548</v>
      </c>
      <c r="E1061" t="s">
        <v>1100</v>
      </c>
      <c r="F1061" t="s">
        <v>51</v>
      </c>
      <c r="G1061" t="s">
        <v>14</v>
      </c>
      <c r="H1061" t="s">
        <v>90</v>
      </c>
    </row>
    <row r="1062" spans="1:8" x14ac:dyDescent="0.25">
      <c r="A1062" t="s">
        <v>2494</v>
      </c>
      <c r="B1062" t="s">
        <v>100</v>
      </c>
      <c r="C1062" t="s">
        <v>2549</v>
      </c>
      <c r="D1062" t="s">
        <v>2550</v>
      </c>
      <c r="E1062" t="s">
        <v>1100</v>
      </c>
      <c r="F1062" t="s">
        <v>51</v>
      </c>
      <c r="G1062" t="s">
        <v>14</v>
      </c>
      <c r="H1062" t="s">
        <v>90</v>
      </c>
    </row>
    <row r="1063" spans="1:8" x14ac:dyDescent="0.25">
      <c r="A1063" t="s">
        <v>2494</v>
      </c>
      <c r="B1063" t="s">
        <v>37</v>
      </c>
      <c r="C1063" t="s">
        <v>2551</v>
      </c>
      <c r="D1063" t="s">
        <v>2552</v>
      </c>
      <c r="E1063" t="s">
        <v>35</v>
      </c>
      <c r="F1063" t="s">
        <v>19</v>
      </c>
      <c r="G1063" t="s">
        <v>14</v>
      </c>
      <c r="H1063" t="s">
        <v>2553</v>
      </c>
    </row>
    <row r="1064" spans="1:8" x14ac:dyDescent="0.25">
      <c r="A1064" t="s">
        <v>2494</v>
      </c>
      <c r="B1064" t="s">
        <v>73</v>
      </c>
      <c r="C1064" t="s">
        <v>2554</v>
      </c>
      <c r="D1064" t="s">
        <v>2555</v>
      </c>
      <c r="E1064" t="s">
        <v>35</v>
      </c>
      <c r="F1064" t="s">
        <v>19</v>
      </c>
      <c r="G1064" t="s">
        <v>14</v>
      </c>
      <c r="H1064" t="s">
        <v>820</v>
      </c>
    </row>
    <row r="1065" spans="1:8" x14ac:dyDescent="0.25">
      <c r="A1065" t="s">
        <v>2494</v>
      </c>
      <c r="B1065" t="s">
        <v>9</v>
      </c>
      <c r="C1065" t="s">
        <v>2556</v>
      </c>
      <c r="D1065" t="s">
        <v>2557</v>
      </c>
      <c r="E1065" t="s">
        <v>23</v>
      </c>
      <c r="F1065" t="s">
        <v>19</v>
      </c>
      <c r="G1065" t="s">
        <v>14</v>
      </c>
      <c r="H1065" t="s">
        <v>2558</v>
      </c>
    </row>
    <row r="1066" spans="1:8" x14ac:dyDescent="0.25">
      <c r="A1066" t="s">
        <v>2494</v>
      </c>
      <c r="B1066" t="s">
        <v>16</v>
      </c>
      <c r="C1066" t="s">
        <v>2559</v>
      </c>
      <c r="D1066" t="s">
        <v>2559</v>
      </c>
      <c r="E1066" t="s">
        <v>45</v>
      </c>
      <c r="F1066" t="s">
        <v>19</v>
      </c>
      <c r="G1066" t="s">
        <v>63</v>
      </c>
      <c r="H1066" t="s">
        <v>1290</v>
      </c>
    </row>
    <row r="1067" spans="1:8" x14ac:dyDescent="0.25">
      <c r="A1067" t="s">
        <v>2494</v>
      </c>
      <c r="B1067" t="s">
        <v>113</v>
      </c>
      <c r="C1067" t="s">
        <v>2560</v>
      </c>
      <c r="D1067" t="s">
        <v>2561</v>
      </c>
      <c r="E1067" t="s">
        <v>35</v>
      </c>
      <c r="F1067" t="s">
        <v>30</v>
      </c>
      <c r="G1067" t="s">
        <v>14</v>
      </c>
      <c r="H1067" t="s">
        <v>519</v>
      </c>
    </row>
    <row r="1068" spans="1:8" x14ac:dyDescent="0.25">
      <c r="A1068" t="s">
        <v>2494</v>
      </c>
      <c r="B1068" t="s">
        <v>113</v>
      </c>
      <c r="C1068" t="s">
        <v>2562</v>
      </c>
      <c r="D1068" t="s">
        <v>2563</v>
      </c>
      <c r="E1068" t="s">
        <v>328</v>
      </c>
      <c r="F1068" t="s">
        <v>51</v>
      </c>
      <c r="G1068" t="s">
        <v>14</v>
      </c>
      <c r="H1068" t="s">
        <v>1510</v>
      </c>
    </row>
    <row r="1069" spans="1:8" x14ac:dyDescent="0.25">
      <c r="A1069" t="s">
        <v>2494</v>
      </c>
      <c r="B1069" t="s">
        <v>37</v>
      </c>
      <c r="C1069" t="s">
        <v>2564</v>
      </c>
      <c r="D1069" t="s">
        <v>2565</v>
      </c>
      <c r="E1069" t="s">
        <v>276</v>
      </c>
      <c r="F1069" t="s">
        <v>51</v>
      </c>
      <c r="G1069" t="s">
        <v>14</v>
      </c>
      <c r="H1069" t="s">
        <v>828</v>
      </c>
    </row>
    <row r="1070" spans="1:8" x14ac:dyDescent="0.25">
      <c r="A1070" t="s">
        <v>2494</v>
      </c>
      <c r="B1070" t="s">
        <v>100</v>
      </c>
      <c r="C1070" t="s">
        <v>2566</v>
      </c>
      <c r="D1070" t="s">
        <v>2567</v>
      </c>
      <c r="E1070" t="s">
        <v>529</v>
      </c>
      <c r="F1070" t="s">
        <v>51</v>
      </c>
      <c r="G1070" t="s">
        <v>14</v>
      </c>
      <c r="H1070" t="s">
        <v>61</v>
      </c>
    </row>
    <row r="1071" spans="1:8" x14ac:dyDescent="0.25">
      <c r="A1071" t="s">
        <v>2494</v>
      </c>
      <c r="B1071" t="s">
        <v>37</v>
      </c>
      <c r="C1071" t="s">
        <v>2568</v>
      </c>
      <c r="D1071" t="s">
        <v>2568</v>
      </c>
      <c r="E1071" t="s">
        <v>35</v>
      </c>
      <c r="F1071" t="s">
        <v>24</v>
      </c>
      <c r="G1071" t="s">
        <v>63</v>
      </c>
      <c r="H1071" t="s">
        <v>333</v>
      </c>
    </row>
    <row r="1072" spans="1:8" x14ac:dyDescent="0.25">
      <c r="A1072" t="s">
        <v>2494</v>
      </c>
      <c r="B1072" t="s">
        <v>73</v>
      </c>
      <c r="C1072" t="s">
        <v>2569</v>
      </c>
      <c r="D1072" t="s">
        <v>2570</v>
      </c>
      <c r="E1072" t="s">
        <v>60</v>
      </c>
      <c r="F1072" t="s">
        <v>13</v>
      </c>
      <c r="G1072" t="s">
        <v>14</v>
      </c>
      <c r="H1072" t="s">
        <v>61</v>
      </c>
    </row>
    <row r="1073" spans="1:8" x14ac:dyDescent="0.25">
      <c r="A1073" t="s">
        <v>2494</v>
      </c>
      <c r="B1073" t="s">
        <v>73</v>
      </c>
      <c r="C1073" t="s">
        <v>2571</v>
      </c>
      <c r="D1073" t="s">
        <v>2572</v>
      </c>
      <c r="E1073" t="s">
        <v>505</v>
      </c>
      <c r="F1073" t="s">
        <v>51</v>
      </c>
      <c r="G1073" t="s">
        <v>14</v>
      </c>
      <c r="H1073" t="s">
        <v>137</v>
      </c>
    </row>
    <row r="1074" spans="1:8" x14ac:dyDescent="0.25">
      <c r="A1074" t="s">
        <v>2494</v>
      </c>
      <c r="B1074" t="s">
        <v>113</v>
      </c>
      <c r="C1074" t="s">
        <v>2573</v>
      </c>
      <c r="D1074" t="s">
        <v>2574</v>
      </c>
      <c r="E1074" t="s">
        <v>172</v>
      </c>
      <c r="F1074" t="s">
        <v>24</v>
      </c>
      <c r="G1074" t="s">
        <v>14</v>
      </c>
      <c r="H1074" t="s">
        <v>375</v>
      </c>
    </row>
    <row r="1075" spans="1:8" x14ac:dyDescent="0.25">
      <c r="A1075" t="s">
        <v>2494</v>
      </c>
      <c r="B1075" t="s">
        <v>123</v>
      </c>
      <c r="C1075" t="s">
        <v>2575</v>
      </c>
      <c r="D1075" t="s">
        <v>2576</v>
      </c>
      <c r="E1075" t="s">
        <v>2577</v>
      </c>
      <c r="F1075" t="s">
        <v>51</v>
      </c>
      <c r="G1075" t="s">
        <v>14</v>
      </c>
      <c r="H1075" t="s">
        <v>2578</v>
      </c>
    </row>
    <row r="1076" spans="1:8" x14ac:dyDescent="0.25">
      <c r="A1076" t="s">
        <v>2494</v>
      </c>
      <c r="B1076" t="s">
        <v>100</v>
      </c>
      <c r="C1076" t="s">
        <v>2579</v>
      </c>
      <c r="D1076" t="s">
        <v>2580</v>
      </c>
      <c r="E1076" t="s">
        <v>12</v>
      </c>
      <c r="F1076" t="s">
        <v>19</v>
      </c>
      <c r="G1076" t="s">
        <v>14</v>
      </c>
      <c r="H1076" t="s">
        <v>64</v>
      </c>
    </row>
    <row r="1077" spans="1:8" x14ac:dyDescent="0.25">
      <c r="A1077" t="s">
        <v>2494</v>
      </c>
      <c r="B1077" t="s">
        <v>100</v>
      </c>
      <c r="C1077" t="s">
        <v>2581</v>
      </c>
      <c r="D1077" t="s">
        <v>2582</v>
      </c>
      <c r="E1077" t="s">
        <v>720</v>
      </c>
      <c r="F1077" t="s">
        <v>19</v>
      </c>
      <c r="G1077" t="s">
        <v>14</v>
      </c>
      <c r="H1077" t="s">
        <v>296</v>
      </c>
    </row>
    <row r="1078" spans="1:8" x14ac:dyDescent="0.25">
      <c r="A1078" t="s">
        <v>2494</v>
      </c>
      <c r="B1078" t="s">
        <v>100</v>
      </c>
      <c r="C1078" t="s">
        <v>2583</v>
      </c>
      <c r="D1078" t="s">
        <v>2584</v>
      </c>
      <c r="E1078" t="s">
        <v>1536</v>
      </c>
      <c r="F1078" t="s">
        <v>30</v>
      </c>
      <c r="G1078" t="s">
        <v>14</v>
      </c>
      <c r="H1078" t="s">
        <v>1792</v>
      </c>
    </row>
    <row r="1079" spans="1:8" x14ac:dyDescent="0.25">
      <c r="A1079" t="s">
        <v>2494</v>
      </c>
      <c r="B1079" t="s">
        <v>37</v>
      </c>
      <c r="C1079" t="s">
        <v>2585</v>
      </c>
      <c r="D1079" t="s">
        <v>2586</v>
      </c>
      <c r="E1079" t="s">
        <v>40</v>
      </c>
      <c r="F1079" t="s">
        <v>51</v>
      </c>
      <c r="G1079" t="s">
        <v>14</v>
      </c>
      <c r="H1079" t="s">
        <v>2587</v>
      </c>
    </row>
    <row r="1080" spans="1:8" x14ac:dyDescent="0.25">
      <c r="A1080" t="s">
        <v>2494</v>
      </c>
      <c r="B1080" t="s">
        <v>37</v>
      </c>
      <c r="C1080" t="s">
        <v>2588</v>
      </c>
      <c r="D1080" t="s">
        <v>2589</v>
      </c>
      <c r="E1080" t="s">
        <v>328</v>
      </c>
      <c r="F1080" t="s">
        <v>51</v>
      </c>
      <c r="G1080" t="s">
        <v>14</v>
      </c>
      <c r="H1080" t="s">
        <v>192</v>
      </c>
    </row>
    <row r="1081" spans="1:8" x14ac:dyDescent="0.25">
      <c r="A1081" t="s">
        <v>2494</v>
      </c>
      <c r="B1081" t="s">
        <v>37</v>
      </c>
      <c r="C1081" t="s">
        <v>2590</v>
      </c>
      <c r="D1081" t="s">
        <v>2591</v>
      </c>
      <c r="E1081" t="s">
        <v>505</v>
      </c>
      <c r="F1081" t="s">
        <v>51</v>
      </c>
      <c r="G1081" t="s">
        <v>14</v>
      </c>
      <c r="H1081" t="s">
        <v>937</v>
      </c>
    </row>
    <row r="1082" spans="1:8" x14ac:dyDescent="0.25">
      <c r="A1082" t="s">
        <v>2494</v>
      </c>
      <c r="B1082" t="s">
        <v>37</v>
      </c>
      <c r="C1082" t="s">
        <v>2592</v>
      </c>
      <c r="D1082" t="s">
        <v>2593</v>
      </c>
      <c r="E1082" t="s">
        <v>12</v>
      </c>
      <c r="F1082" t="s">
        <v>13</v>
      </c>
      <c r="G1082" t="s">
        <v>14</v>
      </c>
      <c r="H1082" t="s">
        <v>277</v>
      </c>
    </row>
    <row r="1083" spans="1:8" x14ac:dyDescent="0.25">
      <c r="A1083" t="s">
        <v>2494</v>
      </c>
      <c r="B1083" t="s">
        <v>113</v>
      </c>
      <c r="C1083" t="s">
        <v>2594</v>
      </c>
      <c r="D1083" t="s">
        <v>2595</v>
      </c>
      <c r="E1083" t="s">
        <v>29</v>
      </c>
      <c r="F1083" t="s">
        <v>24</v>
      </c>
      <c r="G1083" t="s">
        <v>14</v>
      </c>
      <c r="H1083" t="s">
        <v>530</v>
      </c>
    </row>
    <row r="1084" spans="1:8" x14ac:dyDescent="0.25">
      <c r="A1084" t="s">
        <v>2494</v>
      </c>
      <c r="B1084" t="s">
        <v>16</v>
      </c>
      <c r="C1084" t="s">
        <v>2596</v>
      </c>
      <c r="D1084" t="s">
        <v>2597</v>
      </c>
      <c r="E1084" t="s">
        <v>23</v>
      </c>
      <c r="F1084" t="s">
        <v>24</v>
      </c>
      <c r="G1084" t="s">
        <v>14</v>
      </c>
      <c r="H1084" t="s">
        <v>195</v>
      </c>
    </row>
    <row r="1085" spans="1:8" x14ac:dyDescent="0.25">
      <c r="A1085" t="s">
        <v>2494</v>
      </c>
      <c r="B1085" t="s">
        <v>37</v>
      </c>
      <c r="C1085" t="s">
        <v>2598</v>
      </c>
      <c r="D1085" t="s">
        <v>2598</v>
      </c>
      <c r="E1085" t="s">
        <v>35</v>
      </c>
      <c r="F1085" t="s">
        <v>24</v>
      </c>
      <c r="G1085" t="s">
        <v>63</v>
      </c>
      <c r="H1085" t="s">
        <v>333</v>
      </c>
    </row>
    <row r="1086" spans="1:8" x14ac:dyDescent="0.25">
      <c r="A1086" t="s">
        <v>2494</v>
      </c>
      <c r="B1086" t="s">
        <v>100</v>
      </c>
      <c r="C1086" t="s">
        <v>2599</v>
      </c>
      <c r="D1086" t="s">
        <v>2600</v>
      </c>
      <c r="E1086" t="s">
        <v>172</v>
      </c>
      <c r="F1086" t="s">
        <v>30</v>
      </c>
      <c r="G1086" t="s">
        <v>14</v>
      </c>
      <c r="H1086" t="s">
        <v>1087</v>
      </c>
    </row>
    <row r="1087" spans="1:8" x14ac:dyDescent="0.25">
      <c r="A1087" t="s">
        <v>2494</v>
      </c>
      <c r="B1087" t="s">
        <v>77</v>
      </c>
      <c r="C1087" t="s">
        <v>2601</v>
      </c>
      <c r="D1087" t="s">
        <v>2602</v>
      </c>
      <c r="E1087" t="s">
        <v>276</v>
      </c>
      <c r="F1087" t="s">
        <v>51</v>
      </c>
      <c r="G1087" t="s">
        <v>14</v>
      </c>
      <c r="H1087" t="s">
        <v>429</v>
      </c>
    </row>
    <row r="1088" spans="1:8" x14ac:dyDescent="0.25">
      <c r="A1088" t="s">
        <v>2494</v>
      </c>
      <c r="B1088" t="s">
        <v>9</v>
      </c>
      <c r="C1088" t="s">
        <v>2603</v>
      </c>
      <c r="D1088" t="s">
        <v>2604</v>
      </c>
      <c r="E1088" t="s">
        <v>60</v>
      </c>
      <c r="F1088" t="s">
        <v>13</v>
      </c>
      <c r="G1088" t="s">
        <v>14</v>
      </c>
      <c r="H1088" t="s">
        <v>710</v>
      </c>
    </row>
    <row r="1089" spans="1:8" x14ac:dyDescent="0.25">
      <c r="A1089" t="s">
        <v>2494</v>
      </c>
      <c r="B1089" t="s">
        <v>9</v>
      </c>
      <c r="C1089" t="s">
        <v>2605</v>
      </c>
      <c r="D1089" t="s">
        <v>2606</v>
      </c>
      <c r="E1089" t="s">
        <v>172</v>
      </c>
      <c r="F1089" t="s">
        <v>24</v>
      </c>
      <c r="G1089" t="s">
        <v>14</v>
      </c>
      <c r="H1089" t="s">
        <v>140</v>
      </c>
    </row>
    <row r="1090" spans="1:8" x14ac:dyDescent="0.25">
      <c r="A1090" t="s">
        <v>2494</v>
      </c>
      <c r="B1090" t="s">
        <v>91</v>
      </c>
      <c r="C1090" t="s">
        <v>2607</v>
      </c>
      <c r="D1090" t="s">
        <v>2608</v>
      </c>
      <c r="E1090" t="s">
        <v>172</v>
      </c>
      <c r="F1090" t="s">
        <v>24</v>
      </c>
      <c r="G1090" t="s">
        <v>14</v>
      </c>
      <c r="H1090" t="s">
        <v>140</v>
      </c>
    </row>
    <row r="1091" spans="1:8" x14ac:dyDescent="0.25">
      <c r="A1091" t="s">
        <v>2494</v>
      </c>
      <c r="B1091" t="s">
        <v>42</v>
      </c>
      <c r="C1091" t="s">
        <v>2609</v>
      </c>
      <c r="D1091" t="s">
        <v>2609</v>
      </c>
      <c r="E1091" t="s">
        <v>23</v>
      </c>
      <c r="F1091" t="s">
        <v>24</v>
      </c>
      <c r="G1091" t="s">
        <v>63</v>
      </c>
      <c r="H1091" t="s">
        <v>378</v>
      </c>
    </row>
    <row r="1092" spans="1:8" x14ac:dyDescent="0.25">
      <c r="A1092" t="s">
        <v>2494</v>
      </c>
      <c r="B1092" t="s">
        <v>42</v>
      </c>
      <c r="C1092" t="s">
        <v>2610</v>
      </c>
      <c r="D1092" t="s">
        <v>2611</v>
      </c>
      <c r="E1092" t="s">
        <v>29</v>
      </c>
      <c r="F1092" t="s">
        <v>97</v>
      </c>
      <c r="G1092" t="s">
        <v>98</v>
      </c>
      <c r="H1092" t="s">
        <v>2612</v>
      </c>
    </row>
    <row r="1093" spans="1:8" x14ac:dyDescent="0.25">
      <c r="A1093" t="s">
        <v>2494</v>
      </c>
      <c r="B1093" t="s">
        <v>37</v>
      </c>
      <c r="C1093" t="s">
        <v>2613</v>
      </c>
      <c r="D1093" t="s">
        <v>2614</v>
      </c>
      <c r="E1093" t="s">
        <v>29</v>
      </c>
      <c r="F1093" t="s">
        <v>97</v>
      </c>
      <c r="G1093" t="s">
        <v>98</v>
      </c>
      <c r="H1093" t="s">
        <v>2615</v>
      </c>
    </row>
    <row r="1094" spans="1:8" x14ac:dyDescent="0.25">
      <c r="A1094" t="s">
        <v>2494</v>
      </c>
      <c r="B1094" t="s">
        <v>16</v>
      </c>
      <c r="C1094" t="s">
        <v>2616</v>
      </c>
      <c r="D1094" t="s">
        <v>2617</v>
      </c>
      <c r="E1094" t="s">
        <v>29</v>
      </c>
      <c r="F1094" t="s">
        <v>97</v>
      </c>
      <c r="G1094" t="s">
        <v>98</v>
      </c>
      <c r="H1094" t="s">
        <v>364</v>
      </c>
    </row>
    <row r="1095" spans="1:8" x14ac:dyDescent="0.25">
      <c r="A1095" t="s">
        <v>2494</v>
      </c>
      <c r="B1095" t="s">
        <v>37</v>
      </c>
      <c r="C1095" t="s">
        <v>2618</v>
      </c>
      <c r="D1095" t="s">
        <v>2619</v>
      </c>
      <c r="E1095" t="s">
        <v>29</v>
      </c>
      <c r="F1095" t="s">
        <v>97</v>
      </c>
      <c r="G1095" t="s">
        <v>98</v>
      </c>
      <c r="H1095" t="s">
        <v>2620</v>
      </c>
    </row>
    <row r="1096" spans="1:8" x14ac:dyDescent="0.25">
      <c r="A1096" t="s">
        <v>2494</v>
      </c>
      <c r="B1096" t="s">
        <v>32</v>
      </c>
      <c r="C1096" t="s">
        <v>2621</v>
      </c>
      <c r="D1096" t="s">
        <v>2622</v>
      </c>
      <c r="E1096" t="s">
        <v>29</v>
      </c>
      <c r="F1096" t="s">
        <v>97</v>
      </c>
      <c r="G1096" t="s">
        <v>98</v>
      </c>
      <c r="H1096" t="s">
        <v>2623</v>
      </c>
    </row>
    <row r="1097" spans="1:8" x14ac:dyDescent="0.25">
      <c r="A1097" t="s">
        <v>2494</v>
      </c>
      <c r="B1097" t="s">
        <v>9</v>
      </c>
      <c r="C1097" t="s">
        <v>2624</v>
      </c>
      <c r="D1097" t="s">
        <v>2625</v>
      </c>
      <c r="E1097" t="s">
        <v>29</v>
      </c>
      <c r="F1097" t="s">
        <v>97</v>
      </c>
      <c r="G1097" t="s">
        <v>98</v>
      </c>
      <c r="H1097" t="s">
        <v>2626</v>
      </c>
    </row>
    <row r="1098" spans="1:8" x14ac:dyDescent="0.25">
      <c r="A1098" t="s">
        <v>2494</v>
      </c>
      <c r="B1098" t="s">
        <v>42</v>
      </c>
      <c r="C1098" t="s">
        <v>2627</v>
      </c>
      <c r="D1098" t="s">
        <v>2628</v>
      </c>
      <c r="E1098" t="s">
        <v>29</v>
      </c>
      <c r="F1098" t="s">
        <v>97</v>
      </c>
      <c r="G1098" t="s">
        <v>98</v>
      </c>
      <c r="H1098" t="s">
        <v>1864</v>
      </c>
    </row>
    <row r="1099" spans="1:8" x14ac:dyDescent="0.25">
      <c r="A1099" t="s">
        <v>2494</v>
      </c>
      <c r="B1099" t="s">
        <v>37</v>
      </c>
      <c r="C1099" t="s">
        <v>2629</v>
      </c>
      <c r="D1099" t="s">
        <v>2630</v>
      </c>
      <c r="E1099" t="s">
        <v>29</v>
      </c>
      <c r="F1099" t="s">
        <v>97</v>
      </c>
      <c r="G1099" t="s">
        <v>98</v>
      </c>
      <c r="H1099" t="s">
        <v>2261</v>
      </c>
    </row>
    <row r="1100" spans="1:8" x14ac:dyDescent="0.25">
      <c r="A1100" t="s">
        <v>2494</v>
      </c>
      <c r="B1100" t="s">
        <v>100</v>
      </c>
      <c r="C1100" t="s">
        <v>2631</v>
      </c>
      <c r="D1100" t="s">
        <v>2632</v>
      </c>
      <c r="E1100" t="s">
        <v>12</v>
      </c>
      <c r="F1100" t="s">
        <v>30</v>
      </c>
      <c r="G1100" t="s">
        <v>14</v>
      </c>
      <c r="H1100" t="s">
        <v>2633</v>
      </c>
    </row>
    <row r="1101" spans="1:8" x14ac:dyDescent="0.25">
      <c r="A1101" t="s">
        <v>2494</v>
      </c>
      <c r="B1101" t="s">
        <v>91</v>
      </c>
      <c r="C1101" t="s">
        <v>2634</v>
      </c>
      <c r="D1101" t="s">
        <v>2635</v>
      </c>
      <c r="E1101" t="s">
        <v>432</v>
      </c>
      <c r="F1101" t="s">
        <v>24</v>
      </c>
      <c r="G1101" t="s">
        <v>14</v>
      </c>
      <c r="H1101" t="s">
        <v>1979</v>
      </c>
    </row>
    <row r="1102" spans="1:8" x14ac:dyDescent="0.25">
      <c r="A1102" t="s">
        <v>2494</v>
      </c>
      <c r="B1102" t="s">
        <v>16</v>
      </c>
      <c r="C1102" t="s">
        <v>2636</v>
      </c>
      <c r="D1102" t="s">
        <v>2637</v>
      </c>
      <c r="E1102" t="s">
        <v>12</v>
      </c>
      <c r="F1102" t="s">
        <v>30</v>
      </c>
      <c r="G1102" t="s">
        <v>14</v>
      </c>
      <c r="H1102" t="s">
        <v>2638</v>
      </c>
    </row>
    <row r="1103" spans="1:8" x14ac:dyDescent="0.25">
      <c r="A1103" t="s">
        <v>2494</v>
      </c>
      <c r="B1103" t="s">
        <v>77</v>
      </c>
      <c r="C1103" t="s">
        <v>2639</v>
      </c>
      <c r="D1103" t="s">
        <v>2640</v>
      </c>
      <c r="E1103" t="s">
        <v>45</v>
      </c>
      <c r="F1103" t="s">
        <v>19</v>
      </c>
      <c r="G1103" t="s">
        <v>14</v>
      </c>
      <c r="H1103" t="s">
        <v>865</v>
      </c>
    </row>
    <row r="1104" spans="1:8" x14ac:dyDescent="0.25">
      <c r="A1104" t="s">
        <v>2494</v>
      </c>
      <c r="B1104" t="s">
        <v>9</v>
      </c>
      <c r="C1104" t="s">
        <v>2641</v>
      </c>
      <c r="D1104" t="s">
        <v>2642</v>
      </c>
      <c r="E1104" t="s">
        <v>702</v>
      </c>
      <c r="F1104" t="s">
        <v>24</v>
      </c>
      <c r="G1104" t="s">
        <v>14</v>
      </c>
      <c r="H1104" t="s">
        <v>2643</v>
      </c>
    </row>
    <row r="1105" spans="1:8" x14ac:dyDescent="0.25">
      <c r="A1105" t="s">
        <v>2494</v>
      </c>
      <c r="B1105" t="s">
        <v>16</v>
      </c>
      <c r="C1105" t="s">
        <v>2644</v>
      </c>
      <c r="D1105" t="s">
        <v>2645</v>
      </c>
      <c r="E1105" t="s">
        <v>23</v>
      </c>
      <c r="F1105" t="s">
        <v>24</v>
      </c>
      <c r="G1105" t="s">
        <v>14</v>
      </c>
      <c r="H1105" t="s">
        <v>2646</v>
      </c>
    </row>
    <row r="1106" spans="1:8" x14ac:dyDescent="0.25">
      <c r="A1106" t="s">
        <v>2494</v>
      </c>
      <c r="B1106" t="s">
        <v>37</v>
      </c>
      <c r="C1106" t="s">
        <v>2647</v>
      </c>
      <c r="D1106" t="s">
        <v>2648</v>
      </c>
      <c r="E1106" t="s">
        <v>12</v>
      </c>
      <c r="F1106" t="s">
        <v>13</v>
      </c>
      <c r="G1106" t="s">
        <v>14</v>
      </c>
      <c r="H1106" t="s">
        <v>325</v>
      </c>
    </row>
    <row r="1107" spans="1:8" x14ac:dyDescent="0.25">
      <c r="A1107" t="s">
        <v>2494</v>
      </c>
      <c r="B1107" t="s">
        <v>42</v>
      </c>
      <c r="C1107" t="s">
        <v>2649</v>
      </c>
      <c r="D1107" t="s">
        <v>2650</v>
      </c>
      <c r="E1107" t="s">
        <v>12</v>
      </c>
      <c r="F1107" t="s">
        <v>13</v>
      </c>
      <c r="G1107" t="s">
        <v>14</v>
      </c>
      <c r="H1107" t="s">
        <v>519</v>
      </c>
    </row>
    <row r="1108" spans="1:8" x14ac:dyDescent="0.25">
      <c r="A1108" t="s">
        <v>2494</v>
      </c>
      <c r="B1108" t="s">
        <v>77</v>
      </c>
      <c r="C1108" t="s">
        <v>2651</v>
      </c>
      <c r="D1108" t="s">
        <v>2652</v>
      </c>
      <c r="E1108" t="s">
        <v>12</v>
      </c>
      <c r="F1108" t="s">
        <v>13</v>
      </c>
      <c r="G1108" t="s">
        <v>14</v>
      </c>
      <c r="H1108" t="s">
        <v>1867</v>
      </c>
    </row>
    <row r="1109" spans="1:8" x14ac:dyDescent="0.25">
      <c r="A1109" t="s">
        <v>2494</v>
      </c>
      <c r="B1109" t="s">
        <v>9</v>
      </c>
      <c r="C1109" t="s">
        <v>2653</v>
      </c>
      <c r="D1109" t="s">
        <v>2654</v>
      </c>
      <c r="E1109" t="s">
        <v>29</v>
      </c>
      <c r="F1109" t="s">
        <v>30</v>
      </c>
      <c r="G1109" t="s">
        <v>14</v>
      </c>
      <c r="H1109" t="s">
        <v>1855</v>
      </c>
    </row>
    <row r="1110" spans="1:8" x14ac:dyDescent="0.25">
      <c r="A1110" t="s">
        <v>2494</v>
      </c>
      <c r="B1110" t="s">
        <v>42</v>
      </c>
      <c r="C1110" t="s">
        <v>2655</v>
      </c>
      <c r="D1110" t="s">
        <v>2656</v>
      </c>
      <c r="E1110" t="s">
        <v>29</v>
      </c>
      <c r="F1110" t="s">
        <v>24</v>
      </c>
      <c r="G1110" t="s">
        <v>14</v>
      </c>
      <c r="H1110" t="s">
        <v>2657</v>
      </c>
    </row>
    <row r="1111" spans="1:8" x14ac:dyDescent="0.25">
      <c r="A1111" t="s">
        <v>2494</v>
      </c>
      <c r="B1111" t="s">
        <v>42</v>
      </c>
      <c r="C1111" t="s">
        <v>2658</v>
      </c>
      <c r="D1111" t="s">
        <v>2659</v>
      </c>
      <c r="E1111" t="s">
        <v>60</v>
      </c>
      <c r="F1111" t="s">
        <v>71</v>
      </c>
      <c r="G1111" t="s">
        <v>14</v>
      </c>
      <c r="H1111" t="s">
        <v>473</v>
      </c>
    </row>
    <row r="1112" spans="1:8" x14ac:dyDescent="0.25">
      <c r="A1112" t="s">
        <v>2494</v>
      </c>
      <c r="B1112" t="s">
        <v>77</v>
      </c>
      <c r="C1112" t="s">
        <v>2660</v>
      </c>
      <c r="D1112" t="s">
        <v>2661</v>
      </c>
      <c r="E1112" t="s">
        <v>172</v>
      </c>
      <c r="F1112" t="s">
        <v>30</v>
      </c>
      <c r="G1112" t="s">
        <v>14</v>
      </c>
      <c r="H1112" t="s">
        <v>1492</v>
      </c>
    </row>
    <row r="1113" spans="1:8" x14ac:dyDescent="0.25">
      <c r="A1113" t="s">
        <v>2494</v>
      </c>
      <c r="B1113" t="s">
        <v>26</v>
      </c>
      <c r="C1113" t="s">
        <v>2662</v>
      </c>
      <c r="D1113" t="s">
        <v>2663</v>
      </c>
      <c r="E1113" t="s">
        <v>29</v>
      </c>
      <c r="F1113" t="s">
        <v>30</v>
      </c>
      <c r="G1113" t="s">
        <v>14</v>
      </c>
      <c r="H1113" t="s">
        <v>2664</v>
      </c>
    </row>
    <row r="1114" spans="1:8" x14ac:dyDescent="0.25">
      <c r="A1114" t="s">
        <v>2494</v>
      </c>
      <c r="B1114" t="s">
        <v>16</v>
      </c>
      <c r="C1114" t="s">
        <v>2665</v>
      </c>
      <c r="D1114" t="s">
        <v>2666</v>
      </c>
      <c r="E1114" t="s">
        <v>23</v>
      </c>
      <c r="F1114" t="s">
        <v>24</v>
      </c>
      <c r="G1114" t="s">
        <v>14</v>
      </c>
      <c r="H1114" t="s">
        <v>1097</v>
      </c>
    </row>
    <row r="1115" spans="1:8" x14ac:dyDescent="0.25">
      <c r="A1115" t="s">
        <v>2494</v>
      </c>
      <c r="B1115" t="s">
        <v>37</v>
      </c>
      <c r="C1115" t="s">
        <v>2667</v>
      </c>
      <c r="D1115" t="s">
        <v>2668</v>
      </c>
      <c r="E1115" t="s">
        <v>60</v>
      </c>
      <c r="F1115" t="s">
        <v>13</v>
      </c>
      <c r="G1115" t="s">
        <v>14</v>
      </c>
      <c r="H1115" t="s">
        <v>355</v>
      </c>
    </row>
    <row r="1116" spans="1:8" x14ac:dyDescent="0.25">
      <c r="A1116" t="s">
        <v>2494</v>
      </c>
      <c r="B1116" t="s">
        <v>77</v>
      </c>
      <c r="C1116" t="s">
        <v>2669</v>
      </c>
      <c r="D1116" t="s">
        <v>2670</v>
      </c>
      <c r="E1116" t="s">
        <v>29</v>
      </c>
      <c r="F1116" t="s">
        <v>30</v>
      </c>
      <c r="G1116" t="s">
        <v>14</v>
      </c>
      <c r="H1116" t="s">
        <v>355</v>
      </c>
    </row>
    <row r="1117" spans="1:8" x14ac:dyDescent="0.25">
      <c r="A1117" t="s">
        <v>2494</v>
      </c>
      <c r="B1117" t="s">
        <v>9</v>
      </c>
      <c r="C1117" t="s">
        <v>2671</v>
      </c>
      <c r="D1117" t="s">
        <v>2672</v>
      </c>
      <c r="E1117" t="s">
        <v>29</v>
      </c>
      <c r="F1117" t="s">
        <v>30</v>
      </c>
      <c r="G1117" t="s">
        <v>14</v>
      </c>
      <c r="H1117" t="s">
        <v>355</v>
      </c>
    </row>
    <row r="1118" spans="1:8" x14ac:dyDescent="0.25">
      <c r="A1118" t="s">
        <v>2494</v>
      </c>
      <c r="B1118" t="s">
        <v>16</v>
      </c>
      <c r="C1118" t="s">
        <v>2673</v>
      </c>
      <c r="D1118" t="s">
        <v>2674</v>
      </c>
      <c r="E1118" t="s">
        <v>29</v>
      </c>
      <c r="F1118" t="s">
        <v>30</v>
      </c>
      <c r="G1118" t="s">
        <v>14</v>
      </c>
      <c r="H1118" t="s">
        <v>223</v>
      </c>
    </row>
    <row r="1119" spans="1:8" x14ac:dyDescent="0.25">
      <c r="A1119" t="s">
        <v>2494</v>
      </c>
      <c r="B1119" t="s">
        <v>32</v>
      </c>
      <c r="C1119" t="s">
        <v>2675</v>
      </c>
      <c r="D1119" t="s">
        <v>2676</v>
      </c>
      <c r="E1119" t="s">
        <v>12</v>
      </c>
      <c r="F1119" t="s">
        <v>13</v>
      </c>
      <c r="G1119" t="s">
        <v>14</v>
      </c>
      <c r="H1119" t="s">
        <v>900</v>
      </c>
    </row>
    <row r="1120" spans="1:8" x14ac:dyDescent="0.25">
      <c r="A1120" t="s">
        <v>2494</v>
      </c>
      <c r="B1120" t="s">
        <v>9</v>
      </c>
      <c r="C1120" t="s">
        <v>2677</v>
      </c>
      <c r="D1120" t="s">
        <v>2678</v>
      </c>
      <c r="E1120" t="s">
        <v>29</v>
      </c>
      <c r="F1120" t="s">
        <v>24</v>
      </c>
      <c r="G1120" t="s">
        <v>14</v>
      </c>
      <c r="H1120" t="s">
        <v>851</v>
      </c>
    </row>
    <row r="1121" spans="1:8" x14ac:dyDescent="0.25">
      <c r="A1121" t="s">
        <v>2494</v>
      </c>
      <c r="B1121" t="s">
        <v>42</v>
      </c>
      <c r="C1121" t="s">
        <v>2679</v>
      </c>
      <c r="D1121" t="s">
        <v>2680</v>
      </c>
      <c r="E1121" t="s">
        <v>12</v>
      </c>
      <c r="F1121" t="s">
        <v>13</v>
      </c>
      <c r="G1121" t="s">
        <v>14</v>
      </c>
      <c r="H1121" t="s">
        <v>112</v>
      </c>
    </row>
    <row r="1122" spans="1:8" x14ac:dyDescent="0.25">
      <c r="A1122" t="s">
        <v>2494</v>
      </c>
      <c r="B1122" t="s">
        <v>100</v>
      </c>
      <c r="C1122" t="s">
        <v>2681</v>
      </c>
      <c r="D1122" t="s">
        <v>2682</v>
      </c>
      <c r="E1122" t="s">
        <v>29</v>
      </c>
      <c r="F1122" t="s">
        <v>30</v>
      </c>
      <c r="G1122" t="s">
        <v>14</v>
      </c>
      <c r="H1122" t="s">
        <v>443</v>
      </c>
    </row>
    <row r="1123" spans="1:8" x14ac:dyDescent="0.25">
      <c r="A1123" t="s">
        <v>2494</v>
      </c>
      <c r="B1123" t="s">
        <v>9</v>
      </c>
      <c r="C1123" t="s">
        <v>2683</v>
      </c>
      <c r="D1123" t="s">
        <v>2684</v>
      </c>
      <c r="E1123" t="s">
        <v>116</v>
      </c>
      <c r="F1123" t="s">
        <v>24</v>
      </c>
      <c r="G1123" t="s">
        <v>14</v>
      </c>
      <c r="H1123" t="s">
        <v>999</v>
      </c>
    </row>
    <row r="1124" spans="1:8" x14ac:dyDescent="0.25">
      <c r="A1124" t="s">
        <v>2494</v>
      </c>
      <c r="B1124" t="s">
        <v>73</v>
      </c>
      <c r="C1124" t="s">
        <v>2685</v>
      </c>
      <c r="D1124" t="s">
        <v>2686</v>
      </c>
      <c r="E1124" t="s">
        <v>35</v>
      </c>
      <c r="F1124" t="s">
        <v>30</v>
      </c>
      <c r="G1124" t="s">
        <v>14</v>
      </c>
      <c r="H1124" t="s">
        <v>1735</v>
      </c>
    </row>
    <row r="1125" spans="1:8" x14ac:dyDescent="0.25">
      <c r="A1125" t="s">
        <v>2494</v>
      </c>
      <c r="B1125" t="s">
        <v>100</v>
      </c>
      <c r="C1125" t="s">
        <v>2687</v>
      </c>
      <c r="D1125" t="s">
        <v>2688</v>
      </c>
      <c r="E1125" t="s">
        <v>29</v>
      </c>
      <c r="F1125" t="s">
        <v>24</v>
      </c>
      <c r="G1125" t="s">
        <v>14</v>
      </c>
      <c r="H1125" t="s">
        <v>72</v>
      </c>
    </row>
    <row r="1126" spans="1:8" x14ac:dyDescent="0.25">
      <c r="A1126" t="s">
        <v>2494</v>
      </c>
      <c r="B1126" t="s">
        <v>9</v>
      </c>
      <c r="C1126" t="s">
        <v>2689</v>
      </c>
      <c r="D1126" t="s">
        <v>2690</v>
      </c>
      <c r="E1126" t="s">
        <v>116</v>
      </c>
      <c r="F1126" t="s">
        <v>30</v>
      </c>
      <c r="G1126" t="s">
        <v>14</v>
      </c>
      <c r="H1126" t="s">
        <v>446</v>
      </c>
    </row>
    <row r="1127" spans="1:8" x14ac:dyDescent="0.25">
      <c r="A1127" t="s">
        <v>2494</v>
      </c>
      <c r="B1127" t="s">
        <v>113</v>
      </c>
      <c r="C1127" t="s">
        <v>2691</v>
      </c>
      <c r="D1127" t="s">
        <v>2692</v>
      </c>
      <c r="E1127" t="s">
        <v>45</v>
      </c>
      <c r="F1127" t="s">
        <v>71</v>
      </c>
      <c r="G1127" t="s">
        <v>14</v>
      </c>
      <c r="H1127" t="s">
        <v>131</v>
      </c>
    </row>
    <row r="1128" spans="1:8" x14ac:dyDescent="0.25">
      <c r="A1128" t="s">
        <v>2494</v>
      </c>
      <c r="B1128" t="s">
        <v>26</v>
      </c>
      <c r="C1128" t="s">
        <v>2693</v>
      </c>
      <c r="D1128" t="s">
        <v>2694</v>
      </c>
      <c r="E1128" t="s">
        <v>172</v>
      </c>
      <c r="F1128" t="s">
        <v>30</v>
      </c>
      <c r="G1128" t="s">
        <v>14</v>
      </c>
      <c r="H1128" t="s">
        <v>322</v>
      </c>
    </row>
    <row r="1129" spans="1:8" x14ac:dyDescent="0.25">
      <c r="A1129" t="s">
        <v>2494</v>
      </c>
      <c r="B1129" t="s">
        <v>100</v>
      </c>
      <c r="C1129" t="s">
        <v>2695</v>
      </c>
      <c r="D1129" t="s">
        <v>2696</v>
      </c>
      <c r="E1129" t="s">
        <v>35</v>
      </c>
      <c r="F1129" t="s">
        <v>30</v>
      </c>
      <c r="G1129" t="s">
        <v>14</v>
      </c>
      <c r="H1129" t="s">
        <v>539</v>
      </c>
    </row>
    <row r="1130" spans="1:8" x14ac:dyDescent="0.25">
      <c r="A1130" t="s">
        <v>2494</v>
      </c>
      <c r="B1130" t="s">
        <v>37</v>
      </c>
      <c r="C1130" t="s">
        <v>2697</v>
      </c>
      <c r="D1130" t="s">
        <v>2698</v>
      </c>
      <c r="E1130" t="s">
        <v>29</v>
      </c>
      <c r="F1130" t="s">
        <v>30</v>
      </c>
      <c r="G1130" t="s">
        <v>14</v>
      </c>
      <c r="H1130" t="s">
        <v>117</v>
      </c>
    </row>
    <row r="1131" spans="1:8" x14ac:dyDescent="0.25">
      <c r="A1131" t="s">
        <v>2494</v>
      </c>
      <c r="B1131" t="s">
        <v>16</v>
      </c>
      <c r="C1131" t="s">
        <v>2699</v>
      </c>
      <c r="D1131" t="s">
        <v>2700</v>
      </c>
      <c r="E1131" t="s">
        <v>45</v>
      </c>
      <c r="F1131" t="s">
        <v>71</v>
      </c>
      <c r="G1131" t="s">
        <v>14</v>
      </c>
      <c r="H1131" t="s">
        <v>443</v>
      </c>
    </row>
    <row r="1132" spans="1:8" x14ac:dyDescent="0.25">
      <c r="A1132" t="s">
        <v>2494</v>
      </c>
      <c r="B1132" t="s">
        <v>77</v>
      </c>
      <c r="C1132" t="s">
        <v>2701</v>
      </c>
      <c r="D1132" t="s">
        <v>2702</v>
      </c>
      <c r="E1132" t="s">
        <v>35</v>
      </c>
      <c r="F1132" t="s">
        <v>30</v>
      </c>
      <c r="G1132" t="s">
        <v>14</v>
      </c>
      <c r="H1132" t="s">
        <v>264</v>
      </c>
    </row>
    <row r="1133" spans="1:8" x14ac:dyDescent="0.25">
      <c r="A1133" t="s">
        <v>2494</v>
      </c>
      <c r="B1133" t="s">
        <v>37</v>
      </c>
      <c r="C1133" t="s">
        <v>2703</v>
      </c>
      <c r="D1133" t="s">
        <v>2704</v>
      </c>
      <c r="E1133" t="s">
        <v>12</v>
      </c>
      <c r="F1133" t="s">
        <v>13</v>
      </c>
      <c r="G1133" t="s">
        <v>14</v>
      </c>
      <c r="H1133" t="s">
        <v>576</v>
      </c>
    </row>
    <row r="1134" spans="1:8" x14ac:dyDescent="0.25">
      <c r="A1134" t="s">
        <v>2494</v>
      </c>
      <c r="B1134" t="s">
        <v>77</v>
      </c>
      <c r="C1134" t="s">
        <v>2705</v>
      </c>
      <c r="D1134" t="s">
        <v>2706</v>
      </c>
      <c r="E1134" t="s">
        <v>29</v>
      </c>
      <c r="F1134" t="s">
        <v>30</v>
      </c>
      <c r="G1134" t="s">
        <v>14</v>
      </c>
      <c r="H1134" t="s">
        <v>137</v>
      </c>
    </row>
    <row r="1135" spans="1:8" x14ac:dyDescent="0.25">
      <c r="A1135" t="s">
        <v>2494</v>
      </c>
      <c r="B1135" t="s">
        <v>9</v>
      </c>
      <c r="C1135" t="s">
        <v>2707</v>
      </c>
      <c r="D1135" t="s">
        <v>2708</v>
      </c>
      <c r="E1135" t="s">
        <v>116</v>
      </c>
      <c r="F1135" t="s">
        <v>24</v>
      </c>
      <c r="G1135" t="s">
        <v>14</v>
      </c>
      <c r="H1135" t="s">
        <v>137</v>
      </c>
    </row>
    <row r="1136" spans="1:8" x14ac:dyDescent="0.25">
      <c r="A1136" t="s">
        <v>2494</v>
      </c>
      <c r="B1136" t="s">
        <v>9</v>
      </c>
      <c r="C1136" t="s">
        <v>2709</v>
      </c>
      <c r="D1136" t="s">
        <v>2710</v>
      </c>
      <c r="E1136" t="s">
        <v>23</v>
      </c>
      <c r="F1136" t="s">
        <v>24</v>
      </c>
      <c r="G1136" t="s">
        <v>14</v>
      </c>
      <c r="H1136" t="s">
        <v>137</v>
      </c>
    </row>
    <row r="1137" spans="1:8" x14ac:dyDescent="0.25">
      <c r="A1137" t="s">
        <v>2494</v>
      </c>
      <c r="B1137" t="s">
        <v>9</v>
      </c>
      <c r="C1137" t="s">
        <v>2711</v>
      </c>
      <c r="D1137" t="s">
        <v>2712</v>
      </c>
      <c r="E1137" t="s">
        <v>172</v>
      </c>
      <c r="F1137" t="s">
        <v>24</v>
      </c>
      <c r="G1137" t="s">
        <v>14</v>
      </c>
      <c r="H1137" t="s">
        <v>140</v>
      </c>
    </row>
    <row r="1138" spans="1:8" x14ac:dyDescent="0.25">
      <c r="A1138" t="s">
        <v>2494</v>
      </c>
      <c r="B1138" t="s">
        <v>9</v>
      </c>
      <c r="C1138" t="s">
        <v>2713</v>
      </c>
      <c r="D1138" t="s">
        <v>2714</v>
      </c>
      <c r="E1138" t="s">
        <v>172</v>
      </c>
      <c r="F1138" t="s">
        <v>30</v>
      </c>
      <c r="G1138" t="s">
        <v>14</v>
      </c>
      <c r="H1138" t="s">
        <v>375</v>
      </c>
    </row>
    <row r="1139" spans="1:8" x14ac:dyDescent="0.25">
      <c r="A1139" t="s">
        <v>2494</v>
      </c>
      <c r="B1139" t="s">
        <v>16</v>
      </c>
      <c r="C1139" t="s">
        <v>2715</v>
      </c>
      <c r="D1139" t="s">
        <v>2716</v>
      </c>
      <c r="E1139" t="s">
        <v>29</v>
      </c>
      <c r="F1139" t="s">
        <v>30</v>
      </c>
      <c r="G1139" t="s">
        <v>14</v>
      </c>
      <c r="H1139" t="s">
        <v>375</v>
      </c>
    </row>
    <row r="1140" spans="1:8" x14ac:dyDescent="0.25">
      <c r="A1140" t="s">
        <v>2494</v>
      </c>
      <c r="B1140" t="s">
        <v>37</v>
      </c>
      <c r="C1140" t="s">
        <v>2717</v>
      </c>
      <c r="D1140" t="s">
        <v>2718</v>
      </c>
      <c r="E1140" t="s">
        <v>60</v>
      </c>
      <c r="F1140" t="s">
        <v>13</v>
      </c>
      <c r="G1140" t="s">
        <v>14</v>
      </c>
      <c r="H1140" t="s">
        <v>378</v>
      </c>
    </row>
    <row r="1141" spans="1:8" x14ac:dyDescent="0.25">
      <c r="A1141" t="s">
        <v>2494</v>
      </c>
      <c r="B1141" t="s">
        <v>9</v>
      </c>
      <c r="C1141" t="s">
        <v>2719</v>
      </c>
      <c r="D1141" t="s">
        <v>2720</v>
      </c>
      <c r="E1141" t="s">
        <v>29</v>
      </c>
      <c r="F1141" t="s">
        <v>30</v>
      </c>
      <c r="G1141" t="s">
        <v>14</v>
      </c>
      <c r="H1141" t="s">
        <v>87</v>
      </c>
    </row>
    <row r="1142" spans="1:8" x14ac:dyDescent="0.25">
      <c r="A1142" t="s">
        <v>2494</v>
      </c>
      <c r="B1142" t="s">
        <v>32</v>
      </c>
      <c r="C1142" t="s">
        <v>2721</v>
      </c>
      <c r="D1142" t="s">
        <v>2721</v>
      </c>
      <c r="E1142" t="s">
        <v>172</v>
      </c>
      <c r="F1142" t="s">
        <v>30</v>
      </c>
      <c r="G1142" t="s">
        <v>63</v>
      </c>
      <c r="H1142" t="s">
        <v>2722</v>
      </c>
    </row>
    <row r="1143" spans="1:8" x14ac:dyDescent="0.25">
      <c r="A1143" t="s">
        <v>2494</v>
      </c>
      <c r="B1143" t="s">
        <v>100</v>
      </c>
      <c r="C1143" t="s">
        <v>2723</v>
      </c>
      <c r="D1143" t="s">
        <v>2724</v>
      </c>
      <c r="E1143" t="s">
        <v>35</v>
      </c>
      <c r="F1143" t="s">
        <v>30</v>
      </c>
      <c r="G1143" t="s">
        <v>14</v>
      </c>
      <c r="H1143" t="s">
        <v>122</v>
      </c>
    </row>
    <row r="1144" spans="1:8" x14ac:dyDescent="0.25">
      <c r="A1144" t="s">
        <v>2494</v>
      </c>
      <c r="B1144" t="s">
        <v>42</v>
      </c>
      <c r="C1144" t="s">
        <v>2725</v>
      </c>
      <c r="D1144" t="s">
        <v>2726</v>
      </c>
      <c r="E1144" t="s">
        <v>23</v>
      </c>
      <c r="F1144" t="s">
        <v>24</v>
      </c>
      <c r="G1144" t="s">
        <v>14</v>
      </c>
      <c r="H1144" t="s">
        <v>122</v>
      </c>
    </row>
    <row r="1145" spans="1:8" x14ac:dyDescent="0.25">
      <c r="A1145" t="s">
        <v>2494</v>
      </c>
      <c r="B1145" t="s">
        <v>77</v>
      </c>
      <c r="C1145" t="s">
        <v>2727</v>
      </c>
      <c r="D1145" t="s">
        <v>2728</v>
      </c>
      <c r="E1145" t="s">
        <v>35</v>
      </c>
      <c r="F1145" t="s">
        <v>30</v>
      </c>
      <c r="G1145" t="s">
        <v>14</v>
      </c>
      <c r="H1145" t="s">
        <v>122</v>
      </c>
    </row>
    <row r="1146" spans="1:8" x14ac:dyDescent="0.25">
      <c r="A1146" t="s">
        <v>2494</v>
      </c>
      <c r="B1146" t="s">
        <v>16</v>
      </c>
      <c r="C1146" t="s">
        <v>2729</v>
      </c>
      <c r="D1146" t="s">
        <v>2730</v>
      </c>
      <c r="E1146" t="s">
        <v>35</v>
      </c>
      <c r="F1146" t="s">
        <v>24</v>
      </c>
      <c r="G1146" t="s">
        <v>14</v>
      </c>
      <c r="H1146" t="s">
        <v>464</v>
      </c>
    </row>
    <row r="1147" spans="1:8" x14ac:dyDescent="0.25">
      <c r="A1147" t="s">
        <v>2494</v>
      </c>
      <c r="B1147" t="s">
        <v>113</v>
      </c>
      <c r="C1147" t="s">
        <v>2731</v>
      </c>
      <c r="D1147" t="s">
        <v>2732</v>
      </c>
      <c r="E1147" t="s">
        <v>172</v>
      </c>
      <c r="F1147" t="s">
        <v>24</v>
      </c>
      <c r="G1147" t="s">
        <v>14</v>
      </c>
      <c r="H1147" t="s">
        <v>375</v>
      </c>
    </row>
    <row r="1148" spans="1:8" x14ac:dyDescent="0.25">
      <c r="A1148" t="s">
        <v>2494</v>
      </c>
      <c r="B1148" t="s">
        <v>91</v>
      </c>
      <c r="C1148" t="s">
        <v>2733</v>
      </c>
      <c r="D1148" t="s">
        <v>2734</v>
      </c>
      <c r="E1148" t="s">
        <v>45</v>
      </c>
      <c r="F1148" t="s">
        <v>24</v>
      </c>
      <c r="G1148" t="s">
        <v>14</v>
      </c>
      <c r="H1148" t="s">
        <v>2735</v>
      </c>
    </row>
    <row r="1149" spans="1:8" x14ac:dyDescent="0.25">
      <c r="A1149" t="s">
        <v>2494</v>
      </c>
      <c r="B1149" t="s">
        <v>100</v>
      </c>
      <c r="C1149" t="s">
        <v>2736</v>
      </c>
      <c r="D1149" t="s">
        <v>2737</v>
      </c>
      <c r="E1149" t="s">
        <v>45</v>
      </c>
      <c r="F1149" t="s">
        <v>24</v>
      </c>
      <c r="G1149" t="s">
        <v>14</v>
      </c>
      <c r="H1149" t="s">
        <v>2738</v>
      </c>
    </row>
    <row r="1150" spans="1:8" x14ac:dyDescent="0.25">
      <c r="A1150" t="s">
        <v>2494</v>
      </c>
      <c r="B1150" t="s">
        <v>26</v>
      </c>
      <c r="C1150" t="s">
        <v>2739</v>
      </c>
      <c r="D1150" t="s">
        <v>2740</v>
      </c>
      <c r="E1150" t="s">
        <v>432</v>
      </c>
      <c r="F1150" t="s">
        <v>30</v>
      </c>
      <c r="G1150" t="s">
        <v>14</v>
      </c>
      <c r="H1150" t="s">
        <v>1187</v>
      </c>
    </row>
    <row r="1151" spans="1:8" x14ac:dyDescent="0.25">
      <c r="A1151" t="s">
        <v>2494</v>
      </c>
      <c r="B1151" t="s">
        <v>91</v>
      </c>
      <c r="C1151" t="s">
        <v>2741</v>
      </c>
      <c r="D1151" t="s">
        <v>2742</v>
      </c>
      <c r="E1151" t="s">
        <v>529</v>
      </c>
      <c r="F1151" t="s">
        <v>51</v>
      </c>
      <c r="G1151" t="s">
        <v>14</v>
      </c>
      <c r="H1151" t="s">
        <v>2743</v>
      </c>
    </row>
    <row r="1152" spans="1:8" x14ac:dyDescent="0.25">
      <c r="A1152" t="s">
        <v>2494</v>
      </c>
      <c r="B1152" t="s">
        <v>91</v>
      </c>
      <c r="C1152" t="s">
        <v>2744</v>
      </c>
      <c r="D1152" t="s">
        <v>2745</v>
      </c>
      <c r="E1152" t="s">
        <v>40</v>
      </c>
      <c r="F1152" t="s">
        <v>51</v>
      </c>
      <c r="G1152" t="s">
        <v>14</v>
      </c>
      <c r="H1152" t="s">
        <v>2746</v>
      </c>
    </row>
    <row r="1153" spans="1:8" x14ac:dyDescent="0.25">
      <c r="A1153" t="s">
        <v>2494</v>
      </c>
      <c r="B1153" t="s">
        <v>100</v>
      </c>
      <c r="C1153" t="s">
        <v>2747</v>
      </c>
      <c r="D1153" t="s">
        <v>2748</v>
      </c>
      <c r="E1153" t="s">
        <v>45</v>
      </c>
      <c r="F1153" t="s">
        <v>19</v>
      </c>
      <c r="G1153" t="s">
        <v>14</v>
      </c>
      <c r="H1153" t="s">
        <v>2749</v>
      </c>
    </row>
    <row r="1154" spans="1:8" x14ac:dyDescent="0.25">
      <c r="A1154" t="s">
        <v>2494</v>
      </c>
      <c r="B1154" t="s">
        <v>9</v>
      </c>
      <c r="C1154" t="s">
        <v>2750</v>
      </c>
      <c r="D1154" t="s">
        <v>2751</v>
      </c>
      <c r="E1154" t="s">
        <v>40</v>
      </c>
      <c r="F1154" t="s">
        <v>80</v>
      </c>
      <c r="G1154" t="s">
        <v>14</v>
      </c>
      <c r="H1154" t="s">
        <v>1830</v>
      </c>
    </row>
    <row r="1155" spans="1:8" x14ac:dyDescent="0.25">
      <c r="A1155" t="s">
        <v>2494</v>
      </c>
      <c r="B1155" t="s">
        <v>42</v>
      </c>
      <c r="C1155" t="s">
        <v>2752</v>
      </c>
      <c r="D1155" t="s">
        <v>2753</v>
      </c>
      <c r="E1155" t="s">
        <v>505</v>
      </c>
      <c r="F1155" t="s">
        <v>51</v>
      </c>
      <c r="G1155" t="s">
        <v>14</v>
      </c>
      <c r="H1155" t="s">
        <v>223</v>
      </c>
    </row>
    <row r="1156" spans="1:8" x14ac:dyDescent="0.25">
      <c r="A1156" t="s">
        <v>2494</v>
      </c>
      <c r="B1156" t="s">
        <v>32</v>
      </c>
      <c r="C1156" t="s">
        <v>2754</v>
      </c>
      <c r="D1156" t="s">
        <v>2755</v>
      </c>
      <c r="E1156" t="s">
        <v>12</v>
      </c>
      <c r="F1156" t="s">
        <v>19</v>
      </c>
      <c r="G1156" t="s">
        <v>14</v>
      </c>
      <c r="H1156" t="s">
        <v>509</v>
      </c>
    </row>
    <row r="1157" spans="1:8" x14ac:dyDescent="0.25">
      <c r="A1157" t="s">
        <v>2494</v>
      </c>
      <c r="B1157" t="s">
        <v>26</v>
      </c>
      <c r="C1157" t="s">
        <v>2756</v>
      </c>
      <c r="D1157" t="s">
        <v>2757</v>
      </c>
      <c r="E1157" t="s">
        <v>45</v>
      </c>
      <c r="F1157" t="s">
        <v>24</v>
      </c>
      <c r="G1157" t="s">
        <v>14</v>
      </c>
      <c r="H1157" t="s">
        <v>2758</v>
      </c>
    </row>
    <row r="1158" spans="1:8" x14ac:dyDescent="0.25">
      <c r="A1158" t="s">
        <v>2494</v>
      </c>
      <c r="B1158" t="s">
        <v>26</v>
      </c>
      <c r="C1158" t="s">
        <v>2759</v>
      </c>
      <c r="D1158" t="s">
        <v>2760</v>
      </c>
      <c r="E1158" t="s">
        <v>12</v>
      </c>
      <c r="F1158" t="s">
        <v>30</v>
      </c>
      <c r="G1158" t="s">
        <v>14</v>
      </c>
      <c r="H1158" t="s">
        <v>2761</v>
      </c>
    </row>
    <row r="1159" spans="1:8" x14ac:dyDescent="0.25">
      <c r="A1159" t="s">
        <v>2494</v>
      </c>
      <c r="B1159" t="s">
        <v>9</v>
      </c>
      <c r="C1159" t="s">
        <v>2762</v>
      </c>
      <c r="D1159" t="s">
        <v>2763</v>
      </c>
      <c r="E1159" t="s">
        <v>12</v>
      </c>
      <c r="F1159" t="s">
        <v>30</v>
      </c>
      <c r="G1159" t="s">
        <v>14</v>
      </c>
      <c r="H1159" t="s">
        <v>2764</v>
      </c>
    </row>
    <row r="1160" spans="1:8" x14ac:dyDescent="0.25">
      <c r="A1160" t="s">
        <v>2494</v>
      </c>
      <c r="B1160" t="s">
        <v>91</v>
      </c>
      <c r="C1160" t="s">
        <v>2765</v>
      </c>
      <c r="D1160" t="s">
        <v>2766</v>
      </c>
      <c r="E1160" t="s">
        <v>12</v>
      </c>
      <c r="F1160" t="s">
        <v>30</v>
      </c>
      <c r="G1160" t="s">
        <v>14</v>
      </c>
      <c r="H1160" t="s">
        <v>2767</v>
      </c>
    </row>
    <row r="1161" spans="1:8" x14ac:dyDescent="0.25">
      <c r="A1161" t="s">
        <v>2494</v>
      </c>
      <c r="B1161" t="s">
        <v>42</v>
      </c>
      <c r="C1161" t="s">
        <v>2768</v>
      </c>
      <c r="D1161" t="s">
        <v>2769</v>
      </c>
      <c r="E1161" t="s">
        <v>12</v>
      </c>
      <c r="F1161" t="s">
        <v>30</v>
      </c>
      <c r="G1161" t="s">
        <v>14</v>
      </c>
      <c r="H1161" t="s">
        <v>2770</v>
      </c>
    </row>
    <row r="1162" spans="1:8" x14ac:dyDescent="0.25">
      <c r="A1162" t="s">
        <v>2494</v>
      </c>
      <c r="B1162" t="s">
        <v>9</v>
      </c>
      <c r="C1162" t="s">
        <v>2771</v>
      </c>
      <c r="D1162" t="s">
        <v>2772</v>
      </c>
      <c r="E1162" t="s">
        <v>12</v>
      </c>
      <c r="F1162" t="s">
        <v>30</v>
      </c>
      <c r="G1162" t="s">
        <v>14</v>
      </c>
      <c r="H1162" t="s">
        <v>1007</v>
      </c>
    </row>
    <row r="1163" spans="1:8" x14ac:dyDescent="0.25">
      <c r="A1163" t="s">
        <v>2494</v>
      </c>
      <c r="B1163" t="s">
        <v>73</v>
      </c>
      <c r="C1163" t="s">
        <v>2773</v>
      </c>
      <c r="D1163" t="s">
        <v>2774</v>
      </c>
      <c r="E1163" t="s">
        <v>12</v>
      </c>
      <c r="F1163" t="s">
        <v>30</v>
      </c>
      <c r="G1163" t="s">
        <v>14</v>
      </c>
      <c r="H1163" t="s">
        <v>2775</v>
      </c>
    </row>
    <row r="1164" spans="1:8" x14ac:dyDescent="0.25">
      <c r="A1164" t="s">
        <v>2494</v>
      </c>
      <c r="B1164" t="s">
        <v>16</v>
      </c>
      <c r="C1164" t="s">
        <v>2776</v>
      </c>
      <c r="D1164" t="s">
        <v>2777</v>
      </c>
      <c r="E1164" t="s">
        <v>12</v>
      </c>
      <c r="F1164" t="s">
        <v>13</v>
      </c>
      <c r="G1164" t="s">
        <v>14</v>
      </c>
      <c r="H1164" t="s">
        <v>2778</v>
      </c>
    </row>
    <row r="1165" spans="1:8" x14ac:dyDescent="0.25">
      <c r="A1165" t="s">
        <v>2494</v>
      </c>
      <c r="B1165" t="s">
        <v>16</v>
      </c>
      <c r="C1165" t="s">
        <v>2779</v>
      </c>
      <c r="D1165" t="s">
        <v>2780</v>
      </c>
      <c r="E1165" t="s">
        <v>60</v>
      </c>
      <c r="F1165" t="s">
        <v>71</v>
      </c>
      <c r="G1165" t="s">
        <v>14</v>
      </c>
      <c r="H1165" t="s">
        <v>2781</v>
      </c>
    </row>
    <row r="1166" spans="1:8" x14ac:dyDescent="0.25">
      <c r="A1166" t="s">
        <v>2494</v>
      </c>
      <c r="B1166" t="s">
        <v>91</v>
      </c>
      <c r="C1166" t="s">
        <v>2782</v>
      </c>
      <c r="D1166" t="s">
        <v>2783</v>
      </c>
      <c r="E1166" t="s">
        <v>23</v>
      </c>
      <c r="F1166" t="s">
        <v>24</v>
      </c>
      <c r="G1166" t="s">
        <v>14</v>
      </c>
      <c r="H1166" t="s">
        <v>2784</v>
      </c>
    </row>
    <row r="1167" spans="1:8" x14ac:dyDescent="0.25">
      <c r="A1167" t="s">
        <v>2494</v>
      </c>
      <c r="B1167" t="s">
        <v>91</v>
      </c>
      <c r="C1167" t="s">
        <v>2785</v>
      </c>
      <c r="D1167" t="s">
        <v>2786</v>
      </c>
      <c r="E1167" t="s">
        <v>29</v>
      </c>
      <c r="F1167" t="s">
        <v>30</v>
      </c>
      <c r="G1167" t="s">
        <v>14</v>
      </c>
      <c r="H1167" t="s">
        <v>1510</v>
      </c>
    </row>
    <row r="1168" spans="1:8" x14ac:dyDescent="0.25">
      <c r="A1168" t="s">
        <v>2494</v>
      </c>
      <c r="B1168" t="s">
        <v>9</v>
      </c>
      <c r="C1168" t="s">
        <v>2787</v>
      </c>
      <c r="D1168" t="s">
        <v>2788</v>
      </c>
      <c r="E1168" t="s">
        <v>116</v>
      </c>
      <c r="F1168" t="s">
        <v>30</v>
      </c>
      <c r="G1168" t="s">
        <v>14</v>
      </c>
      <c r="H1168" t="s">
        <v>1463</v>
      </c>
    </row>
    <row r="1169" spans="1:8" x14ac:dyDescent="0.25">
      <c r="A1169" t="s">
        <v>2494</v>
      </c>
      <c r="B1169" t="s">
        <v>42</v>
      </c>
      <c r="C1169" t="s">
        <v>2789</v>
      </c>
      <c r="D1169" t="s">
        <v>2789</v>
      </c>
      <c r="E1169" t="s">
        <v>172</v>
      </c>
      <c r="F1169" t="s">
        <v>30</v>
      </c>
      <c r="G1169" t="s">
        <v>63</v>
      </c>
      <c r="H1169" t="s">
        <v>679</v>
      </c>
    </row>
    <row r="1170" spans="1:8" x14ac:dyDescent="0.25">
      <c r="A1170" t="s">
        <v>2494</v>
      </c>
      <c r="B1170" t="s">
        <v>42</v>
      </c>
      <c r="C1170" t="s">
        <v>2790</v>
      </c>
      <c r="D1170" t="s">
        <v>2791</v>
      </c>
      <c r="E1170" t="s">
        <v>12</v>
      </c>
      <c r="F1170" t="s">
        <v>13</v>
      </c>
      <c r="G1170" t="s">
        <v>14</v>
      </c>
      <c r="H1170" t="s">
        <v>1087</v>
      </c>
    </row>
    <row r="1171" spans="1:8" x14ac:dyDescent="0.25">
      <c r="A1171" t="s">
        <v>2494</v>
      </c>
      <c r="B1171" t="s">
        <v>42</v>
      </c>
      <c r="C1171" t="s">
        <v>2792</v>
      </c>
      <c r="D1171" t="s">
        <v>2793</v>
      </c>
      <c r="E1171" t="s">
        <v>29</v>
      </c>
      <c r="F1171" t="s">
        <v>30</v>
      </c>
      <c r="G1171" t="s">
        <v>14</v>
      </c>
      <c r="H1171" t="s">
        <v>736</v>
      </c>
    </row>
    <row r="1172" spans="1:8" x14ac:dyDescent="0.25">
      <c r="A1172" t="s">
        <v>2494</v>
      </c>
      <c r="B1172" t="s">
        <v>16</v>
      </c>
      <c r="C1172" t="s">
        <v>2794</v>
      </c>
      <c r="D1172" t="s">
        <v>2795</v>
      </c>
      <c r="E1172" t="s">
        <v>29</v>
      </c>
      <c r="F1172" t="s">
        <v>30</v>
      </c>
      <c r="G1172" t="s">
        <v>14</v>
      </c>
      <c r="H1172" t="s">
        <v>1222</v>
      </c>
    </row>
    <row r="1173" spans="1:8" x14ac:dyDescent="0.25">
      <c r="A1173" t="s">
        <v>2494</v>
      </c>
      <c r="B1173" t="s">
        <v>91</v>
      </c>
      <c r="C1173" t="s">
        <v>2796</v>
      </c>
      <c r="D1173" t="s">
        <v>2797</v>
      </c>
      <c r="E1173" t="s">
        <v>50</v>
      </c>
      <c r="F1173" t="s">
        <v>71</v>
      </c>
      <c r="G1173" t="s">
        <v>14</v>
      </c>
      <c r="H1173" t="s">
        <v>1168</v>
      </c>
    </row>
    <row r="1174" spans="1:8" x14ac:dyDescent="0.25">
      <c r="A1174" t="s">
        <v>2494</v>
      </c>
      <c r="B1174" t="s">
        <v>26</v>
      </c>
      <c r="C1174" t="s">
        <v>2798</v>
      </c>
      <c r="D1174" t="s">
        <v>2799</v>
      </c>
      <c r="E1174" t="s">
        <v>50</v>
      </c>
      <c r="F1174" t="s">
        <v>24</v>
      </c>
      <c r="G1174" t="s">
        <v>14</v>
      </c>
      <c r="H1174" t="s">
        <v>914</v>
      </c>
    </row>
    <row r="1175" spans="1:8" x14ac:dyDescent="0.25">
      <c r="A1175" t="s">
        <v>2494</v>
      </c>
      <c r="B1175" t="s">
        <v>42</v>
      </c>
      <c r="C1175" t="s">
        <v>2800</v>
      </c>
      <c r="D1175" t="s">
        <v>2801</v>
      </c>
      <c r="E1175" t="s">
        <v>29</v>
      </c>
      <c r="F1175" t="s">
        <v>30</v>
      </c>
      <c r="G1175" t="s">
        <v>14</v>
      </c>
      <c r="H1175" t="s">
        <v>1383</v>
      </c>
    </row>
    <row r="1176" spans="1:8" x14ac:dyDescent="0.25">
      <c r="A1176" t="s">
        <v>2494</v>
      </c>
      <c r="B1176" t="s">
        <v>42</v>
      </c>
      <c r="C1176" t="s">
        <v>2802</v>
      </c>
      <c r="D1176" t="s">
        <v>2803</v>
      </c>
      <c r="E1176" t="s">
        <v>35</v>
      </c>
      <c r="F1176" t="s">
        <v>30</v>
      </c>
      <c r="G1176" t="s">
        <v>14</v>
      </c>
      <c r="H1176" t="s">
        <v>1039</v>
      </c>
    </row>
    <row r="1177" spans="1:8" x14ac:dyDescent="0.25">
      <c r="A1177" t="s">
        <v>2494</v>
      </c>
      <c r="B1177" t="s">
        <v>73</v>
      </c>
      <c r="C1177" t="s">
        <v>2804</v>
      </c>
      <c r="D1177" t="s">
        <v>2805</v>
      </c>
      <c r="E1177" t="s">
        <v>12</v>
      </c>
      <c r="F1177" t="s">
        <v>13</v>
      </c>
      <c r="G1177" t="s">
        <v>14</v>
      </c>
      <c r="H1177" t="s">
        <v>502</v>
      </c>
    </row>
    <row r="1178" spans="1:8" x14ac:dyDescent="0.25">
      <c r="A1178" t="s">
        <v>2494</v>
      </c>
      <c r="B1178" t="s">
        <v>113</v>
      </c>
      <c r="C1178" t="s">
        <v>2806</v>
      </c>
      <c r="D1178" t="s">
        <v>2807</v>
      </c>
      <c r="E1178" t="s">
        <v>116</v>
      </c>
      <c r="F1178" t="s">
        <v>30</v>
      </c>
      <c r="G1178" t="s">
        <v>14</v>
      </c>
      <c r="H1178" t="s">
        <v>727</v>
      </c>
    </row>
    <row r="1179" spans="1:8" x14ac:dyDescent="0.25">
      <c r="A1179" t="s">
        <v>2494</v>
      </c>
      <c r="B1179" t="s">
        <v>26</v>
      </c>
      <c r="C1179" t="s">
        <v>2808</v>
      </c>
      <c r="D1179" t="s">
        <v>2809</v>
      </c>
      <c r="E1179" t="s">
        <v>60</v>
      </c>
      <c r="F1179" t="s">
        <v>71</v>
      </c>
      <c r="G1179" t="s">
        <v>14</v>
      </c>
      <c r="H1179" t="s">
        <v>416</v>
      </c>
    </row>
    <row r="1180" spans="1:8" x14ac:dyDescent="0.25">
      <c r="A1180" t="s">
        <v>2494</v>
      </c>
      <c r="B1180" t="s">
        <v>9</v>
      </c>
      <c r="C1180" t="s">
        <v>2810</v>
      </c>
      <c r="D1180" t="s">
        <v>2811</v>
      </c>
      <c r="E1180" t="s">
        <v>12</v>
      </c>
      <c r="F1180" t="s">
        <v>13</v>
      </c>
      <c r="G1180" t="s">
        <v>14</v>
      </c>
      <c r="H1180" t="s">
        <v>502</v>
      </c>
    </row>
    <row r="1181" spans="1:8" x14ac:dyDescent="0.25">
      <c r="A1181" t="s">
        <v>2494</v>
      </c>
      <c r="B1181" t="s">
        <v>73</v>
      </c>
      <c r="C1181" t="s">
        <v>2812</v>
      </c>
      <c r="D1181" t="s">
        <v>2813</v>
      </c>
      <c r="E1181" t="s">
        <v>116</v>
      </c>
      <c r="F1181" t="s">
        <v>30</v>
      </c>
      <c r="G1181" t="s">
        <v>14</v>
      </c>
      <c r="H1181" t="s">
        <v>502</v>
      </c>
    </row>
    <row r="1182" spans="1:8" x14ac:dyDescent="0.25">
      <c r="A1182" t="s">
        <v>2494</v>
      </c>
      <c r="B1182" t="s">
        <v>73</v>
      </c>
      <c r="C1182" t="s">
        <v>2814</v>
      </c>
      <c r="D1182" t="s">
        <v>2815</v>
      </c>
      <c r="E1182" t="s">
        <v>116</v>
      </c>
      <c r="F1182" t="s">
        <v>30</v>
      </c>
      <c r="G1182" t="s">
        <v>14</v>
      </c>
      <c r="H1182" t="s">
        <v>502</v>
      </c>
    </row>
    <row r="1183" spans="1:8" x14ac:dyDescent="0.25">
      <c r="A1183" t="s">
        <v>2494</v>
      </c>
      <c r="B1183" t="s">
        <v>9</v>
      </c>
      <c r="C1183" t="s">
        <v>2816</v>
      </c>
      <c r="D1183" t="s">
        <v>2817</v>
      </c>
      <c r="E1183" t="s">
        <v>29</v>
      </c>
      <c r="F1183" t="s">
        <v>30</v>
      </c>
      <c r="G1183" t="s">
        <v>14</v>
      </c>
      <c r="H1183" t="s">
        <v>205</v>
      </c>
    </row>
    <row r="1184" spans="1:8" x14ac:dyDescent="0.25">
      <c r="A1184" t="s">
        <v>2494</v>
      </c>
      <c r="B1184" t="s">
        <v>77</v>
      </c>
      <c r="C1184" t="s">
        <v>2818</v>
      </c>
      <c r="D1184" t="s">
        <v>2819</v>
      </c>
      <c r="E1184" t="s">
        <v>172</v>
      </c>
      <c r="F1184" t="s">
        <v>30</v>
      </c>
      <c r="G1184" t="s">
        <v>14</v>
      </c>
      <c r="H1184" t="s">
        <v>36</v>
      </c>
    </row>
    <row r="1185" spans="1:8" x14ac:dyDescent="0.25">
      <c r="A1185" t="s">
        <v>2494</v>
      </c>
      <c r="B1185" t="s">
        <v>26</v>
      </c>
      <c r="C1185" t="s">
        <v>2820</v>
      </c>
      <c r="D1185" t="s">
        <v>2821</v>
      </c>
      <c r="E1185" t="s">
        <v>172</v>
      </c>
      <c r="F1185" t="s">
        <v>24</v>
      </c>
      <c r="G1185" t="s">
        <v>14</v>
      </c>
      <c r="H1185" t="s">
        <v>433</v>
      </c>
    </row>
    <row r="1186" spans="1:8" x14ac:dyDescent="0.25">
      <c r="A1186" t="s">
        <v>2494</v>
      </c>
      <c r="B1186" t="s">
        <v>37</v>
      </c>
      <c r="C1186" t="s">
        <v>2822</v>
      </c>
      <c r="D1186" t="s">
        <v>2823</v>
      </c>
      <c r="E1186" t="s">
        <v>29</v>
      </c>
      <c r="F1186" t="s">
        <v>24</v>
      </c>
      <c r="G1186" t="s">
        <v>14</v>
      </c>
      <c r="H1186" t="s">
        <v>205</v>
      </c>
    </row>
    <row r="1187" spans="1:8" x14ac:dyDescent="0.25">
      <c r="A1187" t="s">
        <v>2494</v>
      </c>
      <c r="B1187" t="s">
        <v>16</v>
      </c>
      <c r="C1187" t="s">
        <v>2824</v>
      </c>
      <c r="D1187" t="s">
        <v>2825</v>
      </c>
      <c r="E1187" t="s">
        <v>29</v>
      </c>
      <c r="F1187" t="s">
        <v>30</v>
      </c>
      <c r="G1187" t="s">
        <v>14</v>
      </c>
      <c r="H1187" t="s">
        <v>2483</v>
      </c>
    </row>
    <row r="1188" spans="1:8" x14ac:dyDescent="0.25">
      <c r="A1188" t="s">
        <v>2494</v>
      </c>
      <c r="B1188" t="s">
        <v>37</v>
      </c>
      <c r="C1188" t="s">
        <v>2826</v>
      </c>
      <c r="D1188" t="s">
        <v>2827</v>
      </c>
      <c r="E1188" t="s">
        <v>40</v>
      </c>
      <c r="F1188" t="s">
        <v>19</v>
      </c>
      <c r="G1188" t="s">
        <v>14</v>
      </c>
      <c r="H1188" t="s">
        <v>2828</v>
      </c>
    </row>
    <row r="1189" spans="1:8" x14ac:dyDescent="0.25">
      <c r="A1189" t="s">
        <v>2494</v>
      </c>
      <c r="B1189" t="s">
        <v>9</v>
      </c>
      <c r="C1189" t="s">
        <v>2829</v>
      </c>
      <c r="D1189" t="s">
        <v>2830</v>
      </c>
      <c r="E1189" t="s">
        <v>40</v>
      </c>
      <c r="F1189" t="s">
        <v>80</v>
      </c>
      <c r="G1189" t="s">
        <v>14</v>
      </c>
      <c r="H1189" t="s">
        <v>2831</v>
      </c>
    </row>
    <row r="1190" spans="1:8" x14ac:dyDescent="0.25">
      <c r="A1190" t="s">
        <v>2494</v>
      </c>
      <c r="B1190" t="s">
        <v>42</v>
      </c>
      <c r="C1190" t="s">
        <v>2832</v>
      </c>
      <c r="D1190" t="s">
        <v>2833</v>
      </c>
      <c r="E1190" t="s">
        <v>390</v>
      </c>
      <c r="F1190" t="s">
        <v>51</v>
      </c>
      <c r="G1190" t="s">
        <v>14</v>
      </c>
      <c r="H1190" t="s">
        <v>2834</v>
      </c>
    </row>
    <row r="1191" spans="1:8" x14ac:dyDescent="0.25">
      <c r="A1191" t="s">
        <v>2494</v>
      </c>
      <c r="B1191" t="s">
        <v>113</v>
      </c>
      <c r="C1191" t="s">
        <v>2835</v>
      </c>
      <c r="D1191" t="s">
        <v>2836</v>
      </c>
      <c r="E1191" t="s">
        <v>467</v>
      </c>
      <c r="F1191" t="s">
        <v>51</v>
      </c>
      <c r="G1191" t="s">
        <v>14</v>
      </c>
      <c r="H1191" t="s">
        <v>2553</v>
      </c>
    </row>
    <row r="1192" spans="1:8" x14ac:dyDescent="0.25">
      <c r="A1192" t="s">
        <v>2494</v>
      </c>
      <c r="B1192" t="s">
        <v>26</v>
      </c>
      <c r="C1192" t="s">
        <v>2837</v>
      </c>
      <c r="D1192" t="s">
        <v>2838</v>
      </c>
      <c r="E1192" t="s">
        <v>635</v>
      </c>
      <c r="F1192" t="s">
        <v>51</v>
      </c>
      <c r="G1192" t="s">
        <v>14</v>
      </c>
      <c r="H1192" t="s">
        <v>2839</v>
      </c>
    </row>
    <row r="1193" spans="1:8" x14ac:dyDescent="0.25">
      <c r="A1193" t="s">
        <v>2494</v>
      </c>
      <c r="B1193" t="s">
        <v>77</v>
      </c>
      <c r="C1193" t="s">
        <v>2840</v>
      </c>
      <c r="D1193" t="s">
        <v>2841</v>
      </c>
      <c r="E1193" t="s">
        <v>467</v>
      </c>
      <c r="F1193" t="s">
        <v>51</v>
      </c>
      <c r="G1193" t="s">
        <v>14</v>
      </c>
      <c r="H1193" t="s">
        <v>2510</v>
      </c>
    </row>
    <row r="1194" spans="1:8" x14ac:dyDescent="0.25">
      <c r="A1194" t="s">
        <v>2494</v>
      </c>
      <c r="B1194" t="s">
        <v>26</v>
      </c>
      <c r="C1194" t="s">
        <v>2842</v>
      </c>
      <c r="D1194" t="s">
        <v>2843</v>
      </c>
      <c r="E1194" t="s">
        <v>40</v>
      </c>
      <c r="F1194" t="s">
        <v>80</v>
      </c>
      <c r="G1194" t="s">
        <v>14</v>
      </c>
      <c r="H1194" t="s">
        <v>2285</v>
      </c>
    </row>
    <row r="1195" spans="1:8" x14ac:dyDescent="0.25">
      <c r="A1195" t="s">
        <v>2494</v>
      </c>
      <c r="B1195" t="s">
        <v>9</v>
      </c>
      <c r="C1195" t="s">
        <v>2844</v>
      </c>
      <c r="D1195" t="s">
        <v>2845</v>
      </c>
      <c r="E1195" t="s">
        <v>1100</v>
      </c>
      <c r="F1195" t="s">
        <v>51</v>
      </c>
      <c r="G1195" t="s">
        <v>14</v>
      </c>
      <c r="H1195" t="s">
        <v>2846</v>
      </c>
    </row>
    <row r="1196" spans="1:8" x14ac:dyDescent="0.25">
      <c r="A1196" t="s">
        <v>2494</v>
      </c>
      <c r="B1196" t="s">
        <v>42</v>
      </c>
      <c r="C1196" t="s">
        <v>2847</v>
      </c>
      <c r="D1196" t="s">
        <v>2847</v>
      </c>
      <c r="E1196" t="s">
        <v>29</v>
      </c>
      <c r="F1196" t="s">
        <v>30</v>
      </c>
      <c r="G1196" t="s">
        <v>63</v>
      </c>
      <c r="H1196" t="s">
        <v>2848</v>
      </c>
    </row>
    <row r="1197" spans="1:8" x14ac:dyDescent="0.25">
      <c r="A1197" t="s">
        <v>2494</v>
      </c>
      <c r="B1197" t="s">
        <v>42</v>
      </c>
      <c r="C1197" t="s">
        <v>2849</v>
      </c>
      <c r="D1197" t="s">
        <v>2849</v>
      </c>
      <c r="E1197" t="s">
        <v>172</v>
      </c>
      <c r="F1197" t="s">
        <v>30</v>
      </c>
      <c r="G1197" t="s">
        <v>63</v>
      </c>
      <c r="H1197" t="s">
        <v>2850</v>
      </c>
    </row>
    <row r="1198" spans="1:8" x14ac:dyDescent="0.25">
      <c r="A1198" t="s">
        <v>2494</v>
      </c>
      <c r="B1198" t="s">
        <v>32</v>
      </c>
      <c r="C1198" t="s">
        <v>2851</v>
      </c>
      <c r="D1198" t="s">
        <v>2852</v>
      </c>
      <c r="E1198" t="s">
        <v>1100</v>
      </c>
      <c r="F1198" t="s">
        <v>51</v>
      </c>
      <c r="G1198" t="s">
        <v>14</v>
      </c>
      <c r="H1198" t="s">
        <v>1543</v>
      </c>
    </row>
    <row r="1199" spans="1:8" x14ac:dyDescent="0.25">
      <c r="A1199" t="s">
        <v>2494</v>
      </c>
      <c r="B1199" t="s">
        <v>91</v>
      </c>
      <c r="C1199" t="s">
        <v>2853</v>
      </c>
      <c r="D1199" t="s">
        <v>2854</v>
      </c>
      <c r="E1199" t="s">
        <v>2096</v>
      </c>
      <c r="F1199" t="s">
        <v>51</v>
      </c>
      <c r="G1199" t="s">
        <v>14</v>
      </c>
      <c r="H1199" t="s">
        <v>2855</v>
      </c>
    </row>
    <row r="1200" spans="1:8" x14ac:dyDescent="0.25">
      <c r="A1200" t="s">
        <v>2494</v>
      </c>
      <c r="B1200" t="s">
        <v>113</v>
      </c>
      <c r="C1200" t="s">
        <v>2856</v>
      </c>
      <c r="D1200" t="s">
        <v>2857</v>
      </c>
      <c r="E1200" t="s">
        <v>2577</v>
      </c>
      <c r="F1200" t="s">
        <v>51</v>
      </c>
      <c r="G1200" t="s">
        <v>14</v>
      </c>
      <c r="H1200" t="s">
        <v>2858</v>
      </c>
    </row>
    <row r="1201" spans="1:8" x14ac:dyDescent="0.25">
      <c r="A1201" t="s">
        <v>2494</v>
      </c>
      <c r="B1201" t="s">
        <v>113</v>
      </c>
      <c r="C1201" t="s">
        <v>2859</v>
      </c>
      <c r="D1201" t="s">
        <v>2860</v>
      </c>
      <c r="E1201" t="s">
        <v>1536</v>
      </c>
      <c r="F1201" t="s">
        <v>30</v>
      </c>
      <c r="G1201" t="s">
        <v>14</v>
      </c>
      <c r="H1201" t="s">
        <v>131</v>
      </c>
    </row>
    <row r="1202" spans="1:8" x14ac:dyDescent="0.25">
      <c r="A1202" t="s">
        <v>2494</v>
      </c>
      <c r="B1202" t="s">
        <v>37</v>
      </c>
      <c r="C1202" t="s">
        <v>2861</v>
      </c>
      <c r="D1202" t="s">
        <v>2862</v>
      </c>
      <c r="E1202" t="s">
        <v>45</v>
      </c>
      <c r="F1202" t="s">
        <v>19</v>
      </c>
      <c r="G1202" t="s">
        <v>14</v>
      </c>
      <c r="H1202" t="s">
        <v>128</v>
      </c>
    </row>
    <row r="1203" spans="1:8" x14ac:dyDescent="0.25">
      <c r="A1203" t="s">
        <v>2494</v>
      </c>
      <c r="B1203" t="s">
        <v>9</v>
      </c>
      <c r="C1203" t="s">
        <v>2863</v>
      </c>
      <c r="D1203" t="s">
        <v>2864</v>
      </c>
      <c r="E1203" t="s">
        <v>276</v>
      </c>
      <c r="F1203" t="s">
        <v>51</v>
      </c>
      <c r="G1203" t="s">
        <v>14</v>
      </c>
      <c r="H1203" t="s">
        <v>2865</v>
      </c>
    </row>
    <row r="1204" spans="1:8" x14ac:dyDescent="0.25">
      <c r="A1204" t="s">
        <v>2494</v>
      </c>
      <c r="B1204" t="s">
        <v>91</v>
      </c>
      <c r="C1204" t="s">
        <v>2866</v>
      </c>
      <c r="D1204" t="s">
        <v>2867</v>
      </c>
      <c r="E1204" t="s">
        <v>45</v>
      </c>
      <c r="F1204" t="s">
        <v>30</v>
      </c>
      <c r="G1204" t="s">
        <v>14</v>
      </c>
      <c r="H1204" t="s">
        <v>269</v>
      </c>
    </row>
    <row r="1205" spans="1:8" x14ac:dyDescent="0.25">
      <c r="A1205" t="s">
        <v>2494</v>
      </c>
      <c r="B1205" t="s">
        <v>16</v>
      </c>
      <c r="C1205" t="s">
        <v>2868</v>
      </c>
      <c r="D1205" t="s">
        <v>2869</v>
      </c>
      <c r="E1205" t="s">
        <v>12</v>
      </c>
      <c r="F1205" t="s">
        <v>19</v>
      </c>
      <c r="G1205" t="s">
        <v>14</v>
      </c>
      <c r="H1205" t="s">
        <v>570</v>
      </c>
    </row>
    <row r="1206" spans="1:8" x14ac:dyDescent="0.25">
      <c r="A1206" t="s">
        <v>2494</v>
      </c>
      <c r="B1206" t="s">
        <v>37</v>
      </c>
      <c r="C1206" t="s">
        <v>2870</v>
      </c>
      <c r="D1206" t="s">
        <v>2871</v>
      </c>
      <c r="E1206" t="s">
        <v>172</v>
      </c>
      <c r="F1206" t="s">
        <v>30</v>
      </c>
      <c r="G1206" t="s">
        <v>14</v>
      </c>
      <c r="H1206" t="s">
        <v>155</v>
      </c>
    </row>
    <row r="1207" spans="1:8" x14ac:dyDescent="0.25">
      <c r="A1207" t="s">
        <v>2494</v>
      </c>
      <c r="B1207" t="s">
        <v>91</v>
      </c>
      <c r="C1207" t="s">
        <v>2872</v>
      </c>
      <c r="D1207" t="s">
        <v>2873</v>
      </c>
      <c r="E1207" t="s">
        <v>29</v>
      </c>
      <c r="F1207" t="s">
        <v>19</v>
      </c>
      <c r="G1207" t="s">
        <v>14</v>
      </c>
      <c r="H1207" t="s">
        <v>217</v>
      </c>
    </row>
    <row r="1208" spans="1:8" x14ac:dyDescent="0.25">
      <c r="A1208" t="s">
        <v>2494</v>
      </c>
      <c r="B1208" t="s">
        <v>16</v>
      </c>
      <c r="C1208" t="s">
        <v>2874</v>
      </c>
      <c r="D1208" t="s">
        <v>2875</v>
      </c>
      <c r="E1208" t="s">
        <v>172</v>
      </c>
      <c r="F1208" t="s">
        <v>24</v>
      </c>
      <c r="G1208" t="s">
        <v>14</v>
      </c>
      <c r="H1208" t="s">
        <v>46</v>
      </c>
    </row>
    <row r="1209" spans="1:8" x14ac:dyDescent="0.25">
      <c r="A1209" t="s">
        <v>2494</v>
      </c>
      <c r="B1209" t="s">
        <v>91</v>
      </c>
      <c r="C1209" t="s">
        <v>2876</v>
      </c>
      <c r="D1209" t="s">
        <v>2877</v>
      </c>
      <c r="E1209" t="s">
        <v>1100</v>
      </c>
      <c r="F1209" t="s">
        <v>51</v>
      </c>
      <c r="G1209" t="s">
        <v>14</v>
      </c>
      <c r="H1209" t="s">
        <v>674</v>
      </c>
    </row>
    <row r="1210" spans="1:8" x14ac:dyDescent="0.25">
      <c r="A1210" t="s">
        <v>2494</v>
      </c>
      <c r="B1210" t="s">
        <v>9</v>
      </c>
      <c r="C1210" t="s">
        <v>2878</v>
      </c>
      <c r="D1210" t="s">
        <v>2879</v>
      </c>
      <c r="E1210" t="s">
        <v>29</v>
      </c>
      <c r="F1210" t="s">
        <v>24</v>
      </c>
      <c r="G1210" t="s">
        <v>14</v>
      </c>
      <c r="H1210" t="s">
        <v>342</v>
      </c>
    </row>
    <row r="1211" spans="1:8" x14ac:dyDescent="0.25">
      <c r="A1211" t="s">
        <v>2494</v>
      </c>
      <c r="B1211" t="s">
        <v>16</v>
      </c>
      <c r="C1211" t="s">
        <v>2880</v>
      </c>
      <c r="D1211" t="s">
        <v>2881</v>
      </c>
      <c r="E1211" t="s">
        <v>172</v>
      </c>
      <c r="F1211" t="s">
        <v>30</v>
      </c>
      <c r="G1211" t="s">
        <v>14</v>
      </c>
      <c r="H1211" t="s">
        <v>322</v>
      </c>
    </row>
    <row r="1212" spans="1:8" x14ac:dyDescent="0.25">
      <c r="A1212" t="s">
        <v>2494</v>
      </c>
      <c r="B1212" t="s">
        <v>91</v>
      </c>
      <c r="C1212" t="s">
        <v>2882</v>
      </c>
      <c r="D1212" t="s">
        <v>2883</v>
      </c>
      <c r="E1212" t="s">
        <v>172</v>
      </c>
      <c r="F1212" t="s">
        <v>30</v>
      </c>
      <c r="G1212" t="s">
        <v>14</v>
      </c>
      <c r="H1212" t="s">
        <v>72</v>
      </c>
    </row>
    <row r="1213" spans="1:8" x14ac:dyDescent="0.25">
      <c r="A1213" t="s">
        <v>2494</v>
      </c>
      <c r="B1213" t="s">
        <v>73</v>
      </c>
      <c r="C1213" t="s">
        <v>2884</v>
      </c>
      <c r="D1213" t="s">
        <v>2885</v>
      </c>
      <c r="E1213" t="s">
        <v>35</v>
      </c>
      <c r="F1213" t="s">
        <v>19</v>
      </c>
      <c r="G1213" t="s">
        <v>14</v>
      </c>
      <c r="H1213" t="s">
        <v>2886</v>
      </c>
    </row>
    <row r="1214" spans="1:8" x14ac:dyDescent="0.25">
      <c r="A1214" t="s">
        <v>2494</v>
      </c>
      <c r="B1214" t="s">
        <v>9</v>
      </c>
      <c r="C1214" t="s">
        <v>2887</v>
      </c>
      <c r="D1214" t="s">
        <v>2888</v>
      </c>
      <c r="E1214" t="s">
        <v>172</v>
      </c>
      <c r="F1214" t="s">
        <v>30</v>
      </c>
      <c r="G1214" t="s">
        <v>14</v>
      </c>
      <c r="H1214" t="s">
        <v>122</v>
      </c>
    </row>
    <row r="1215" spans="1:8" x14ac:dyDescent="0.25">
      <c r="A1215" t="s">
        <v>2494</v>
      </c>
      <c r="B1215" t="s">
        <v>91</v>
      </c>
      <c r="C1215" t="s">
        <v>2889</v>
      </c>
      <c r="D1215" t="s">
        <v>2890</v>
      </c>
      <c r="E1215" t="s">
        <v>1100</v>
      </c>
      <c r="F1215" t="s">
        <v>51</v>
      </c>
      <c r="G1215" t="s">
        <v>14</v>
      </c>
      <c r="H1215" t="s">
        <v>90</v>
      </c>
    </row>
    <row r="1216" spans="1:8" x14ac:dyDescent="0.25">
      <c r="A1216" t="s">
        <v>2494</v>
      </c>
      <c r="B1216" t="s">
        <v>42</v>
      </c>
      <c r="C1216" t="s">
        <v>2891</v>
      </c>
      <c r="D1216" t="s">
        <v>2892</v>
      </c>
      <c r="E1216" t="s">
        <v>35</v>
      </c>
      <c r="F1216" t="s">
        <v>19</v>
      </c>
      <c r="G1216" t="s">
        <v>14</v>
      </c>
      <c r="H1216" t="s">
        <v>2893</v>
      </c>
    </row>
    <row r="1217" spans="1:8" x14ac:dyDescent="0.25">
      <c r="A1217" t="s">
        <v>2494</v>
      </c>
      <c r="B1217" t="s">
        <v>73</v>
      </c>
      <c r="C1217" t="s">
        <v>2894</v>
      </c>
      <c r="D1217" t="s">
        <v>2895</v>
      </c>
      <c r="E1217" t="s">
        <v>35</v>
      </c>
      <c r="F1217" t="s">
        <v>19</v>
      </c>
      <c r="G1217" t="s">
        <v>14</v>
      </c>
      <c r="H1217" t="s">
        <v>2896</v>
      </c>
    </row>
    <row r="1218" spans="1:8" x14ac:dyDescent="0.25">
      <c r="A1218" t="s">
        <v>2494</v>
      </c>
      <c r="B1218" t="s">
        <v>42</v>
      </c>
      <c r="C1218" t="s">
        <v>2897</v>
      </c>
      <c r="D1218" t="s">
        <v>2898</v>
      </c>
      <c r="E1218" t="s">
        <v>23</v>
      </c>
      <c r="F1218" t="s">
        <v>19</v>
      </c>
      <c r="G1218" t="s">
        <v>14</v>
      </c>
      <c r="H1218" t="s">
        <v>2899</v>
      </c>
    </row>
    <row r="1219" spans="1:8" x14ac:dyDescent="0.25">
      <c r="A1219" t="s">
        <v>2494</v>
      </c>
      <c r="B1219" t="s">
        <v>113</v>
      </c>
      <c r="C1219" t="s">
        <v>2900</v>
      </c>
      <c r="D1219" t="s">
        <v>2901</v>
      </c>
      <c r="E1219" t="s">
        <v>623</v>
      </c>
      <c r="F1219" t="s">
        <v>24</v>
      </c>
      <c r="G1219" t="s">
        <v>14</v>
      </c>
      <c r="H1219" t="s">
        <v>506</v>
      </c>
    </row>
    <row r="1220" spans="1:8" x14ac:dyDescent="0.25">
      <c r="A1220" t="s">
        <v>2494</v>
      </c>
      <c r="B1220" t="s">
        <v>32</v>
      </c>
      <c r="C1220" t="s">
        <v>2902</v>
      </c>
      <c r="D1220" t="s">
        <v>2903</v>
      </c>
      <c r="E1220" t="s">
        <v>12</v>
      </c>
      <c r="F1220" t="s">
        <v>30</v>
      </c>
      <c r="G1220" t="s">
        <v>14</v>
      </c>
      <c r="H1220" t="s">
        <v>2904</v>
      </c>
    </row>
    <row r="1221" spans="1:8" x14ac:dyDescent="0.25">
      <c r="A1221" t="s">
        <v>2494</v>
      </c>
      <c r="B1221" t="s">
        <v>37</v>
      </c>
      <c r="C1221" t="s">
        <v>2905</v>
      </c>
      <c r="D1221" t="s">
        <v>2906</v>
      </c>
      <c r="E1221" t="s">
        <v>172</v>
      </c>
      <c r="F1221" t="s">
        <v>30</v>
      </c>
      <c r="G1221" t="s">
        <v>14</v>
      </c>
      <c r="H1221" t="s">
        <v>1533</v>
      </c>
    </row>
    <row r="1222" spans="1:8" x14ac:dyDescent="0.25">
      <c r="A1222" t="s">
        <v>2494</v>
      </c>
      <c r="B1222" t="s">
        <v>73</v>
      </c>
      <c r="C1222" t="s">
        <v>2907</v>
      </c>
      <c r="D1222" t="s">
        <v>2908</v>
      </c>
      <c r="E1222" t="s">
        <v>172</v>
      </c>
      <c r="F1222" t="s">
        <v>30</v>
      </c>
      <c r="G1222" t="s">
        <v>14</v>
      </c>
      <c r="H1222" t="s">
        <v>2395</v>
      </c>
    </row>
    <row r="1223" spans="1:8" x14ac:dyDescent="0.25">
      <c r="A1223" t="s">
        <v>2494</v>
      </c>
      <c r="B1223" t="s">
        <v>9</v>
      </c>
      <c r="C1223" t="s">
        <v>2909</v>
      </c>
      <c r="D1223" t="s">
        <v>2910</v>
      </c>
      <c r="E1223" t="s">
        <v>772</v>
      </c>
      <c r="F1223" t="s">
        <v>51</v>
      </c>
      <c r="G1223" t="s">
        <v>14</v>
      </c>
      <c r="H1223" t="s">
        <v>632</v>
      </c>
    </row>
    <row r="1224" spans="1:8" x14ac:dyDescent="0.25">
      <c r="A1224" t="s">
        <v>2494</v>
      </c>
      <c r="B1224" t="s">
        <v>32</v>
      </c>
      <c r="C1224" t="s">
        <v>2911</v>
      </c>
      <c r="D1224" t="s">
        <v>2911</v>
      </c>
      <c r="E1224" t="s">
        <v>29</v>
      </c>
      <c r="F1224" t="s">
        <v>13</v>
      </c>
      <c r="G1224" t="s">
        <v>63</v>
      </c>
      <c r="H1224" t="s">
        <v>928</v>
      </c>
    </row>
    <row r="1225" spans="1:8" x14ac:dyDescent="0.25">
      <c r="A1225" t="s">
        <v>2494</v>
      </c>
      <c r="B1225" t="s">
        <v>73</v>
      </c>
      <c r="C1225" t="s">
        <v>2912</v>
      </c>
      <c r="D1225" t="s">
        <v>2913</v>
      </c>
      <c r="E1225" t="s">
        <v>35</v>
      </c>
      <c r="F1225" t="s">
        <v>30</v>
      </c>
      <c r="G1225" t="s">
        <v>14</v>
      </c>
      <c r="H1225" t="s">
        <v>458</v>
      </c>
    </row>
    <row r="1226" spans="1:8" x14ac:dyDescent="0.25">
      <c r="A1226" t="s">
        <v>2494</v>
      </c>
      <c r="B1226" t="s">
        <v>16</v>
      </c>
      <c r="C1226" t="s">
        <v>2914</v>
      </c>
      <c r="D1226" t="s">
        <v>2915</v>
      </c>
      <c r="E1226" t="s">
        <v>29</v>
      </c>
      <c r="F1226" t="s">
        <v>30</v>
      </c>
      <c r="G1226" t="s">
        <v>14</v>
      </c>
      <c r="H1226" t="s">
        <v>1192</v>
      </c>
    </row>
    <row r="1227" spans="1:8" x14ac:dyDescent="0.25">
      <c r="A1227" t="s">
        <v>2494</v>
      </c>
      <c r="B1227" t="s">
        <v>37</v>
      </c>
      <c r="C1227" t="s">
        <v>2916</v>
      </c>
      <c r="D1227" t="s">
        <v>2917</v>
      </c>
      <c r="E1227" t="s">
        <v>116</v>
      </c>
      <c r="F1227" t="s">
        <v>30</v>
      </c>
      <c r="G1227" t="s">
        <v>14</v>
      </c>
      <c r="H1227" t="s">
        <v>443</v>
      </c>
    </row>
    <row r="1228" spans="1:8" x14ac:dyDescent="0.25">
      <c r="A1228" t="s">
        <v>2494</v>
      </c>
      <c r="B1228" t="s">
        <v>9</v>
      </c>
      <c r="C1228" t="s">
        <v>2918</v>
      </c>
      <c r="D1228" t="s">
        <v>2919</v>
      </c>
      <c r="E1228" t="s">
        <v>50</v>
      </c>
      <c r="F1228" t="s">
        <v>51</v>
      </c>
      <c r="G1228" t="s">
        <v>14</v>
      </c>
      <c r="H1228" t="s">
        <v>433</v>
      </c>
    </row>
    <row r="1229" spans="1:8" x14ac:dyDescent="0.25">
      <c r="A1229" t="s">
        <v>2494</v>
      </c>
      <c r="B1229" t="s">
        <v>16</v>
      </c>
      <c r="C1229" t="s">
        <v>2920</v>
      </c>
      <c r="D1229" t="s">
        <v>2921</v>
      </c>
      <c r="E1229" t="s">
        <v>23</v>
      </c>
      <c r="F1229" t="s">
        <v>19</v>
      </c>
      <c r="G1229" t="s">
        <v>14</v>
      </c>
      <c r="H1229" t="s">
        <v>296</v>
      </c>
    </row>
    <row r="1230" spans="1:8" x14ac:dyDescent="0.25">
      <c r="A1230" t="s">
        <v>2494</v>
      </c>
      <c r="B1230" t="s">
        <v>26</v>
      </c>
      <c r="C1230" t="s">
        <v>2922</v>
      </c>
      <c r="D1230" t="s">
        <v>2923</v>
      </c>
      <c r="E1230" t="s">
        <v>505</v>
      </c>
      <c r="F1230" t="s">
        <v>51</v>
      </c>
      <c r="G1230" t="s">
        <v>14</v>
      </c>
      <c r="H1230" t="s">
        <v>358</v>
      </c>
    </row>
    <row r="1231" spans="1:8" x14ac:dyDescent="0.25">
      <c r="A1231" t="s">
        <v>2494</v>
      </c>
      <c r="B1231" t="s">
        <v>100</v>
      </c>
      <c r="C1231" t="s">
        <v>2924</v>
      </c>
      <c r="D1231" t="s">
        <v>2925</v>
      </c>
      <c r="E1231" t="s">
        <v>116</v>
      </c>
      <c r="F1231" t="s">
        <v>24</v>
      </c>
      <c r="G1231" t="s">
        <v>14</v>
      </c>
      <c r="H1231" t="s">
        <v>421</v>
      </c>
    </row>
    <row r="1232" spans="1:8" x14ac:dyDescent="0.25">
      <c r="A1232" t="s">
        <v>2494</v>
      </c>
      <c r="B1232" t="s">
        <v>113</v>
      </c>
      <c r="C1232" t="s">
        <v>2926</v>
      </c>
      <c r="D1232" t="s">
        <v>2927</v>
      </c>
      <c r="E1232" t="s">
        <v>40</v>
      </c>
      <c r="F1232" t="s">
        <v>19</v>
      </c>
      <c r="G1232" t="s">
        <v>14</v>
      </c>
      <c r="H1232" t="s">
        <v>2928</v>
      </c>
    </row>
    <row r="1233" spans="1:8" x14ac:dyDescent="0.25">
      <c r="A1233" t="s">
        <v>2494</v>
      </c>
      <c r="B1233" t="s">
        <v>73</v>
      </c>
      <c r="C1233" t="s">
        <v>2929</v>
      </c>
      <c r="D1233" t="s">
        <v>2930</v>
      </c>
      <c r="E1233" t="s">
        <v>45</v>
      </c>
      <c r="F1233" t="s">
        <v>24</v>
      </c>
      <c r="G1233" t="s">
        <v>14</v>
      </c>
      <c r="H1233" t="s">
        <v>149</v>
      </c>
    </row>
    <row r="1234" spans="1:8" x14ac:dyDescent="0.25">
      <c r="A1234" t="s">
        <v>2494</v>
      </c>
      <c r="B1234" t="s">
        <v>32</v>
      </c>
      <c r="C1234" t="s">
        <v>2931</v>
      </c>
      <c r="D1234" t="s">
        <v>2932</v>
      </c>
      <c r="E1234" t="s">
        <v>45</v>
      </c>
      <c r="F1234" t="s">
        <v>24</v>
      </c>
      <c r="G1234" t="s">
        <v>14</v>
      </c>
      <c r="H1234" t="s">
        <v>1413</v>
      </c>
    </row>
    <row r="1235" spans="1:8" x14ac:dyDescent="0.25">
      <c r="A1235" t="s">
        <v>2494</v>
      </c>
      <c r="B1235" t="s">
        <v>26</v>
      </c>
      <c r="C1235" t="s">
        <v>2933</v>
      </c>
      <c r="D1235" t="s">
        <v>2934</v>
      </c>
      <c r="E1235" t="s">
        <v>116</v>
      </c>
      <c r="F1235" t="s">
        <v>24</v>
      </c>
      <c r="G1235" t="s">
        <v>14</v>
      </c>
      <c r="H1235" t="s">
        <v>509</v>
      </c>
    </row>
    <row r="1236" spans="1:8" x14ac:dyDescent="0.25">
      <c r="A1236" t="s">
        <v>2494</v>
      </c>
      <c r="B1236" t="s">
        <v>37</v>
      </c>
      <c r="C1236" t="s">
        <v>2935</v>
      </c>
      <c r="D1236" t="s">
        <v>2936</v>
      </c>
      <c r="E1236" t="s">
        <v>116</v>
      </c>
      <c r="F1236" t="s">
        <v>24</v>
      </c>
      <c r="G1236" t="s">
        <v>14</v>
      </c>
      <c r="H1236" t="s">
        <v>72</v>
      </c>
    </row>
    <row r="1237" spans="1:8" x14ac:dyDescent="0.25">
      <c r="A1237" t="s">
        <v>2494</v>
      </c>
      <c r="B1237" t="s">
        <v>37</v>
      </c>
      <c r="C1237" t="s">
        <v>2937</v>
      </c>
      <c r="D1237" t="s">
        <v>2938</v>
      </c>
      <c r="E1237" t="s">
        <v>29</v>
      </c>
      <c r="F1237" t="s">
        <v>24</v>
      </c>
      <c r="G1237" t="s">
        <v>14</v>
      </c>
      <c r="H1237" t="s">
        <v>999</v>
      </c>
    </row>
    <row r="1238" spans="1:8" x14ac:dyDescent="0.25">
      <c r="A1238" t="s">
        <v>2494</v>
      </c>
      <c r="B1238" t="s">
        <v>37</v>
      </c>
      <c r="C1238" t="s">
        <v>2939</v>
      </c>
      <c r="D1238" t="s">
        <v>2940</v>
      </c>
      <c r="E1238" t="s">
        <v>50</v>
      </c>
      <c r="F1238" t="s">
        <v>19</v>
      </c>
      <c r="G1238" t="s">
        <v>14</v>
      </c>
      <c r="H1238" t="s">
        <v>509</v>
      </c>
    </row>
    <row r="1239" spans="1:8" x14ac:dyDescent="0.25">
      <c r="A1239" t="s">
        <v>2494</v>
      </c>
      <c r="B1239" t="s">
        <v>42</v>
      </c>
      <c r="C1239" t="s">
        <v>2941</v>
      </c>
      <c r="D1239" t="s">
        <v>2942</v>
      </c>
      <c r="E1239" t="s">
        <v>172</v>
      </c>
      <c r="F1239" t="s">
        <v>24</v>
      </c>
      <c r="G1239" t="s">
        <v>14</v>
      </c>
      <c r="H1239" t="s">
        <v>72</v>
      </c>
    </row>
    <row r="1240" spans="1:8" x14ac:dyDescent="0.25">
      <c r="A1240" t="s">
        <v>2494</v>
      </c>
      <c r="B1240" t="s">
        <v>77</v>
      </c>
      <c r="C1240" t="s">
        <v>2943</v>
      </c>
      <c r="D1240" t="s">
        <v>2943</v>
      </c>
      <c r="E1240" t="s">
        <v>29</v>
      </c>
      <c r="F1240" t="s">
        <v>13</v>
      </c>
      <c r="G1240" t="s">
        <v>63</v>
      </c>
      <c r="H1240" t="s">
        <v>1472</v>
      </c>
    </row>
    <row r="1241" spans="1:8" x14ac:dyDescent="0.25">
      <c r="A1241" t="s">
        <v>2494</v>
      </c>
      <c r="B1241" t="s">
        <v>91</v>
      </c>
      <c r="C1241" t="s">
        <v>2944</v>
      </c>
      <c r="D1241" t="s">
        <v>2944</v>
      </c>
      <c r="E1241" t="s">
        <v>29</v>
      </c>
      <c r="F1241" t="s">
        <v>13</v>
      </c>
      <c r="G1241" t="s">
        <v>63</v>
      </c>
      <c r="H1241" t="s">
        <v>2945</v>
      </c>
    </row>
    <row r="1242" spans="1:8" x14ac:dyDescent="0.25">
      <c r="A1242" t="s">
        <v>2494</v>
      </c>
      <c r="B1242" t="s">
        <v>9</v>
      </c>
      <c r="C1242" t="s">
        <v>2946</v>
      </c>
      <c r="D1242" t="s">
        <v>2946</v>
      </c>
      <c r="E1242" t="s">
        <v>29</v>
      </c>
      <c r="F1242" t="s">
        <v>13</v>
      </c>
      <c r="G1242" t="s">
        <v>63</v>
      </c>
      <c r="H1242" t="s">
        <v>2947</v>
      </c>
    </row>
    <row r="1243" spans="1:8" x14ac:dyDescent="0.25">
      <c r="A1243" t="s">
        <v>2494</v>
      </c>
      <c r="B1243" t="s">
        <v>91</v>
      </c>
      <c r="C1243" t="s">
        <v>2948</v>
      </c>
      <c r="D1243" t="s">
        <v>2948</v>
      </c>
      <c r="E1243" t="s">
        <v>29</v>
      </c>
      <c r="F1243" t="s">
        <v>13</v>
      </c>
      <c r="G1243" t="s">
        <v>63</v>
      </c>
      <c r="H1243" t="s">
        <v>570</v>
      </c>
    </row>
    <row r="1244" spans="1:8" x14ac:dyDescent="0.25">
      <c r="A1244" t="s">
        <v>2494</v>
      </c>
      <c r="B1244" t="s">
        <v>123</v>
      </c>
      <c r="C1244" t="s">
        <v>2949</v>
      </c>
      <c r="D1244" t="s">
        <v>2950</v>
      </c>
      <c r="E1244" t="s">
        <v>67</v>
      </c>
      <c r="F1244" t="s">
        <v>30</v>
      </c>
      <c r="G1244" t="s">
        <v>67</v>
      </c>
      <c r="H1244" t="s">
        <v>2951</v>
      </c>
    </row>
    <row r="1245" spans="1:8" x14ac:dyDescent="0.25">
      <c r="A1245" t="s">
        <v>2494</v>
      </c>
      <c r="B1245" t="s">
        <v>77</v>
      </c>
      <c r="C1245" t="s">
        <v>2952</v>
      </c>
      <c r="D1245" t="s">
        <v>2952</v>
      </c>
      <c r="E1245" t="s">
        <v>29</v>
      </c>
      <c r="F1245" t="s">
        <v>30</v>
      </c>
      <c r="G1245" t="s">
        <v>63</v>
      </c>
      <c r="H1245" t="s">
        <v>516</v>
      </c>
    </row>
    <row r="1246" spans="1:8" x14ac:dyDescent="0.25">
      <c r="A1246" t="s">
        <v>2494</v>
      </c>
      <c r="B1246" t="s">
        <v>16</v>
      </c>
      <c r="C1246" t="s">
        <v>2953</v>
      </c>
      <c r="D1246" t="s">
        <v>2953</v>
      </c>
      <c r="E1246" t="s">
        <v>29</v>
      </c>
      <c r="F1246" t="s">
        <v>13</v>
      </c>
      <c r="G1246" t="s">
        <v>63</v>
      </c>
      <c r="H1246" t="s">
        <v>2954</v>
      </c>
    </row>
    <row r="1247" spans="1:8" x14ac:dyDescent="0.25">
      <c r="A1247" t="s">
        <v>2494</v>
      </c>
      <c r="B1247" t="s">
        <v>26</v>
      </c>
      <c r="C1247" t="s">
        <v>2955</v>
      </c>
      <c r="D1247" t="s">
        <v>2956</v>
      </c>
      <c r="E1247" t="s">
        <v>67</v>
      </c>
      <c r="F1247" t="s">
        <v>30</v>
      </c>
      <c r="G1247" t="s">
        <v>67</v>
      </c>
      <c r="H1247" t="s">
        <v>2957</v>
      </c>
    </row>
    <row r="1248" spans="1:8" x14ac:dyDescent="0.25">
      <c r="A1248" t="s">
        <v>2494</v>
      </c>
      <c r="B1248" t="s">
        <v>26</v>
      </c>
      <c r="C1248" t="s">
        <v>2958</v>
      </c>
      <c r="D1248" t="s">
        <v>2959</v>
      </c>
      <c r="E1248" t="s">
        <v>67</v>
      </c>
      <c r="F1248" t="s">
        <v>30</v>
      </c>
      <c r="G1248" t="s">
        <v>67</v>
      </c>
      <c r="H1248" t="s">
        <v>1039</v>
      </c>
    </row>
    <row r="1249" spans="1:8" x14ac:dyDescent="0.25">
      <c r="A1249" t="s">
        <v>2494</v>
      </c>
      <c r="B1249" t="s">
        <v>100</v>
      </c>
      <c r="C1249" t="s">
        <v>2960</v>
      </c>
      <c r="D1249" t="s">
        <v>2961</v>
      </c>
      <c r="E1249" t="s">
        <v>172</v>
      </c>
      <c r="F1249" t="s">
        <v>24</v>
      </c>
      <c r="G1249" t="s">
        <v>56</v>
      </c>
      <c r="H1249" t="s">
        <v>799</v>
      </c>
    </row>
    <row r="1250" spans="1:8" x14ac:dyDescent="0.25">
      <c r="A1250" t="s">
        <v>2494</v>
      </c>
      <c r="B1250" t="s">
        <v>100</v>
      </c>
      <c r="C1250" t="s">
        <v>2962</v>
      </c>
      <c r="D1250" t="s">
        <v>2963</v>
      </c>
      <c r="E1250" t="s">
        <v>40</v>
      </c>
      <c r="F1250" t="s">
        <v>191</v>
      </c>
      <c r="G1250" t="s">
        <v>56</v>
      </c>
      <c r="H1250" t="s">
        <v>1867</v>
      </c>
    </row>
    <row r="1251" spans="1:8" x14ac:dyDescent="0.25">
      <c r="A1251" t="s">
        <v>2494</v>
      </c>
      <c r="B1251" t="s">
        <v>100</v>
      </c>
      <c r="C1251" t="s">
        <v>2964</v>
      </c>
      <c r="D1251" t="s">
        <v>2965</v>
      </c>
      <c r="E1251" t="s">
        <v>172</v>
      </c>
      <c r="F1251" t="s">
        <v>24</v>
      </c>
      <c r="G1251" t="s">
        <v>56</v>
      </c>
      <c r="H1251" t="s">
        <v>2966</v>
      </c>
    </row>
    <row r="1252" spans="1:8" x14ac:dyDescent="0.25">
      <c r="A1252" t="s">
        <v>2494</v>
      </c>
      <c r="B1252" t="s">
        <v>100</v>
      </c>
      <c r="C1252" t="s">
        <v>2967</v>
      </c>
      <c r="D1252" t="s">
        <v>2967</v>
      </c>
      <c r="E1252" t="s">
        <v>40</v>
      </c>
      <c r="F1252" t="s">
        <v>191</v>
      </c>
      <c r="G1252" t="s">
        <v>63</v>
      </c>
      <c r="H1252" t="s">
        <v>2968</v>
      </c>
    </row>
    <row r="1253" spans="1:8" x14ac:dyDescent="0.25">
      <c r="A1253" t="s">
        <v>2494</v>
      </c>
      <c r="B1253" t="s">
        <v>9</v>
      </c>
      <c r="C1253" t="s">
        <v>2969</v>
      </c>
      <c r="D1253" t="s">
        <v>2970</v>
      </c>
      <c r="E1253" t="s">
        <v>67</v>
      </c>
      <c r="F1253" t="s">
        <v>30</v>
      </c>
      <c r="G1253" t="s">
        <v>67</v>
      </c>
      <c r="H1253" t="s">
        <v>2971</v>
      </c>
    </row>
    <row r="1254" spans="1:8" x14ac:dyDescent="0.25">
      <c r="A1254" t="s">
        <v>2494</v>
      </c>
      <c r="B1254" t="s">
        <v>37</v>
      </c>
      <c r="C1254" t="s">
        <v>2972</v>
      </c>
      <c r="D1254" t="s">
        <v>2973</v>
      </c>
      <c r="E1254" t="s">
        <v>12</v>
      </c>
      <c r="F1254" t="s">
        <v>13</v>
      </c>
      <c r="G1254" t="s">
        <v>56</v>
      </c>
      <c r="H1254" t="s">
        <v>739</v>
      </c>
    </row>
    <row r="1255" spans="1:8" x14ac:dyDescent="0.25">
      <c r="A1255" t="s">
        <v>2494</v>
      </c>
      <c r="B1255" t="s">
        <v>53</v>
      </c>
      <c r="C1255" t="s">
        <v>2974</v>
      </c>
      <c r="D1255" t="s">
        <v>2975</v>
      </c>
      <c r="E1255" t="s">
        <v>29</v>
      </c>
      <c r="F1255" t="s">
        <v>13</v>
      </c>
      <c r="G1255" t="s">
        <v>56</v>
      </c>
      <c r="H1255" t="s">
        <v>1242</v>
      </c>
    </row>
    <row r="1256" spans="1:8" x14ac:dyDescent="0.25">
      <c r="A1256" t="s">
        <v>2494</v>
      </c>
      <c r="B1256" t="s">
        <v>53</v>
      </c>
      <c r="C1256" t="s">
        <v>2976</v>
      </c>
      <c r="D1256" t="s">
        <v>2977</v>
      </c>
      <c r="E1256" t="s">
        <v>29</v>
      </c>
      <c r="F1256" t="s">
        <v>30</v>
      </c>
      <c r="G1256" t="s">
        <v>56</v>
      </c>
      <c r="H1256" t="s">
        <v>2957</v>
      </c>
    </row>
    <row r="1257" spans="1:8" x14ac:dyDescent="0.25">
      <c r="A1257" t="s">
        <v>2494</v>
      </c>
      <c r="B1257" t="s">
        <v>113</v>
      </c>
      <c r="C1257" t="s">
        <v>2978</v>
      </c>
      <c r="D1257" t="s">
        <v>2979</v>
      </c>
      <c r="E1257" t="s">
        <v>172</v>
      </c>
      <c r="F1257" t="s">
        <v>30</v>
      </c>
      <c r="G1257" t="s">
        <v>56</v>
      </c>
      <c r="H1257" t="s">
        <v>2980</v>
      </c>
    </row>
    <row r="1258" spans="1:8" x14ac:dyDescent="0.25">
      <c r="A1258" t="s">
        <v>2494</v>
      </c>
      <c r="B1258" t="s">
        <v>113</v>
      </c>
      <c r="C1258" t="s">
        <v>2981</v>
      </c>
      <c r="D1258" t="s">
        <v>2982</v>
      </c>
      <c r="E1258" t="s">
        <v>51</v>
      </c>
      <c r="F1258" t="s">
        <v>51</v>
      </c>
      <c r="G1258" t="s">
        <v>56</v>
      </c>
      <c r="H1258" t="s">
        <v>914</v>
      </c>
    </row>
    <row r="1259" spans="1:8" x14ac:dyDescent="0.25">
      <c r="A1259" t="s">
        <v>2494</v>
      </c>
      <c r="B1259" t="s">
        <v>113</v>
      </c>
      <c r="C1259" t="s">
        <v>2983</v>
      </c>
      <c r="D1259" t="s">
        <v>2984</v>
      </c>
      <c r="E1259" t="s">
        <v>555</v>
      </c>
      <c r="F1259" t="s">
        <v>556</v>
      </c>
      <c r="G1259" t="s">
        <v>56</v>
      </c>
      <c r="H1259" t="s">
        <v>25</v>
      </c>
    </row>
    <row r="1260" spans="1:8" x14ac:dyDescent="0.25">
      <c r="A1260" t="s">
        <v>2494</v>
      </c>
      <c r="B1260" t="s">
        <v>37</v>
      </c>
      <c r="C1260" t="s">
        <v>2985</v>
      </c>
      <c r="D1260" t="s">
        <v>2986</v>
      </c>
      <c r="E1260" t="s">
        <v>67</v>
      </c>
      <c r="F1260" t="s">
        <v>30</v>
      </c>
      <c r="G1260" t="s">
        <v>67</v>
      </c>
      <c r="H1260" t="s">
        <v>237</v>
      </c>
    </row>
    <row r="1261" spans="1:8" x14ac:dyDescent="0.25">
      <c r="A1261" t="s">
        <v>2494</v>
      </c>
      <c r="B1261" t="s">
        <v>100</v>
      </c>
      <c r="C1261" t="s">
        <v>2987</v>
      </c>
      <c r="D1261" t="s">
        <v>2988</v>
      </c>
      <c r="E1261" t="s">
        <v>2989</v>
      </c>
      <c r="F1261" t="s">
        <v>556</v>
      </c>
      <c r="G1261" t="s">
        <v>56</v>
      </c>
      <c r="H1261" t="s">
        <v>25</v>
      </c>
    </row>
    <row r="1262" spans="1:8" x14ac:dyDescent="0.25">
      <c r="A1262" t="s">
        <v>2494</v>
      </c>
      <c r="B1262" t="s">
        <v>113</v>
      </c>
      <c r="C1262" t="s">
        <v>2990</v>
      </c>
      <c r="D1262" t="s">
        <v>2991</v>
      </c>
      <c r="E1262" t="s">
        <v>51</v>
      </c>
      <c r="F1262" t="s">
        <v>51</v>
      </c>
      <c r="G1262" t="s">
        <v>56</v>
      </c>
      <c r="H1262" t="s">
        <v>685</v>
      </c>
    </row>
    <row r="1263" spans="1:8" x14ac:dyDescent="0.25">
      <c r="A1263" t="s">
        <v>2494</v>
      </c>
      <c r="B1263" t="s">
        <v>123</v>
      </c>
      <c r="C1263" t="s">
        <v>2992</v>
      </c>
      <c r="D1263" t="s">
        <v>2993</v>
      </c>
      <c r="E1263" t="s">
        <v>2994</v>
      </c>
      <c r="F1263" t="s">
        <v>191</v>
      </c>
      <c r="G1263" t="s">
        <v>56</v>
      </c>
      <c r="H1263" t="s">
        <v>2995</v>
      </c>
    </row>
    <row r="1264" spans="1:8" x14ac:dyDescent="0.25">
      <c r="A1264" t="s">
        <v>2494</v>
      </c>
      <c r="B1264" t="s">
        <v>73</v>
      </c>
      <c r="C1264" t="s">
        <v>2996</v>
      </c>
      <c r="D1264" t="s">
        <v>2997</v>
      </c>
      <c r="E1264" t="s">
        <v>2994</v>
      </c>
      <c r="F1264" t="s">
        <v>191</v>
      </c>
      <c r="G1264" t="s">
        <v>56</v>
      </c>
      <c r="H1264" t="s">
        <v>2998</v>
      </c>
    </row>
    <row r="1265" spans="1:8" x14ac:dyDescent="0.25">
      <c r="A1265" t="s">
        <v>2494</v>
      </c>
      <c r="B1265" t="s">
        <v>123</v>
      </c>
      <c r="C1265" t="s">
        <v>2999</v>
      </c>
      <c r="D1265" t="s">
        <v>3000</v>
      </c>
      <c r="E1265" t="s">
        <v>2994</v>
      </c>
      <c r="F1265" t="s">
        <v>191</v>
      </c>
      <c r="G1265" t="s">
        <v>56</v>
      </c>
      <c r="H1265" t="s">
        <v>860</v>
      </c>
    </row>
    <row r="1266" spans="1:8" x14ac:dyDescent="0.25">
      <c r="A1266" t="s">
        <v>2494</v>
      </c>
      <c r="B1266" t="s">
        <v>100</v>
      </c>
      <c r="C1266" t="s">
        <v>3001</v>
      </c>
      <c r="D1266" t="s">
        <v>3002</v>
      </c>
      <c r="E1266" t="s">
        <v>1409</v>
      </c>
      <c r="F1266" t="s">
        <v>191</v>
      </c>
      <c r="G1266" t="s">
        <v>56</v>
      </c>
      <c r="H1266" t="s">
        <v>1525</v>
      </c>
    </row>
    <row r="1267" spans="1:8" x14ac:dyDescent="0.25">
      <c r="A1267" t="s">
        <v>2494</v>
      </c>
      <c r="B1267" t="s">
        <v>113</v>
      </c>
      <c r="C1267" t="s">
        <v>3003</v>
      </c>
      <c r="D1267" t="s">
        <v>3004</v>
      </c>
      <c r="E1267" t="s">
        <v>555</v>
      </c>
      <c r="F1267" t="s">
        <v>556</v>
      </c>
      <c r="G1267" t="s">
        <v>56</v>
      </c>
      <c r="H1267" t="s">
        <v>25</v>
      </c>
    </row>
    <row r="1268" spans="1:8" x14ac:dyDescent="0.25">
      <c r="A1268" t="s">
        <v>2494</v>
      </c>
      <c r="B1268" t="s">
        <v>73</v>
      </c>
      <c r="C1268" t="s">
        <v>3005</v>
      </c>
      <c r="D1268" t="s">
        <v>3005</v>
      </c>
      <c r="E1268" t="s">
        <v>50</v>
      </c>
      <c r="F1268" t="s">
        <v>30</v>
      </c>
      <c r="G1268" t="s">
        <v>63</v>
      </c>
      <c r="H1268" t="s">
        <v>1168</v>
      </c>
    </row>
    <row r="1269" spans="1:8" x14ac:dyDescent="0.25">
      <c r="A1269" t="s">
        <v>2494</v>
      </c>
      <c r="B1269" t="s">
        <v>37</v>
      </c>
      <c r="C1269" t="s">
        <v>3006</v>
      </c>
      <c r="D1269" t="s">
        <v>3006</v>
      </c>
      <c r="E1269" t="s">
        <v>23</v>
      </c>
      <c r="F1269" t="s">
        <v>24</v>
      </c>
      <c r="G1269" t="s">
        <v>63</v>
      </c>
      <c r="H1269" t="s">
        <v>2026</v>
      </c>
    </row>
    <row r="1270" spans="1:8" x14ac:dyDescent="0.25">
      <c r="A1270" t="s">
        <v>2494</v>
      </c>
      <c r="B1270" t="s">
        <v>16</v>
      </c>
      <c r="C1270" t="s">
        <v>3007</v>
      </c>
      <c r="D1270" t="s">
        <v>3007</v>
      </c>
      <c r="E1270" t="s">
        <v>23</v>
      </c>
      <c r="F1270" t="s">
        <v>24</v>
      </c>
      <c r="G1270" t="s">
        <v>63</v>
      </c>
      <c r="H1270" t="s">
        <v>2026</v>
      </c>
    </row>
    <row r="1271" spans="1:8" x14ac:dyDescent="0.25">
      <c r="A1271" t="s">
        <v>2494</v>
      </c>
      <c r="B1271" t="s">
        <v>42</v>
      </c>
      <c r="C1271" t="s">
        <v>3008</v>
      </c>
      <c r="D1271" t="s">
        <v>3008</v>
      </c>
      <c r="E1271" t="s">
        <v>40</v>
      </c>
      <c r="F1271" t="s">
        <v>191</v>
      </c>
      <c r="G1271" t="s">
        <v>63</v>
      </c>
      <c r="H1271" t="s">
        <v>3009</v>
      </c>
    </row>
    <row r="1272" spans="1:8" x14ac:dyDescent="0.25">
      <c r="A1272" t="s">
        <v>2494</v>
      </c>
      <c r="B1272" t="s">
        <v>26</v>
      </c>
      <c r="C1272" t="s">
        <v>3010</v>
      </c>
      <c r="D1272" t="s">
        <v>3010</v>
      </c>
      <c r="E1272" t="s">
        <v>40</v>
      </c>
      <c r="F1272" t="s">
        <v>191</v>
      </c>
      <c r="G1272" t="s">
        <v>63</v>
      </c>
      <c r="H1272" t="s">
        <v>3011</v>
      </c>
    </row>
    <row r="1273" spans="1:8" x14ac:dyDescent="0.25">
      <c r="A1273" t="s">
        <v>2494</v>
      </c>
      <c r="B1273" t="s">
        <v>37</v>
      </c>
      <c r="C1273" t="s">
        <v>3012</v>
      </c>
      <c r="D1273" t="s">
        <v>3013</v>
      </c>
      <c r="E1273" t="s">
        <v>67</v>
      </c>
      <c r="F1273" t="s">
        <v>19</v>
      </c>
      <c r="G1273" t="s">
        <v>67</v>
      </c>
      <c r="H1273" t="s">
        <v>1187</v>
      </c>
    </row>
    <row r="1274" spans="1:8" x14ac:dyDescent="0.25">
      <c r="A1274" t="s">
        <v>2494</v>
      </c>
      <c r="B1274" t="s">
        <v>100</v>
      </c>
      <c r="C1274" t="s">
        <v>3014</v>
      </c>
      <c r="D1274" t="s">
        <v>3015</v>
      </c>
      <c r="E1274" t="s">
        <v>29</v>
      </c>
      <c r="F1274" t="s">
        <v>97</v>
      </c>
      <c r="G1274" t="s">
        <v>98</v>
      </c>
      <c r="H1274" t="s">
        <v>3016</v>
      </c>
    </row>
    <row r="1275" spans="1:8" x14ac:dyDescent="0.25">
      <c r="A1275" t="s">
        <v>2494</v>
      </c>
      <c r="B1275" t="s">
        <v>113</v>
      </c>
      <c r="C1275" t="s">
        <v>3017</v>
      </c>
      <c r="D1275" t="s">
        <v>3018</v>
      </c>
      <c r="E1275" t="s">
        <v>45</v>
      </c>
      <c r="F1275" t="s">
        <v>24</v>
      </c>
      <c r="G1275" t="s">
        <v>56</v>
      </c>
      <c r="H1275" t="s">
        <v>674</v>
      </c>
    </row>
    <row r="1276" spans="1:8" x14ac:dyDescent="0.25">
      <c r="A1276" t="s">
        <v>2494</v>
      </c>
      <c r="B1276" t="s">
        <v>73</v>
      </c>
      <c r="C1276" t="s">
        <v>3019</v>
      </c>
      <c r="D1276" t="s">
        <v>3020</v>
      </c>
      <c r="E1276" t="s">
        <v>29</v>
      </c>
      <c r="F1276" t="s">
        <v>13</v>
      </c>
      <c r="G1276" t="s">
        <v>56</v>
      </c>
      <c r="H1276" t="s">
        <v>2336</v>
      </c>
    </row>
    <row r="1277" spans="1:8" x14ac:dyDescent="0.25">
      <c r="A1277" t="s">
        <v>2494</v>
      </c>
      <c r="B1277" t="s">
        <v>53</v>
      </c>
      <c r="C1277" t="s">
        <v>3021</v>
      </c>
      <c r="D1277" t="s">
        <v>3022</v>
      </c>
      <c r="E1277" t="s">
        <v>45</v>
      </c>
      <c r="F1277" t="s">
        <v>30</v>
      </c>
      <c r="G1277" t="s">
        <v>56</v>
      </c>
      <c r="H1277" t="s">
        <v>1039</v>
      </c>
    </row>
    <row r="1278" spans="1:8" x14ac:dyDescent="0.25">
      <c r="A1278" t="s">
        <v>2494</v>
      </c>
      <c r="B1278" t="s">
        <v>100</v>
      </c>
      <c r="C1278" t="s">
        <v>3023</v>
      </c>
      <c r="D1278" t="s">
        <v>3024</v>
      </c>
      <c r="E1278" t="s">
        <v>45</v>
      </c>
      <c r="F1278" t="s">
        <v>30</v>
      </c>
      <c r="G1278" t="s">
        <v>56</v>
      </c>
      <c r="H1278" t="s">
        <v>710</v>
      </c>
    </row>
    <row r="1279" spans="1:8" x14ac:dyDescent="0.25">
      <c r="A1279" t="s">
        <v>2494</v>
      </c>
      <c r="B1279" t="s">
        <v>113</v>
      </c>
      <c r="C1279" t="s">
        <v>3025</v>
      </c>
      <c r="D1279" t="s">
        <v>3026</v>
      </c>
      <c r="E1279" t="s">
        <v>45</v>
      </c>
      <c r="F1279" t="s">
        <v>24</v>
      </c>
      <c r="G1279" t="s">
        <v>56</v>
      </c>
      <c r="H1279" t="s">
        <v>674</v>
      </c>
    </row>
    <row r="1280" spans="1:8" x14ac:dyDescent="0.25">
      <c r="A1280" t="s">
        <v>2494</v>
      </c>
      <c r="B1280" t="s">
        <v>113</v>
      </c>
      <c r="C1280" t="s">
        <v>3027</v>
      </c>
      <c r="D1280" t="s">
        <v>3028</v>
      </c>
      <c r="E1280" t="s">
        <v>51</v>
      </c>
      <c r="F1280" t="s">
        <v>51</v>
      </c>
      <c r="G1280" t="s">
        <v>56</v>
      </c>
      <c r="H1280" t="s">
        <v>685</v>
      </c>
    </row>
    <row r="1281" spans="1:8" x14ac:dyDescent="0.25">
      <c r="A1281" t="s">
        <v>2494</v>
      </c>
      <c r="B1281" t="s">
        <v>123</v>
      </c>
      <c r="C1281" t="s">
        <v>3029</v>
      </c>
      <c r="D1281" t="s">
        <v>3030</v>
      </c>
      <c r="E1281" t="s">
        <v>2528</v>
      </c>
      <c r="F1281" t="s">
        <v>191</v>
      </c>
      <c r="G1281" t="s">
        <v>56</v>
      </c>
      <c r="H1281" t="s">
        <v>872</v>
      </c>
    </row>
    <row r="1282" spans="1:8" x14ac:dyDescent="0.25">
      <c r="A1282" t="s">
        <v>2494</v>
      </c>
      <c r="B1282" t="s">
        <v>123</v>
      </c>
      <c r="C1282" t="s">
        <v>3031</v>
      </c>
      <c r="D1282" t="s">
        <v>3032</v>
      </c>
      <c r="E1282" t="s">
        <v>40</v>
      </c>
      <c r="F1282" t="s">
        <v>191</v>
      </c>
      <c r="G1282" t="s">
        <v>56</v>
      </c>
      <c r="H1282" t="s">
        <v>959</v>
      </c>
    </row>
    <row r="1283" spans="1:8" x14ac:dyDescent="0.25">
      <c r="A1283" t="s">
        <v>2494</v>
      </c>
      <c r="B1283" t="s">
        <v>16</v>
      </c>
      <c r="C1283" t="s">
        <v>3033</v>
      </c>
      <c r="D1283" t="s">
        <v>3034</v>
      </c>
      <c r="E1283" t="s">
        <v>67</v>
      </c>
      <c r="F1283" t="s">
        <v>19</v>
      </c>
      <c r="G1283" t="s">
        <v>67</v>
      </c>
      <c r="H1283" t="s">
        <v>922</v>
      </c>
    </row>
    <row r="1284" spans="1:8" x14ac:dyDescent="0.25">
      <c r="A1284" t="s">
        <v>2494</v>
      </c>
      <c r="B1284" t="s">
        <v>42</v>
      </c>
      <c r="C1284" t="s">
        <v>3035</v>
      </c>
      <c r="D1284" t="s">
        <v>3036</v>
      </c>
      <c r="E1284" t="s">
        <v>29</v>
      </c>
      <c r="F1284" t="s">
        <v>97</v>
      </c>
      <c r="G1284" t="s">
        <v>98</v>
      </c>
      <c r="H1284" t="s">
        <v>3037</v>
      </c>
    </row>
    <row r="1285" spans="1:8" x14ac:dyDescent="0.25">
      <c r="A1285" t="s">
        <v>2494</v>
      </c>
      <c r="B1285" t="s">
        <v>73</v>
      </c>
      <c r="C1285" t="s">
        <v>3038</v>
      </c>
      <c r="D1285" t="s">
        <v>3039</v>
      </c>
      <c r="E1285" t="s">
        <v>45</v>
      </c>
      <c r="F1285" t="s">
        <v>24</v>
      </c>
      <c r="G1285" t="s">
        <v>56</v>
      </c>
      <c r="H1285" t="s">
        <v>237</v>
      </c>
    </row>
    <row r="1286" spans="1:8" x14ac:dyDescent="0.25">
      <c r="A1286" t="s">
        <v>2494</v>
      </c>
      <c r="B1286" t="s">
        <v>73</v>
      </c>
      <c r="C1286" t="s">
        <v>3040</v>
      </c>
      <c r="D1286" t="s">
        <v>3041</v>
      </c>
      <c r="E1286" t="s">
        <v>29</v>
      </c>
      <c r="F1286" t="s">
        <v>13</v>
      </c>
      <c r="G1286" t="s">
        <v>56</v>
      </c>
      <c r="H1286" t="s">
        <v>2336</v>
      </c>
    </row>
    <row r="1287" spans="1:8" x14ac:dyDescent="0.25">
      <c r="A1287" t="s">
        <v>2494</v>
      </c>
      <c r="B1287" t="s">
        <v>100</v>
      </c>
      <c r="C1287" t="s">
        <v>3042</v>
      </c>
      <c r="D1287" t="s">
        <v>3043</v>
      </c>
      <c r="E1287" t="s">
        <v>390</v>
      </c>
      <c r="F1287" t="s">
        <v>191</v>
      </c>
      <c r="G1287" t="s">
        <v>56</v>
      </c>
      <c r="H1287" t="s">
        <v>3044</v>
      </c>
    </row>
    <row r="1288" spans="1:8" x14ac:dyDescent="0.25">
      <c r="A1288" t="s">
        <v>2494</v>
      </c>
      <c r="B1288" t="s">
        <v>16</v>
      </c>
      <c r="C1288" t="s">
        <v>3045</v>
      </c>
      <c r="D1288" t="s">
        <v>3046</v>
      </c>
      <c r="E1288" t="s">
        <v>2989</v>
      </c>
      <c r="F1288" t="s">
        <v>556</v>
      </c>
      <c r="G1288" t="s">
        <v>56</v>
      </c>
      <c r="H1288" t="s">
        <v>3047</v>
      </c>
    </row>
    <row r="1289" spans="1:8" x14ac:dyDescent="0.25">
      <c r="A1289" t="s">
        <v>2494</v>
      </c>
      <c r="B1289" t="s">
        <v>42</v>
      </c>
      <c r="C1289" t="s">
        <v>3048</v>
      </c>
      <c r="D1289" t="s">
        <v>3049</v>
      </c>
      <c r="E1289" t="s">
        <v>29</v>
      </c>
      <c r="F1289" t="s">
        <v>97</v>
      </c>
      <c r="G1289" t="s">
        <v>98</v>
      </c>
      <c r="H1289" t="s">
        <v>261</v>
      </c>
    </row>
    <row r="1290" spans="1:8" x14ac:dyDescent="0.25">
      <c r="A1290" t="s">
        <v>2494</v>
      </c>
      <c r="B1290" t="s">
        <v>32</v>
      </c>
      <c r="C1290" t="s">
        <v>3050</v>
      </c>
      <c r="D1290" t="s">
        <v>3051</v>
      </c>
      <c r="E1290" t="s">
        <v>29</v>
      </c>
      <c r="F1290" t="s">
        <v>97</v>
      </c>
      <c r="G1290" t="s">
        <v>98</v>
      </c>
      <c r="H1290" t="s">
        <v>3052</v>
      </c>
    </row>
    <row r="1291" spans="1:8" x14ac:dyDescent="0.25">
      <c r="A1291" t="s">
        <v>2494</v>
      </c>
      <c r="B1291" t="s">
        <v>37</v>
      </c>
      <c r="C1291" t="s">
        <v>3053</v>
      </c>
      <c r="D1291" t="s">
        <v>3054</v>
      </c>
      <c r="E1291" t="s">
        <v>29</v>
      </c>
      <c r="F1291" t="s">
        <v>97</v>
      </c>
      <c r="G1291" t="s">
        <v>98</v>
      </c>
      <c r="H1291" t="s">
        <v>3055</v>
      </c>
    </row>
    <row r="1292" spans="1:8" x14ac:dyDescent="0.25">
      <c r="A1292" t="s">
        <v>2494</v>
      </c>
      <c r="B1292" t="s">
        <v>77</v>
      </c>
      <c r="C1292" t="s">
        <v>3056</v>
      </c>
      <c r="D1292" t="s">
        <v>3057</v>
      </c>
      <c r="E1292" t="s">
        <v>67</v>
      </c>
      <c r="F1292" t="s">
        <v>19</v>
      </c>
      <c r="G1292" t="s">
        <v>67</v>
      </c>
      <c r="H1292" t="s">
        <v>464</v>
      </c>
    </row>
    <row r="1293" spans="1:8" x14ac:dyDescent="0.25">
      <c r="A1293" t="s">
        <v>2494</v>
      </c>
      <c r="B1293" t="s">
        <v>42</v>
      </c>
      <c r="C1293" t="s">
        <v>3058</v>
      </c>
      <c r="D1293" t="s">
        <v>3059</v>
      </c>
      <c r="E1293" t="s">
        <v>29</v>
      </c>
      <c r="F1293" t="s">
        <v>97</v>
      </c>
      <c r="G1293" t="s">
        <v>98</v>
      </c>
      <c r="H1293" t="s">
        <v>2623</v>
      </c>
    </row>
    <row r="1294" spans="1:8" x14ac:dyDescent="0.25">
      <c r="A1294" t="s">
        <v>2494</v>
      </c>
      <c r="B1294" t="s">
        <v>16</v>
      </c>
      <c r="C1294" t="s">
        <v>3060</v>
      </c>
      <c r="D1294" t="s">
        <v>3061</v>
      </c>
      <c r="E1294" t="s">
        <v>29</v>
      </c>
      <c r="F1294" t="s">
        <v>97</v>
      </c>
      <c r="G1294" t="s">
        <v>98</v>
      </c>
      <c r="H1294" t="s">
        <v>3062</v>
      </c>
    </row>
    <row r="1295" spans="1:8" x14ac:dyDescent="0.25">
      <c r="A1295" t="s">
        <v>2494</v>
      </c>
      <c r="B1295" t="s">
        <v>77</v>
      </c>
      <c r="C1295" t="s">
        <v>3063</v>
      </c>
      <c r="D1295" t="s">
        <v>3063</v>
      </c>
      <c r="E1295" t="s">
        <v>50</v>
      </c>
      <c r="F1295" t="s">
        <v>30</v>
      </c>
      <c r="G1295" t="s">
        <v>63</v>
      </c>
      <c r="H1295" t="s">
        <v>289</v>
      </c>
    </row>
    <row r="1296" spans="1:8" x14ac:dyDescent="0.25">
      <c r="A1296" t="s">
        <v>2494</v>
      </c>
      <c r="B1296" t="s">
        <v>42</v>
      </c>
      <c r="C1296" t="s">
        <v>3064</v>
      </c>
      <c r="D1296" t="s">
        <v>3064</v>
      </c>
      <c r="E1296" t="s">
        <v>35</v>
      </c>
      <c r="F1296" t="s">
        <v>19</v>
      </c>
      <c r="G1296" t="s">
        <v>63</v>
      </c>
      <c r="H1296" t="s">
        <v>570</v>
      </c>
    </row>
    <row r="1297" spans="1:8" x14ac:dyDescent="0.25">
      <c r="A1297" t="s">
        <v>2494</v>
      </c>
      <c r="B1297" t="s">
        <v>77</v>
      </c>
      <c r="C1297" t="s">
        <v>3065</v>
      </c>
      <c r="D1297" t="s">
        <v>3065</v>
      </c>
      <c r="E1297" t="s">
        <v>45</v>
      </c>
      <c r="F1297" t="s">
        <v>19</v>
      </c>
      <c r="G1297" t="s">
        <v>63</v>
      </c>
      <c r="H1297" t="s">
        <v>946</v>
      </c>
    </row>
    <row r="1298" spans="1:8" x14ac:dyDescent="0.25">
      <c r="A1298" t="s">
        <v>2494</v>
      </c>
      <c r="B1298" t="s">
        <v>113</v>
      </c>
      <c r="C1298" t="s">
        <v>3066</v>
      </c>
      <c r="D1298" t="s">
        <v>3067</v>
      </c>
      <c r="E1298" t="s">
        <v>67</v>
      </c>
      <c r="F1298" t="s">
        <v>30</v>
      </c>
      <c r="G1298" t="s">
        <v>67</v>
      </c>
      <c r="H1298" t="s">
        <v>2331</v>
      </c>
    </row>
    <row r="1299" spans="1:8" x14ac:dyDescent="0.25">
      <c r="A1299" t="s">
        <v>2494</v>
      </c>
      <c r="B1299" t="s">
        <v>91</v>
      </c>
      <c r="C1299" t="s">
        <v>3068</v>
      </c>
      <c r="D1299" t="s">
        <v>3068</v>
      </c>
      <c r="E1299" t="s">
        <v>60</v>
      </c>
      <c r="F1299" t="s">
        <v>13</v>
      </c>
      <c r="G1299" t="s">
        <v>63</v>
      </c>
      <c r="H1299" t="s">
        <v>2150</v>
      </c>
    </row>
    <row r="1300" spans="1:8" x14ac:dyDescent="0.25">
      <c r="A1300" t="s">
        <v>2494</v>
      </c>
      <c r="B1300" t="s">
        <v>16</v>
      </c>
      <c r="C1300" t="s">
        <v>3069</v>
      </c>
      <c r="D1300" t="s">
        <v>3069</v>
      </c>
      <c r="E1300" t="s">
        <v>116</v>
      </c>
      <c r="F1300" t="s">
        <v>19</v>
      </c>
      <c r="G1300" t="s">
        <v>63</v>
      </c>
      <c r="H1300" t="s">
        <v>3070</v>
      </c>
    </row>
    <row r="1301" spans="1:8" x14ac:dyDescent="0.25">
      <c r="A1301" t="s">
        <v>2494</v>
      </c>
      <c r="B1301" t="s">
        <v>77</v>
      </c>
      <c r="C1301" t="s">
        <v>3071</v>
      </c>
      <c r="D1301" t="s">
        <v>3071</v>
      </c>
      <c r="E1301" t="s">
        <v>60</v>
      </c>
      <c r="F1301" t="s">
        <v>13</v>
      </c>
      <c r="G1301" t="s">
        <v>63</v>
      </c>
      <c r="H1301" t="s">
        <v>3072</v>
      </c>
    </row>
    <row r="1302" spans="1:8" x14ac:dyDescent="0.25">
      <c r="A1302" t="s">
        <v>2494</v>
      </c>
      <c r="B1302" t="s">
        <v>37</v>
      </c>
      <c r="C1302" t="s">
        <v>3073</v>
      </c>
      <c r="D1302" t="s">
        <v>3073</v>
      </c>
      <c r="E1302" t="s">
        <v>29</v>
      </c>
      <c r="F1302" t="s">
        <v>30</v>
      </c>
      <c r="G1302" t="s">
        <v>63</v>
      </c>
      <c r="H1302" t="s">
        <v>3074</v>
      </c>
    </row>
    <row r="1303" spans="1:8" x14ac:dyDescent="0.25">
      <c r="A1303" t="s">
        <v>2494</v>
      </c>
      <c r="B1303" t="s">
        <v>91</v>
      </c>
      <c r="C1303" t="s">
        <v>3075</v>
      </c>
      <c r="D1303" t="s">
        <v>3076</v>
      </c>
      <c r="E1303" t="s">
        <v>29</v>
      </c>
      <c r="F1303" t="s">
        <v>97</v>
      </c>
      <c r="G1303" t="s">
        <v>98</v>
      </c>
      <c r="H1303" t="s">
        <v>3077</v>
      </c>
    </row>
    <row r="1304" spans="1:8" x14ac:dyDescent="0.25">
      <c r="A1304" t="s">
        <v>2494</v>
      </c>
      <c r="B1304" t="s">
        <v>37</v>
      </c>
      <c r="C1304" t="s">
        <v>3078</v>
      </c>
      <c r="D1304" t="s">
        <v>3078</v>
      </c>
      <c r="E1304" t="s">
        <v>29</v>
      </c>
      <c r="F1304" t="s">
        <v>30</v>
      </c>
      <c r="G1304" t="s">
        <v>63</v>
      </c>
      <c r="H1304" t="s">
        <v>769</v>
      </c>
    </row>
    <row r="1305" spans="1:8" x14ac:dyDescent="0.25">
      <c r="A1305" t="s">
        <v>2494</v>
      </c>
      <c r="B1305" t="s">
        <v>73</v>
      </c>
      <c r="C1305" t="s">
        <v>3079</v>
      </c>
      <c r="D1305" t="s">
        <v>3079</v>
      </c>
      <c r="E1305" t="s">
        <v>29</v>
      </c>
      <c r="F1305" t="s">
        <v>30</v>
      </c>
      <c r="G1305" t="s">
        <v>63</v>
      </c>
      <c r="H1305" t="s">
        <v>303</v>
      </c>
    </row>
    <row r="1306" spans="1:8" x14ac:dyDescent="0.25">
      <c r="A1306" t="s">
        <v>2494</v>
      </c>
      <c r="B1306" t="s">
        <v>91</v>
      </c>
      <c r="C1306" t="s">
        <v>3080</v>
      </c>
      <c r="D1306" t="s">
        <v>3080</v>
      </c>
      <c r="E1306" t="s">
        <v>29</v>
      </c>
      <c r="F1306" t="s">
        <v>30</v>
      </c>
      <c r="G1306" t="s">
        <v>63</v>
      </c>
      <c r="H1306" t="s">
        <v>1307</v>
      </c>
    </row>
    <row r="1307" spans="1:8" x14ac:dyDescent="0.25">
      <c r="A1307" t="s">
        <v>2494</v>
      </c>
      <c r="B1307" t="s">
        <v>42</v>
      </c>
      <c r="C1307" t="s">
        <v>3081</v>
      </c>
      <c r="D1307" t="s">
        <v>3082</v>
      </c>
      <c r="E1307" t="s">
        <v>67</v>
      </c>
      <c r="F1307" t="s">
        <v>19</v>
      </c>
      <c r="G1307" t="s">
        <v>67</v>
      </c>
      <c r="H1307" t="s">
        <v>143</v>
      </c>
    </row>
    <row r="1308" spans="1:8" x14ac:dyDescent="0.25">
      <c r="A1308" t="s">
        <v>2494</v>
      </c>
      <c r="B1308" t="s">
        <v>32</v>
      </c>
      <c r="C1308" t="s">
        <v>3083</v>
      </c>
      <c r="D1308" t="s">
        <v>3084</v>
      </c>
      <c r="E1308" t="s">
        <v>29</v>
      </c>
      <c r="F1308" t="s">
        <v>97</v>
      </c>
      <c r="G1308" t="s">
        <v>98</v>
      </c>
      <c r="H1308" t="s">
        <v>3085</v>
      </c>
    </row>
    <row r="1309" spans="1:8" x14ac:dyDescent="0.25">
      <c r="A1309" t="s">
        <v>2494</v>
      </c>
      <c r="B1309" t="s">
        <v>32</v>
      </c>
      <c r="C1309" t="s">
        <v>3086</v>
      </c>
      <c r="D1309" t="s">
        <v>3086</v>
      </c>
      <c r="E1309" t="s">
        <v>23</v>
      </c>
      <c r="F1309" t="s">
        <v>24</v>
      </c>
      <c r="G1309" t="s">
        <v>63</v>
      </c>
      <c r="H1309" t="s">
        <v>84</v>
      </c>
    </row>
    <row r="1310" spans="1:8" x14ac:dyDescent="0.25">
      <c r="A1310" t="s">
        <v>2494</v>
      </c>
      <c r="B1310" t="s">
        <v>91</v>
      </c>
      <c r="C1310" t="s">
        <v>3087</v>
      </c>
      <c r="D1310" t="s">
        <v>3088</v>
      </c>
      <c r="E1310" t="s">
        <v>505</v>
      </c>
      <c r="F1310" t="s">
        <v>51</v>
      </c>
      <c r="G1310" t="s">
        <v>14</v>
      </c>
      <c r="H1310" t="s">
        <v>146</v>
      </c>
    </row>
    <row r="1311" spans="1:8" x14ac:dyDescent="0.25">
      <c r="A1311" t="s">
        <v>2494</v>
      </c>
      <c r="B1311" t="s">
        <v>26</v>
      </c>
      <c r="C1311" t="s">
        <v>3089</v>
      </c>
      <c r="D1311" t="s">
        <v>3089</v>
      </c>
      <c r="E1311" t="s">
        <v>35</v>
      </c>
      <c r="F1311" t="s">
        <v>24</v>
      </c>
      <c r="G1311" t="s">
        <v>63</v>
      </c>
      <c r="H1311" t="s">
        <v>968</v>
      </c>
    </row>
    <row r="1312" spans="1:8" x14ac:dyDescent="0.25">
      <c r="A1312" t="s">
        <v>2494</v>
      </c>
      <c r="B1312" t="s">
        <v>9</v>
      </c>
      <c r="C1312" t="s">
        <v>3090</v>
      </c>
      <c r="D1312" t="s">
        <v>3091</v>
      </c>
      <c r="E1312" t="s">
        <v>29</v>
      </c>
      <c r="F1312" t="s">
        <v>97</v>
      </c>
      <c r="G1312" t="s">
        <v>98</v>
      </c>
      <c r="H1312" t="s">
        <v>1262</v>
      </c>
    </row>
    <row r="1313" spans="1:8" x14ac:dyDescent="0.25">
      <c r="A1313" t="s">
        <v>2494</v>
      </c>
      <c r="B1313" t="s">
        <v>91</v>
      </c>
      <c r="C1313" t="s">
        <v>3092</v>
      </c>
      <c r="D1313" t="s">
        <v>3092</v>
      </c>
      <c r="E1313" t="s">
        <v>23</v>
      </c>
      <c r="F1313" t="s">
        <v>19</v>
      </c>
      <c r="G1313" t="s">
        <v>63</v>
      </c>
      <c r="H1313" t="s">
        <v>506</v>
      </c>
    </row>
    <row r="1314" spans="1:8" x14ac:dyDescent="0.25">
      <c r="A1314" t="s">
        <v>2494</v>
      </c>
      <c r="B1314" t="s">
        <v>91</v>
      </c>
      <c r="C1314" t="s">
        <v>3093</v>
      </c>
      <c r="D1314" t="s">
        <v>3093</v>
      </c>
      <c r="E1314" t="s">
        <v>23</v>
      </c>
      <c r="F1314" t="s">
        <v>19</v>
      </c>
      <c r="G1314" t="s">
        <v>63</v>
      </c>
      <c r="H1314" t="s">
        <v>426</v>
      </c>
    </row>
    <row r="1315" spans="1:8" x14ac:dyDescent="0.25">
      <c r="A1315" t="s">
        <v>2494</v>
      </c>
      <c r="B1315" t="s">
        <v>42</v>
      </c>
      <c r="C1315" t="s">
        <v>3094</v>
      </c>
      <c r="D1315" t="s">
        <v>3095</v>
      </c>
      <c r="E1315" t="s">
        <v>505</v>
      </c>
      <c r="F1315" t="s">
        <v>51</v>
      </c>
      <c r="G1315" t="s">
        <v>14</v>
      </c>
      <c r="H1315" t="s">
        <v>61</v>
      </c>
    </row>
    <row r="1316" spans="1:8" x14ac:dyDescent="0.25">
      <c r="A1316" t="s">
        <v>2494</v>
      </c>
      <c r="B1316" t="s">
        <v>100</v>
      </c>
      <c r="C1316" t="s">
        <v>3096</v>
      </c>
      <c r="D1316" t="s">
        <v>3097</v>
      </c>
      <c r="E1316" t="s">
        <v>29</v>
      </c>
      <c r="F1316" t="s">
        <v>97</v>
      </c>
      <c r="G1316" t="s">
        <v>98</v>
      </c>
      <c r="H1316" t="s">
        <v>267</v>
      </c>
    </row>
    <row r="1317" spans="1:8" x14ac:dyDescent="0.25">
      <c r="A1317" t="s">
        <v>2494</v>
      </c>
      <c r="B1317" t="s">
        <v>42</v>
      </c>
      <c r="C1317" t="s">
        <v>3098</v>
      </c>
      <c r="D1317" t="s">
        <v>3098</v>
      </c>
      <c r="E1317" t="s">
        <v>45</v>
      </c>
      <c r="F1317" t="s">
        <v>30</v>
      </c>
      <c r="G1317" t="s">
        <v>63</v>
      </c>
      <c r="H1317" t="s">
        <v>3099</v>
      </c>
    </row>
    <row r="1318" spans="1:8" x14ac:dyDescent="0.25">
      <c r="A1318" t="s">
        <v>2494</v>
      </c>
      <c r="B1318" t="s">
        <v>37</v>
      </c>
      <c r="C1318" t="s">
        <v>3100</v>
      </c>
      <c r="D1318" t="s">
        <v>3101</v>
      </c>
      <c r="E1318" t="s">
        <v>23</v>
      </c>
      <c r="F1318" t="s">
        <v>19</v>
      </c>
      <c r="G1318" t="s">
        <v>14</v>
      </c>
      <c r="H1318" t="s">
        <v>217</v>
      </c>
    </row>
    <row r="1319" spans="1:8" x14ac:dyDescent="0.25">
      <c r="A1319" t="s">
        <v>2494</v>
      </c>
      <c r="B1319" t="s">
        <v>113</v>
      </c>
      <c r="C1319" t="s">
        <v>3102</v>
      </c>
      <c r="D1319" t="s">
        <v>3102</v>
      </c>
      <c r="E1319" t="s">
        <v>45</v>
      </c>
      <c r="F1319" t="s">
        <v>24</v>
      </c>
      <c r="G1319" t="s">
        <v>63</v>
      </c>
      <c r="H1319" t="s">
        <v>968</v>
      </c>
    </row>
    <row r="1320" spans="1:8" x14ac:dyDescent="0.25">
      <c r="A1320" t="s">
        <v>2494</v>
      </c>
      <c r="B1320" t="s">
        <v>32</v>
      </c>
      <c r="C1320" t="s">
        <v>3103</v>
      </c>
      <c r="D1320" t="s">
        <v>3104</v>
      </c>
      <c r="E1320" t="s">
        <v>29</v>
      </c>
      <c r="F1320" t="s">
        <v>97</v>
      </c>
      <c r="G1320" t="s">
        <v>98</v>
      </c>
      <c r="H1320" t="s">
        <v>1516</v>
      </c>
    </row>
    <row r="1321" spans="1:8" x14ac:dyDescent="0.25">
      <c r="A1321" t="s">
        <v>2494</v>
      </c>
      <c r="B1321" t="s">
        <v>100</v>
      </c>
      <c r="C1321" t="s">
        <v>3105</v>
      </c>
      <c r="D1321" t="s">
        <v>3105</v>
      </c>
      <c r="E1321" t="s">
        <v>29</v>
      </c>
      <c r="F1321" t="s">
        <v>13</v>
      </c>
      <c r="G1321" t="s">
        <v>63</v>
      </c>
      <c r="H1321" t="s">
        <v>336</v>
      </c>
    </row>
    <row r="1322" spans="1:8" x14ac:dyDescent="0.25">
      <c r="A1322" t="s">
        <v>2494</v>
      </c>
      <c r="B1322" t="s">
        <v>47</v>
      </c>
      <c r="C1322" t="s">
        <v>3106</v>
      </c>
      <c r="D1322" t="s">
        <v>3106</v>
      </c>
      <c r="E1322" t="s">
        <v>432</v>
      </c>
      <c r="F1322" t="s">
        <v>24</v>
      </c>
      <c r="G1322" t="s">
        <v>63</v>
      </c>
      <c r="H1322" t="s">
        <v>81</v>
      </c>
    </row>
    <row r="1323" spans="1:8" x14ac:dyDescent="0.25">
      <c r="A1323" t="s">
        <v>2494</v>
      </c>
      <c r="B1323" t="s">
        <v>113</v>
      </c>
      <c r="C1323" t="s">
        <v>3107</v>
      </c>
      <c r="D1323" t="s">
        <v>3107</v>
      </c>
      <c r="E1323" t="s">
        <v>40</v>
      </c>
      <c r="F1323" t="s">
        <v>191</v>
      </c>
      <c r="G1323" t="s">
        <v>63</v>
      </c>
      <c r="H1323" t="s">
        <v>3108</v>
      </c>
    </row>
    <row r="1324" spans="1:8" x14ac:dyDescent="0.25">
      <c r="A1324" t="s">
        <v>2494</v>
      </c>
      <c r="B1324" t="s">
        <v>26</v>
      </c>
      <c r="C1324" t="s">
        <v>3109</v>
      </c>
      <c r="D1324" t="s">
        <v>3110</v>
      </c>
      <c r="E1324" t="s">
        <v>67</v>
      </c>
      <c r="F1324" t="s">
        <v>19</v>
      </c>
      <c r="G1324" t="s">
        <v>67</v>
      </c>
      <c r="H1324" t="s">
        <v>2197</v>
      </c>
    </row>
    <row r="1325" spans="1:8" x14ac:dyDescent="0.25">
      <c r="A1325" t="s">
        <v>2494</v>
      </c>
      <c r="B1325" t="s">
        <v>16</v>
      </c>
      <c r="C1325" t="s">
        <v>3111</v>
      </c>
      <c r="D1325" t="s">
        <v>3112</v>
      </c>
      <c r="E1325" t="s">
        <v>116</v>
      </c>
      <c r="F1325" t="s">
        <v>30</v>
      </c>
      <c r="G1325" t="s">
        <v>14</v>
      </c>
      <c r="H1325" t="s">
        <v>301</v>
      </c>
    </row>
    <row r="1326" spans="1:8" x14ac:dyDescent="0.25">
      <c r="A1326" t="s">
        <v>2494</v>
      </c>
      <c r="B1326" t="s">
        <v>91</v>
      </c>
      <c r="C1326" t="s">
        <v>3113</v>
      </c>
      <c r="D1326" t="s">
        <v>3114</v>
      </c>
      <c r="E1326" t="s">
        <v>29</v>
      </c>
      <c r="F1326" t="s">
        <v>97</v>
      </c>
      <c r="G1326" t="s">
        <v>98</v>
      </c>
      <c r="H1326" t="s">
        <v>1516</v>
      </c>
    </row>
    <row r="1327" spans="1:8" x14ac:dyDescent="0.25">
      <c r="A1327" t="s">
        <v>2494</v>
      </c>
      <c r="B1327" t="s">
        <v>16</v>
      </c>
      <c r="C1327" t="s">
        <v>3115</v>
      </c>
      <c r="D1327" t="s">
        <v>3116</v>
      </c>
      <c r="E1327" t="s">
        <v>29</v>
      </c>
      <c r="F1327" t="s">
        <v>97</v>
      </c>
      <c r="G1327" t="s">
        <v>98</v>
      </c>
      <c r="H1327" t="s">
        <v>1516</v>
      </c>
    </row>
    <row r="1328" spans="1:8" x14ac:dyDescent="0.25">
      <c r="A1328" t="s">
        <v>2494</v>
      </c>
      <c r="B1328" t="s">
        <v>26</v>
      </c>
      <c r="C1328" t="s">
        <v>3117</v>
      </c>
      <c r="D1328" t="s">
        <v>3117</v>
      </c>
      <c r="E1328" t="s">
        <v>12</v>
      </c>
      <c r="F1328" t="s">
        <v>30</v>
      </c>
      <c r="G1328" t="s">
        <v>63</v>
      </c>
      <c r="H1328" t="s">
        <v>3118</v>
      </c>
    </row>
    <row r="1329" spans="1:8" x14ac:dyDescent="0.25">
      <c r="A1329" t="s">
        <v>2494</v>
      </c>
      <c r="B1329" t="s">
        <v>37</v>
      </c>
      <c r="C1329" t="s">
        <v>3119</v>
      </c>
      <c r="D1329" t="s">
        <v>3119</v>
      </c>
      <c r="E1329" t="s">
        <v>12</v>
      </c>
      <c r="F1329" t="s">
        <v>13</v>
      </c>
      <c r="G1329" t="s">
        <v>63</v>
      </c>
      <c r="H1329" t="s">
        <v>64</v>
      </c>
    </row>
    <row r="1330" spans="1:8" x14ac:dyDescent="0.25">
      <c r="A1330" t="s">
        <v>2494</v>
      </c>
      <c r="B1330" t="s">
        <v>113</v>
      </c>
      <c r="C1330" t="s">
        <v>3120</v>
      </c>
      <c r="D1330" t="s">
        <v>3121</v>
      </c>
      <c r="E1330" t="s">
        <v>35</v>
      </c>
      <c r="F1330" t="s">
        <v>19</v>
      </c>
      <c r="G1330" t="s">
        <v>14</v>
      </c>
      <c r="H1330" t="s">
        <v>109</v>
      </c>
    </row>
    <row r="1331" spans="1:8" x14ac:dyDescent="0.25">
      <c r="A1331" t="s">
        <v>2494</v>
      </c>
      <c r="B1331" t="s">
        <v>91</v>
      </c>
      <c r="C1331" t="s">
        <v>3122</v>
      </c>
      <c r="D1331" t="s">
        <v>3122</v>
      </c>
      <c r="E1331" t="s">
        <v>12</v>
      </c>
      <c r="F1331" t="s">
        <v>13</v>
      </c>
      <c r="G1331" t="s">
        <v>63</v>
      </c>
      <c r="H1331" t="s">
        <v>3074</v>
      </c>
    </row>
    <row r="1332" spans="1:8" x14ac:dyDescent="0.25">
      <c r="A1332" t="s">
        <v>2494</v>
      </c>
      <c r="B1332" t="s">
        <v>37</v>
      </c>
      <c r="C1332" t="s">
        <v>3123</v>
      </c>
      <c r="D1332" t="s">
        <v>3123</v>
      </c>
      <c r="E1332" t="s">
        <v>12</v>
      </c>
      <c r="F1332" t="s">
        <v>13</v>
      </c>
      <c r="G1332" t="s">
        <v>63</v>
      </c>
      <c r="H1332" t="s">
        <v>3124</v>
      </c>
    </row>
    <row r="1333" spans="1:8" x14ac:dyDescent="0.25">
      <c r="A1333" t="s">
        <v>2494</v>
      </c>
      <c r="B1333" t="s">
        <v>37</v>
      </c>
      <c r="C1333" t="s">
        <v>3125</v>
      </c>
      <c r="D1333" t="s">
        <v>3126</v>
      </c>
      <c r="E1333" t="s">
        <v>29</v>
      </c>
      <c r="F1333" t="s">
        <v>97</v>
      </c>
      <c r="G1333" t="s">
        <v>98</v>
      </c>
      <c r="H1333" t="s">
        <v>3127</v>
      </c>
    </row>
    <row r="1334" spans="1:8" x14ac:dyDescent="0.25">
      <c r="A1334" t="s">
        <v>2494</v>
      </c>
      <c r="B1334" t="s">
        <v>113</v>
      </c>
      <c r="C1334" t="s">
        <v>3128</v>
      </c>
      <c r="D1334" t="s">
        <v>3128</v>
      </c>
      <c r="E1334" t="s">
        <v>12</v>
      </c>
      <c r="F1334" t="s">
        <v>13</v>
      </c>
      <c r="G1334" t="s">
        <v>63</v>
      </c>
      <c r="H1334" t="s">
        <v>3129</v>
      </c>
    </row>
    <row r="1335" spans="1:8" x14ac:dyDescent="0.25">
      <c r="A1335" t="s">
        <v>2494</v>
      </c>
      <c r="B1335" t="s">
        <v>16</v>
      </c>
      <c r="C1335" t="s">
        <v>3130</v>
      </c>
      <c r="D1335" t="s">
        <v>3131</v>
      </c>
      <c r="E1335" t="s">
        <v>12</v>
      </c>
      <c r="F1335" t="s">
        <v>19</v>
      </c>
      <c r="G1335" t="s">
        <v>14</v>
      </c>
      <c r="H1335" t="s">
        <v>3132</v>
      </c>
    </row>
    <row r="1336" spans="1:8" x14ac:dyDescent="0.25">
      <c r="A1336" t="s">
        <v>2494</v>
      </c>
      <c r="B1336" t="s">
        <v>91</v>
      </c>
      <c r="C1336" t="s">
        <v>3133</v>
      </c>
      <c r="D1336" t="s">
        <v>3133</v>
      </c>
      <c r="E1336" t="s">
        <v>12</v>
      </c>
      <c r="F1336" t="s">
        <v>13</v>
      </c>
      <c r="G1336" t="s">
        <v>63</v>
      </c>
      <c r="H1336" t="s">
        <v>1810</v>
      </c>
    </row>
    <row r="1337" spans="1:8" x14ac:dyDescent="0.25">
      <c r="A1337" t="s">
        <v>2494</v>
      </c>
      <c r="B1337" t="s">
        <v>77</v>
      </c>
      <c r="C1337" t="s">
        <v>3134</v>
      </c>
      <c r="D1337" t="s">
        <v>3135</v>
      </c>
      <c r="E1337" t="s">
        <v>29</v>
      </c>
      <c r="F1337" t="s">
        <v>97</v>
      </c>
      <c r="G1337" t="s">
        <v>98</v>
      </c>
      <c r="H1337" t="s">
        <v>2261</v>
      </c>
    </row>
    <row r="1338" spans="1:8" x14ac:dyDescent="0.25">
      <c r="A1338" t="s">
        <v>2494</v>
      </c>
      <c r="B1338" t="s">
        <v>37</v>
      </c>
      <c r="C1338" t="s">
        <v>3136</v>
      </c>
      <c r="D1338" t="s">
        <v>3136</v>
      </c>
      <c r="E1338" t="s">
        <v>12</v>
      </c>
      <c r="F1338" t="s">
        <v>13</v>
      </c>
      <c r="G1338" t="s">
        <v>63</v>
      </c>
      <c r="H1338" t="s">
        <v>462</v>
      </c>
    </row>
    <row r="1339" spans="1:8" x14ac:dyDescent="0.25">
      <c r="A1339" t="s">
        <v>2494</v>
      </c>
      <c r="B1339" t="s">
        <v>42</v>
      </c>
      <c r="C1339" t="s">
        <v>3137</v>
      </c>
      <c r="D1339" t="s">
        <v>3137</v>
      </c>
      <c r="E1339" t="s">
        <v>23</v>
      </c>
      <c r="F1339" t="s">
        <v>24</v>
      </c>
      <c r="G1339" t="s">
        <v>63</v>
      </c>
      <c r="H1339" t="s">
        <v>582</v>
      </c>
    </row>
    <row r="1340" spans="1:8" x14ac:dyDescent="0.25">
      <c r="A1340" t="s">
        <v>2494</v>
      </c>
      <c r="B1340" t="s">
        <v>26</v>
      </c>
      <c r="C1340" t="s">
        <v>3138</v>
      </c>
      <c r="D1340" t="s">
        <v>3139</v>
      </c>
      <c r="E1340" t="s">
        <v>67</v>
      </c>
      <c r="F1340" t="s">
        <v>19</v>
      </c>
      <c r="G1340" t="s">
        <v>67</v>
      </c>
      <c r="H1340" t="s">
        <v>3140</v>
      </c>
    </row>
    <row r="1341" spans="1:8" x14ac:dyDescent="0.25">
      <c r="A1341" t="s">
        <v>2494</v>
      </c>
      <c r="B1341" t="s">
        <v>16</v>
      </c>
      <c r="C1341" t="s">
        <v>3141</v>
      </c>
      <c r="D1341" t="s">
        <v>3142</v>
      </c>
      <c r="E1341" t="s">
        <v>29</v>
      </c>
      <c r="F1341" t="s">
        <v>97</v>
      </c>
      <c r="G1341" t="s">
        <v>98</v>
      </c>
      <c r="H1341" t="s">
        <v>176</v>
      </c>
    </row>
    <row r="1342" spans="1:8" x14ac:dyDescent="0.25">
      <c r="A1342" t="s">
        <v>2494</v>
      </c>
      <c r="B1342" t="s">
        <v>26</v>
      </c>
      <c r="C1342" t="s">
        <v>3143</v>
      </c>
      <c r="D1342" t="s">
        <v>3143</v>
      </c>
      <c r="E1342" t="s">
        <v>23</v>
      </c>
      <c r="F1342" t="s">
        <v>24</v>
      </c>
      <c r="G1342" t="s">
        <v>63</v>
      </c>
      <c r="H1342" t="s">
        <v>707</v>
      </c>
    </row>
    <row r="1343" spans="1:8" x14ac:dyDescent="0.25">
      <c r="A1343" t="s">
        <v>2494</v>
      </c>
      <c r="B1343" t="s">
        <v>9</v>
      </c>
      <c r="C1343" t="s">
        <v>3144</v>
      </c>
      <c r="D1343" t="s">
        <v>3144</v>
      </c>
      <c r="E1343" t="s">
        <v>116</v>
      </c>
      <c r="F1343" t="s">
        <v>24</v>
      </c>
      <c r="G1343" t="s">
        <v>63</v>
      </c>
      <c r="H1343" t="s">
        <v>333</v>
      </c>
    </row>
    <row r="1344" spans="1:8" x14ac:dyDescent="0.25">
      <c r="A1344" t="s">
        <v>2494</v>
      </c>
      <c r="B1344" t="s">
        <v>9</v>
      </c>
      <c r="C1344" t="s">
        <v>3145</v>
      </c>
      <c r="D1344" t="s">
        <v>3146</v>
      </c>
      <c r="E1344" t="s">
        <v>172</v>
      </c>
      <c r="F1344" t="s">
        <v>24</v>
      </c>
      <c r="G1344" t="s">
        <v>14</v>
      </c>
      <c r="H1344" t="s">
        <v>223</v>
      </c>
    </row>
    <row r="1345" spans="1:8" x14ac:dyDescent="0.25">
      <c r="A1345" t="s">
        <v>2494</v>
      </c>
      <c r="B1345" t="s">
        <v>16</v>
      </c>
      <c r="C1345" t="s">
        <v>3147</v>
      </c>
      <c r="D1345" t="s">
        <v>3148</v>
      </c>
      <c r="E1345" t="s">
        <v>35</v>
      </c>
      <c r="F1345" t="s">
        <v>19</v>
      </c>
      <c r="G1345" t="s">
        <v>14</v>
      </c>
      <c r="H1345" t="s">
        <v>217</v>
      </c>
    </row>
    <row r="1346" spans="1:8" x14ac:dyDescent="0.25">
      <c r="A1346" t="s">
        <v>2494</v>
      </c>
      <c r="B1346" t="s">
        <v>100</v>
      </c>
      <c r="C1346" t="s">
        <v>3149</v>
      </c>
      <c r="D1346" t="s">
        <v>3150</v>
      </c>
      <c r="E1346" t="s">
        <v>29</v>
      </c>
      <c r="F1346" t="s">
        <v>97</v>
      </c>
      <c r="G1346" t="s">
        <v>98</v>
      </c>
      <c r="H1346" t="s">
        <v>176</v>
      </c>
    </row>
    <row r="1347" spans="1:8" x14ac:dyDescent="0.25">
      <c r="A1347" t="s">
        <v>2494</v>
      </c>
      <c r="B1347" t="s">
        <v>42</v>
      </c>
      <c r="C1347" t="s">
        <v>3151</v>
      </c>
      <c r="D1347" t="s">
        <v>3151</v>
      </c>
      <c r="E1347" t="s">
        <v>116</v>
      </c>
      <c r="F1347" t="s">
        <v>24</v>
      </c>
      <c r="G1347" t="s">
        <v>63</v>
      </c>
      <c r="H1347" t="s">
        <v>3152</v>
      </c>
    </row>
    <row r="1348" spans="1:8" x14ac:dyDescent="0.25">
      <c r="A1348" t="s">
        <v>2494</v>
      </c>
      <c r="B1348" t="s">
        <v>100</v>
      </c>
      <c r="C1348" t="s">
        <v>3153</v>
      </c>
      <c r="D1348" t="s">
        <v>3153</v>
      </c>
      <c r="E1348" t="s">
        <v>172</v>
      </c>
      <c r="F1348" t="s">
        <v>30</v>
      </c>
      <c r="G1348" t="s">
        <v>63</v>
      </c>
      <c r="H1348" t="s">
        <v>3154</v>
      </c>
    </row>
    <row r="1349" spans="1:8" x14ac:dyDescent="0.25">
      <c r="A1349" t="s">
        <v>2494</v>
      </c>
      <c r="B1349" t="s">
        <v>73</v>
      </c>
      <c r="C1349" t="s">
        <v>3155</v>
      </c>
      <c r="D1349" t="s">
        <v>3156</v>
      </c>
      <c r="E1349" t="s">
        <v>29</v>
      </c>
      <c r="F1349" t="s">
        <v>97</v>
      </c>
      <c r="G1349" t="s">
        <v>98</v>
      </c>
      <c r="H1349" t="s">
        <v>176</v>
      </c>
    </row>
    <row r="1350" spans="1:8" x14ac:dyDescent="0.25">
      <c r="A1350" t="s">
        <v>2494</v>
      </c>
      <c r="B1350" t="s">
        <v>100</v>
      </c>
      <c r="C1350" t="s">
        <v>3157</v>
      </c>
      <c r="D1350" t="s">
        <v>3158</v>
      </c>
      <c r="E1350" t="s">
        <v>772</v>
      </c>
      <c r="F1350" t="s">
        <v>51</v>
      </c>
      <c r="G1350" t="s">
        <v>14</v>
      </c>
      <c r="H1350" t="s">
        <v>3159</v>
      </c>
    </row>
    <row r="1351" spans="1:8" x14ac:dyDescent="0.25">
      <c r="A1351" t="s">
        <v>2494</v>
      </c>
      <c r="B1351" t="s">
        <v>73</v>
      </c>
      <c r="C1351" t="s">
        <v>3160</v>
      </c>
      <c r="D1351" t="s">
        <v>3160</v>
      </c>
      <c r="E1351" t="s">
        <v>172</v>
      </c>
      <c r="F1351" t="s">
        <v>30</v>
      </c>
      <c r="G1351" t="s">
        <v>63</v>
      </c>
      <c r="H1351" t="s">
        <v>3161</v>
      </c>
    </row>
    <row r="1352" spans="1:8" x14ac:dyDescent="0.25">
      <c r="A1352" t="s">
        <v>2494</v>
      </c>
      <c r="B1352" t="s">
        <v>9</v>
      </c>
      <c r="C1352" t="s">
        <v>3162</v>
      </c>
      <c r="D1352" t="s">
        <v>3162</v>
      </c>
      <c r="E1352" t="s">
        <v>29</v>
      </c>
      <c r="F1352" t="s">
        <v>13</v>
      </c>
      <c r="G1352" t="s">
        <v>63</v>
      </c>
      <c r="H1352" t="s">
        <v>303</v>
      </c>
    </row>
    <row r="1353" spans="1:8" x14ac:dyDescent="0.25">
      <c r="A1353" t="s">
        <v>2494</v>
      </c>
      <c r="B1353" t="s">
        <v>42</v>
      </c>
      <c r="C1353" t="s">
        <v>3163</v>
      </c>
      <c r="D1353" t="s">
        <v>3164</v>
      </c>
      <c r="E1353" t="s">
        <v>29</v>
      </c>
      <c r="F1353" t="s">
        <v>97</v>
      </c>
      <c r="G1353" t="s">
        <v>98</v>
      </c>
      <c r="H1353" t="s">
        <v>1516</v>
      </c>
    </row>
    <row r="1354" spans="1:8" x14ac:dyDescent="0.25">
      <c r="A1354" t="s">
        <v>2494</v>
      </c>
      <c r="B1354" t="s">
        <v>26</v>
      </c>
      <c r="C1354" t="s">
        <v>3165</v>
      </c>
      <c r="D1354" t="s">
        <v>3165</v>
      </c>
      <c r="E1354" t="s">
        <v>29</v>
      </c>
      <c r="F1354" t="s">
        <v>13</v>
      </c>
      <c r="G1354" t="s">
        <v>63</v>
      </c>
      <c r="H1354" t="s">
        <v>1369</v>
      </c>
    </row>
    <row r="1355" spans="1:8" x14ac:dyDescent="0.25">
      <c r="A1355" t="s">
        <v>2494</v>
      </c>
      <c r="B1355" t="s">
        <v>91</v>
      </c>
      <c r="C1355" t="s">
        <v>3166</v>
      </c>
      <c r="D1355" t="s">
        <v>3166</v>
      </c>
      <c r="E1355" t="s">
        <v>40</v>
      </c>
      <c r="F1355" t="s">
        <v>191</v>
      </c>
      <c r="G1355" t="s">
        <v>63</v>
      </c>
      <c r="H1355" t="s">
        <v>654</v>
      </c>
    </row>
    <row r="1356" spans="1:8" x14ac:dyDescent="0.25">
      <c r="A1356" t="s">
        <v>2494</v>
      </c>
      <c r="B1356" t="s">
        <v>16</v>
      </c>
      <c r="C1356" t="s">
        <v>3167</v>
      </c>
      <c r="D1356" t="s">
        <v>3167</v>
      </c>
      <c r="E1356" t="s">
        <v>40</v>
      </c>
      <c r="F1356" t="s">
        <v>191</v>
      </c>
      <c r="G1356" t="s">
        <v>63</v>
      </c>
      <c r="H1356" t="s">
        <v>3168</v>
      </c>
    </row>
    <row r="1357" spans="1:8" x14ac:dyDescent="0.25">
      <c r="A1357" t="s">
        <v>2494</v>
      </c>
      <c r="B1357" t="s">
        <v>100</v>
      </c>
      <c r="C1357" t="s">
        <v>3169</v>
      </c>
      <c r="D1357" t="s">
        <v>3170</v>
      </c>
      <c r="E1357" t="s">
        <v>67</v>
      </c>
      <c r="F1357" t="s">
        <v>19</v>
      </c>
      <c r="G1357" t="s">
        <v>67</v>
      </c>
      <c r="H1357" t="s">
        <v>773</v>
      </c>
    </row>
    <row r="1358" spans="1:8" x14ac:dyDescent="0.25">
      <c r="A1358" t="s">
        <v>2494</v>
      </c>
      <c r="B1358" t="s">
        <v>113</v>
      </c>
      <c r="C1358" t="s">
        <v>3171</v>
      </c>
      <c r="D1358" t="s">
        <v>3172</v>
      </c>
      <c r="E1358" t="s">
        <v>29</v>
      </c>
      <c r="F1358" t="s">
        <v>51</v>
      </c>
      <c r="G1358" t="s">
        <v>67</v>
      </c>
      <c r="H1358" t="s">
        <v>413</v>
      </c>
    </row>
    <row r="1359" spans="1:8" x14ac:dyDescent="0.25">
      <c r="A1359" t="s">
        <v>2494</v>
      </c>
      <c r="B1359" t="s">
        <v>91</v>
      </c>
      <c r="C1359" t="s">
        <v>3173</v>
      </c>
      <c r="D1359" t="s">
        <v>3173</v>
      </c>
      <c r="E1359" t="s">
        <v>29</v>
      </c>
      <c r="F1359" t="s">
        <v>30</v>
      </c>
      <c r="G1359" t="s">
        <v>63</v>
      </c>
      <c r="H1359" t="s">
        <v>3099</v>
      </c>
    </row>
    <row r="1360" spans="1:8" x14ac:dyDescent="0.25">
      <c r="A1360" t="s">
        <v>2494</v>
      </c>
      <c r="B1360" t="s">
        <v>32</v>
      </c>
      <c r="C1360" t="s">
        <v>3174</v>
      </c>
      <c r="D1360" t="s">
        <v>3175</v>
      </c>
      <c r="E1360" t="s">
        <v>29</v>
      </c>
      <c r="F1360" t="s">
        <v>97</v>
      </c>
      <c r="G1360" t="s">
        <v>98</v>
      </c>
      <c r="H1360" t="s">
        <v>2261</v>
      </c>
    </row>
    <row r="1361" spans="1:8" x14ac:dyDescent="0.25">
      <c r="A1361" t="s">
        <v>2494</v>
      </c>
      <c r="B1361" t="s">
        <v>9</v>
      </c>
      <c r="C1361" t="s">
        <v>3176</v>
      </c>
      <c r="D1361" t="s">
        <v>3176</v>
      </c>
      <c r="E1361" t="s">
        <v>641</v>
      </c>
      <c r="F1361" t="s">
        <v>191</v>
      </c>
      <c r="G1361" t="s">
        <v>63</v>
      </c>
      <c r="H1361" t="s">
        <v>773</v>
      </c>
    </row>
    <row r="1362" spans="1:8" x14ac:dyDescent="0.25">
      <c r="A1362" t="s">
        <v>2494</v>
      </c>
      <c r="B1362" t="s">
        <v>16</v>
      </c>
      <c r="C1362" t="s">
        <v>3177</v>
      </c>
      <c r="D1362" t="s">
        <v>3178</v>
      </c>
      <c r="E1362" t="s">
        <v>12</v>
      </c>
      <c r="F1362" t="s">
        <v>13</v>
      </c>
      <c r="G1362" t="s">
        <v>14</v>
      </c>
      <c r="H1362" t="s">
        <v>3179</v>
      </c>
    </row>
    <row r="1363" spans="1:8" x14ac:dyDescent="0.25">
      <c r="A1363" t="s">
        <v>2494</v>
      </c>
      <c r="B1363" t="s">
        <v>16</v>
      </c>
      <c r="C1363" t="s">
        <v>3180</v>
      </c>
      <c r="D1363" t="s">
        <v>3181</v>
      </c>
      <c r="E1363" t="s">
        <v>29</v>
      </c>
      <c r="F1363" t="s">
        <v>51</v>
      </c>
      <c r="G1363" t="s">
        <v>67</v>
      </c>
      <c r="H1363" t="s">
        <v>440</v>
      </c>
    </row>
    <row r="1364" spans="1:8" x14ac:dyDescent="0.25">
      <c r="A1364" t="s">
        <v>2494</v>
      </c>
      <c r="B1364" t="s">
        <v>32</v>
      </c>
      <c r="C1364" t="s">
        <v>3182</v>
      </c>
      <c r="D1364" t="s">
        <v>3183</v>
      </c>
      <c r="E1364" t="s">
        <v>23</v>
      </c>
      <c r="F1364" t="s">
        <v>19</v>
      </c>
      <c r="G1364" t="s">
        <v>14</v>
      </c>
      <c r="H1364" t="s">
        <v>1315</v>
      </c>
    </row>
    <row r="1365" spans="1:8" x14ac:dyDescent="0.25">
      <c r="A1365" t="s">
        <v>2494</v>
      </c>
      <c r="B1365" t="s">
        <v>9</v>
      </c>
      <c r="C1365" t="s">
        <v>3184</v>
      </c>
      <c r="D1365" t="s">
        <v>3185</v>
      </c>
      <c r="E1365" t="s">
        <v>623</v>
      </c>
      <c r="F1365" t="s">
        <v>24</v>
      </c>
      <c r="G1365" t="s">
        <v>14</v>
      </c>
      <c r="H1365" t="s">
        <v>2784</v>
      </c>
    </row>
    <row r="1366" spans="1:8" x14ac:dyDescent="0.25">
      <c r="A1366" t="s">
        <v>2494</v>
      </c>
      <c r="B1366" t="s">
        <v>91</v>
      </c>
      <c r="C1366" t="s">
        <v>3186</v>
      </c>
      <c r="D1366" t="s">
        <v>3187</v>
      </c>
      <c r="E1366" t="s">
        <v>845</v>
      </c>
      <c r="F1366" t="s">
        <v>51</v>
      </c>
      <c r="G1366" t="s">
        <v>14</v>
      </c>
      <c r="H1366" t="s">
        <v>3188</v>
      </c>
    </row>
    <row r="1367" spans="1:8" x14ac:dyDescent="0.25">
      <c r="A1367" t="s">
        <v>2494</v>
      </c>
      <c r="B1367" t="s">
        <v>42</v>
      </c>
      <c r="C1367" t="s">
        <v>3189</v>
      </c>
      <c r="D1367" t="s">
        <v>3190</v>
      </c>
      <c r="E1367" t="s">
        <v>276</v>
      </c>
      <c r="F1367" t="s">
        <v>51</v>
      </c>
      <c r="G1367" t="s">
        <v>14</v>
      </c>
      <c r="H1367" t="s">
        <v>3191</v>
      </c>
    </row>
    <row r="1368" spans="1:8" x14ac:dyDescent="0.25">
      <c r="A1368" t="s">
        <v>2494</v>
      </c>
      <c r="B1368" t="s">
        <v>37</v>
      </c>
      <c r="C1368" t="s">
        <v>3192</v>
      </c>
      <c r="D1368" t="s">
        <v>3193</v>
      </c>
      <c r="E1368" t="s">
        <v>67</v>
      </c>
      <c r="F1368" t="s">
        <v>19</v>
      </c>
      <c r="G1368" t="s">
        <v>67</v>
      </c>
      <c r="H1368" t="s">
        <v>2097</v>
      </c>
    </row>
    <row r="1369" spans="1:8" x14ac:dyDescent="0.25">
      <c r="A1369" t="s">
        <v>2494</v>
      </c>
      <c r="B1369" t="s">
        <v>16</v>
      </c>
      <c r="C1369" t="s">
        <v>3194</v>
      </c>
      <c r="D1369" t="s">
        <v>3195</v>
      </c>
      <c r="E1369" t="s">
        <v>29</v>
      </c>
      <c r="F1369" t="s">
        <v>51</v>
      </c>
      <c r="G1369" t="s">
        <v>67</v>
      </c>
      <c r="H1369" t="s">
        <v>336</v>
      </c>
    </row>
    <row r="1370" spans="1:8" x14ac:dyDescent="0.25">
      <c r="A1370" t="s">
        <v>2494</v>
      </c>
      <c r="B1370" t="s">
        <v>16</v>
      </c>
      <c r="C1370" t="s">
        <v>3196</v>
      </c>
      <c r="D1370" t="s">
        <v>3197</v>
      </c>
      <c r="E1370" t="s">
        <v>12</v>
      </c>
      <c r="F1370" t="s">
        <v>30</v>
      </c>
      <c r="G1370" t="s">
        <v>14</v>
      </c>
      <c r="H1370" t="s">
        <v>2638</v>
      </c>
    </row>
    <row r="1371" spans="1:8" x14ac:dyDescent="0.25">
      <c r="A1371" t="s">
        <v>2494</v>
      </c>
      <c r="B1371" t="s">
        <v>91</v>
      </c>
      <c r="C1371" t="s">
        <v>3198</v>
      </c>
      <c r="D1371" t="s">
        <v>3199</v>
      </c>
      <c r="E1371" t="s">
        <v>29</v>
      </c>
      <c r="F1371" t="s">
        <v>30</v>
      </c>
      <c r="G1371" t="s">
        <v>14</v>
      </c>
      <c r="H1371" t="s">
        <v>3200</v>
      </c>
    </row>
    <row r="1372" spans="1:8" x14ac:dyDescent="0.25">
      <c r="A1372" t="s">
        <v>2494</v>
      </c>
      <c r="B1372" t="s">
        <v>113</v>
      </c>
      <c r="C1372" t="s">
        <v>3201</v>
      </c>
      <c r="D1372" t="s">
        <v>3202</v>
      </c>
      <c r="E1372" t="s">
        <v>12</v>
      </c>
      <c r="F1372" t="s">
        <v>30</v>
      </c>
      <c r="G1372" t="s">
        <v>14</v>
      </c>
      <c r="H1372" t="s">
        <v>3203</v>
      </c>
    </row>
    <row r="1373" spans="1:8" x14ac:dyDescent="0.25">
      <c r="A1373" t="s">
        <v>2494</v>
      </c>
      <c r="B1373" t="s">
        <v>26</v>
      </c>
      <c r="C1373" t="s">
        <v>3204</v>
      </c>
      <c r="D1373" t="s">
        <v>3205</v>
      </c>
      <c r="E1373" t="s">
        <v>12</v>
      </c>
      <c r="F1373" t="s">
        <v>30</v>
      </c>
      <c r="G1373" t="s">
        <v>14</v>
      </c>
      <c r="H1373" t="s">
        <v>3206</v>
      </c>
    </row>
    <row r="1374" spans="1:8" x14ac:dyDescent="0.25">
      <c r="A1374" t="s">
        <v>2494</v>
      </c>
      <c r="B1374" t="s">
        <v>42</v>
      </c>
      <c r="C1374" t="s">
        <v>3207</v>
      </c>
      <c r="D1374" t="s">
        <v>3208</v>
      </c>
      <c r="E1374" t="s">
        <v>60</v>
      </c>
      <c r="F1374" t="s">
        <v>71</v>
      </c>
      <c r="G1374" t="s">
        <v>14</v>
      </c>
      <c r="H1374" t="s">
        <v>576</v>
      </c>
    </row>
    <row r="1375" spans="1:8" x14ac:dyDescent="0.25">
      <c r="A1375" t="s">
        <v>2494</v>
      </c>
      <c r="B1375" t="s">
        <v>77</v>
      </c>
      <c r="C1375" t="s">
        <v>3209</v>
      </c>
      <c r="D1375" t="s">
        <v>3209</v>
      </c>
      <c r="E1375" t="s">
        <v>35</v>
      </c>
      <c r="F1375" t="s">
        <v>24</v>
      </c>
      <c r="G1375" t="s">
        <v>63</v>
      </c>
      <c r="H1375" t="s">
        <v>1505</v>
      </c>
    </row>
    <row r="1376" spans="1:8" x14ac:dyDescent="0.25">
      <c r="A1376" t="s">
        <v>2494</v>
      </c>
      <c r="B1376" t="s">
        <v>9</v>
      </c>
      <c r="C1376" t="s">
        <v>3210</v>
      </c>
      <c r="D1376" t="s">
        <v>3210</v>
      </c>
      <c r="E1376" t="s">
        <v>50</v>
      </c>
      <c r="F1376" t="s">
        <v>191</v>
      </c>
      <c r="G1376" t="s">
        <v>63</v>
      </c>
      <c r="H1376" t="s">
        <v>336</v>
      </c>
    </row>
    <row r="1377" spans="1:8" x14ac:dyDescent="0.25">
      <c r="A1377" t="s">
        <v>2494</v>
      </c>
      <c r="B1377" t="s">
        <v>9</v>
      </c>
      <c r="C1377" t="s">
        <v>3211</v>
      </c>
      <c r="D1377" t="s">
        <v>3212</v>
      </c>
      <c r="E1377" t="s">
        <v>67</v>
      </c>
      <c r="F1377" t="s">
        <v>19</v>
      </c>
      <c r="G1377" t="s">
        <v>67</v>
      </c>
      <c r="H1377" t="s">
        <v>455</v>
      </c>
    </row>
    <row r="1378" spans="1:8" x14ac:dyDescent="0.25">
      <c r="A1378" t="s">
        <v>2494</v>
      </c>
      <c r="B1378" t="s">
        <v>77</v>
      </c>
      <c r="C1378" t="s">
        <v>3213</v>
      </c>
      <c r="D1378" t="s">
        <v>3214</v>
      </c>
      <c r="E1378" t="s">
        <v>467</v>
      </c>
      <c r="F1378" t="s">
        <v>51</v>
      </c>
      <c r="G1378" t="s">
        <v>14</v>
      </c>
      <c r="H1378" t="s">
        <v>3215</v>
      </c>
    </row>
    <row r="1379" spans="1:8" x14ac:dyDescent="0.25">
      <c r="A1379" t="s">
        <v>2494</v>
      </c>
      <c r="B1379" t="s">
        <v>9</v>
      </c>
      <c r="C1379" t="s">
        <v>3216</v>
      </c>
      <c r="D1379" t="s">
        <v>3217</v>
      </c>
      <c r="E1379" t="s">
        <v>29</v>
      </c>
      <c r="F1379" t="s">
        <v>19</v>
      </c>
      <c r="G1379" t="s">
        <v>14</v>
      </c>
      <c r="H1379" t="s">
        <v>416</v>
      </c>
    </row>
    <row r="1380" spans="1:8" x14ac:dyDescent="0.25">
      <c r="A1380" t="s">
        <v>2494</v>
      </c>
      <c r="B1380" t="s">
        <v>91</v>
      </c>
      <c r="C1380" t="s">
        <v>3218</v>
      </c>
      <c r="D1380" t="s">
        <v>3219</v>
      </c>
      <c r="E1380" t="s">
        <v>12</v>
      </c>
      <c r="F1380" t="s">
        <v>30</v>
      </c>
      <c r="G1380" t="s">
        <v>14</v>
      </c>
      <c r="H1380" t="s">
        <v>3206</v>
      </c>
    </row>
    <row r="1381" spans="1:8" x14ac:dyDescent="0.25">
      <c r="A1381" t="s">
        <v>2494</v>
      </c>
      <c r="B1381" t="s">
        <v>37</v>
      </c>
      <c r="C1381" t="s">
        <v>3220</v>
      </c>
      <c r="D1381" t="s">
        <v>3221</v>
      </c>
      <c r="E1381" t="s">
        <v>23</v>
      </c>
      <c r="F1381" t="s">
        <v>30</v>
      </c>
      <c r="G1381" t="s">
        <v>14</v>
      </c>
      <c r="H1381" t="s">
        <v>3222</v>
      </c>
    </row>
    <row r="1382" spans="1:8" x14ac:dyDescent="0.25">
      <c r="A1382" t="s">
        <v>2494</v>
      </c>
      <c r="B1382" t="s">
        <v>16</v>
      </c>
      <c r="C1382" t="s">
        <v>3223</v>
      </c>
      <c r="D1382" t="s">
        <v>3224</v>
      </c>
      <c r="E1382" t="s">
        <v>328</v>
      </c>
      <c r="F1382" t="s">
        <v>51</v>
      </c>
      <c r="G1382" t="s">
        <v>14</v>
      </c>
      <c r="H1382" t="s">
        <v>3225</v>
      </c>
    </row>
    <row r="1383" spans="1:8" x14ac:dyDescent="0.25">
      <c r="A1383" t="s">
        <v>2494</v>
      </c>
      <c r="B1383" t="s">
        <v>37</v>
      </c>
      <c r="C1383" t="s">
        <v>3226</v>
      </c>
      <c r="D1383" t="s">
        <v>3227</v>
      </c>
      <c r="E1383" t="s">
        <v>23</v>
      </c>
      <c r="F1383" t="s">
        <v>24</v>
      </c>
      <c r="G1383" t="s">
        <v>14</v>
      </c>
      <c r="H1383" t="s">
        <v>3228</v>
      </c>
    </row>
    <row r="1384" spans="1:8" x14ac:dyDescent="0.25">
      <c r="A1384" t="s">
        <v>2494</v>
      </c>
      <c r="B1384" t="s">
        <v>123</v>
      </c>
      <c r="C1384" t="s">
        <v>3229</v>
      </c>
      <c r="D1384" t="s">
        <v>3230</v>
      </c>
      <c r="E1384" t="s">
        <v>172</v>
      </c>
      <c r="F1384" t="s">
        <v>30</v>
      </c>
      <c r="G1384" t="s">
        <v>14</v>
      </c>
      <c r="H1384" t="s">
        <v>339</v>
      </c>
    </row>
    <row r="1385" spans="1:8" x14ac:dyDescent="0.25">
      <c r="A1385" t="s">
        <v>2494</v>
      </c>
      <c r="B1385" t="s">
        <v>32</v>
      </c>
      <c r="C1385" t="s">
        <v>3231</v>
      </c>
      <c r="D1385" t="s">
        <v>3232</v>
      </c>
      <c r="E1385" t="s">
        <v>116</v>
      </c>
      <c r="F1385" t="s">
        <v>24</v>
      </c>
      <c r="G1385" t="s">
        <v>14</v>
      </c>
      <c r="H1385" t="s">
        <v>2164</v>
      </c>
    </row>
    <row r="1386" spans="1:8" x14ac:dyDescent="0.25">
      <c r="A1386" t="s">
        <v>2494</v>
      </c>
      <c r="B1386" t="s">
        <v>9</v>
      </c>
      <c r="C1386" t="s">
        <v>3233</v>
      </c>
      <c r="D1386" t="s">
        <v>3234</v>
      </c>
      <c r="E1386" t="s">
        <v>67</v>
      </c>
      <c r="F1386" t="s">
        <v>19</v>
      </c>
      <c r="G1386" t="s">
        <v>67</v>
      </c>
      <c r="H1386" t="s">
        <v>87</v>
      </c>
    </row>
    <row r="1387" spans="1:8" x14ac:dyDescent="0.25">
      <c r="A1387" t="s">
        <v>2494</v>
      </c>
      <c r="B1387" t="s">
        <v>16</v>
      </c>
      <c r="C1387" t="s">
        <v>3235</v>
      </c>
      <c r="D1387" t="s">
        <v>3236</v>
      </c>
      <c r="E1387" t="s">
        <v>116</v>
      </c>
      <c r="F1387" t="s">
        <v>30</v>
      </c>
      <c r="G1387" t="s">
        <v>14</v>
      </c>
      <c r="H1387" t="s">
        <v>1501</v>
      </c>
    </row>
    <row r="1388" spans="1:8" x14ac:dyDescent="0.25">
      <c r="A1388" t="s">
        <v>2494</v>
      </c>
      <c r="B1388" t="s">
        <v>42</v>
      </c>
      <c r="C1388" t="s">
        <v>3237</v>
      </c>
      <c r="D1388" t="s">
        <v>3238</v>
      </c>
      <c r="E1388" t="s">
        <v>35</v>
      </c>
      <c r="F1388" t="s">
        <v>24</v>
      </c>
      <c r="G1388" t="s">
        <v>14</v>
      </c>
      <c r="H1388" t="s">
        <v>1353</v>
      </c>
    </row>
    <row r="1389" spans="1:8" x14ac:dyDescent="0.25">
      <c r="A1389" t="s">
        <v>2494</v>
      </c>
      <c r="B1389" t="s">
        <v>91</v>
      </c>
      <c r="C1389" t="s">
        <v>3239</v>
      </c>
      <c r="D1389" t="s">
        <v>3240</v>
      </c>
      <c r="E1389" t="s">
        <v>29</v>
      </c>
      <c r="F1389" t="s">
        <v>24</v>
      </c>
      <c r="G1389" t="s">
        <v>14</v>
      </c>
      <c r="H1389" t="s">
        <v>228</v>
      </c>
    </row>
    <row r="1390" spans="1:8" x14ac:dyDescent="0.25">
      <c r="A1390" t="s">
        <v>2494</v>
      </c>
      <c r="B1390" t="s">
        <v>37</v>
      </c>
      <c r="C1390" t="s">
        <v>3241</v>
      </c>
      <c r="D1390" t="s">
        <v>3242</v>
      </c>
      <c r="E1390" t="s">
        <v>29</v>
      </c>
      <c r="F1390" t="s">
        <v>30</v>
      </c>
      <c r="G1390" t="s">
        <v>14</v>
      </c>
      <c r="H1390" t="s">
        <v>609</v>
      </c>
    </row>
    <row r="1391" spans="1:8" x14ac:dyDescent="0.25">
      <c r="A1391" t="s">
        <v>2494</v>
      </c>
      <c r="B1391" t="s">
        <v>100</v>
      </c>
      <c r="C1391" t="s">
        <v>3243</v>
      </c>
      <c r="D1391" t="s">
        <v>3244</v>
      </c>
      <c r="E1391" t="s">
        <v>29</v>
      </c>
      <c r="F1391" t="s">
        <v>24</v>
      </c>
      <c r="G1391" t="s">
        <v>14</v>
      </c>
      <c r="H1391" t="s">
        <v>462</v>
      </c>
    </row>
    <row r="1392" spans="1:8" x14ac:dyDescent="0.25">
      <c r="A1392" t="s">
        <v>2494</v>
      </c>
      <c r="B1392" t="s">
        <v>37</v>
      </c>
      <c r="C1392" t="s">
        <v>3245</v>
      </c>
      <c r="D1392" t="s">
        <v>3246</v>
      </c>
      <c r="E1392" t="s">
        <v>67</v>
      </c>
      <c r="F1392" t="s">
        <v>19</v>
      </c>
      <c r="G1392" t="s">
        <v>67</v>
      </c>
      <c r="H1392" t="s">
        <v>1222</v>
      </c>
    </row>
    <row r="1393" spans="1:8" x14ac:dyDescent="0.25">
      <c r="A1393" t="s">
        <v>2494</v>
      </c>
      <c r="B1393" t="s">
        <v>42</v>
      </c>
      <c r="C1393" t="s">
        <v>3247</v>
      </c>
      <c r="D1393" t="s">
        <v>3248</v>
      </c>
      <c r="E1393" t="s">
        <v>12</v>
      </c>
      <c r="F1393" t="s">
        <v>13</v>
      </c>
      <c r="G1393" t="s">
        <v>14</v>
      </c>
      <c r="H1393" t="s">
        <v>530</v>
      </c>
    </row>
    <row r="1394" spans="1:8" x14ac:dyDescent="0.25">
      <c r="A1394" t="s">
        <v>2494</v>
      </c>
      <c r="B1394" t="s">
        <v>37</v>
      </c>
      <c r="C1394" t="s">
        <v>3249</v>
      </c>
      <c r="D1394" t="s">
        <v>3250</v>
      </c>
      <c r="E1394" t="s">
        <v>12</v>
      </c>
      <c r="F1394" t="s">
        <v>13</v>
      </c>
      <c r="G1394" t="s">
        <v>14</v>
      </c>
      <c r="H1394" t="s">
        <v>828</v>
      </c>
    </row>
    <row r="1395" spans="1:8" x14ac:dyDescent="0.25">
      <c r="A1395" t="s">
        <v>2494</v>
      </c>
      <c r="B1395" t="s">
        <v>91</v>
      </c>
      <c r="C1395" t="s">
        <v>3251</v>
      </c>
      <c r="D1395" t="s">
        <v>3252</v>
      </c>
      <c r="E1395" t="s">
        <v>29</v>
      </c>
      <c r="F1395" t="s">
        <v>24</v>
      </c>
      <c r="G1395" t="s">
        <v>14</v>
      </c>
      <c r="H1395" t="s">
        <v>3253</v>
      </c>
    </row>
    <row r="1396" spans="1:8" x14ac:dyDescent="0.25">
      <c r="A1396" t="s">
        <v>2494</v>
      </c>
      <c r="B1396" t="s">
        <v>100</v>
      </c>
      <c r="C1396" t="s">
        <v>3254</v>
      </c>
      <c r="D1396" t="s">
        <v>3255</v>
      </c>
      <c r="E1396" t="s">
        <v>172</v>
      </c>
      <c r="F1396" t="s">
        <v>24</v>
      </c>
      <c r="G1396" t="s">
        <v>14</v>
      </c>
      <c r="H1396" t="s">
        <v>3179</v>
      </c>
    </row>
    <row r="1397" spans="1:8" x14ac:dyDescent="0.25">
      <c r="A1397" t="s">
        <v>2494</v>
      </c>
      <c r="B1397" t="s">
        <v>91</v>
      </c>
      <c r="C1397" t="s">
        <v>3256</v>
      </c>
      <c r="D1397" t="s">
        <v>3257</v>
      </c>
      <c r="E1397" t="s">
        <v>12</v>
      </c>
      <c r="F1397" t="s">
        <v>13</v>
      </c>
      <c r="G1397" t="s">
        <v>14</v>
      </c>
      <c r="H1397" t="s">
        <v>3258</v>
      </c>
    </row>
    <row r="1398" spans="1:8" x14ac:dyDescent="0.25">
      <c r="A1398" t="s">
        <v>2494</v>
      </c>
      <c r="B1398" t="s">
        <v>100</v>
      </c>
      <c r="C1398" t="s">
        <v>3259</v>
      </c>
      <c r="D1398" t="s">
        <v>3260</v>
      </c>
      <c r="E1398" t="s">
        <v>67</v>
      </c>
      <c r="F1398" t="s">
        <v>19</v>
      </c>
      <c r="G1398" t="s">
        <v>67</v>
      </c>
      <c r="H1398" t="s">
        <v>773</v>
      </c>
    </row>
    <row r="1399" spans="1:8" x14ac:dyDescent="0.25">
      <c r="A1399" t="s">
        <v>2494</v>
      </c>
      <c r="B1399" t="s">
        <v>123</v>
      </c>
      <c r="C1399" t="s">
        <v>3261</v>
      </c>
      <c r="D1399" t="s">
        <v>3262</v>
      </c>
      <c r="E1399" t="s">
        <v>12</v>
      </c>
      <c r="F1399" t="s">
        <v>30</v>
      </c>
      <c r="G1399" t="s">
        <v>14</v>
      </c>
      <c r="H1399" t="s">
        <v>865</v>
      </c>
    </row>
    <row r="1400" spans="1:8" x14ac:dyDescent="0.25">
      <c r="A1400" t="s">
        <v>2494</v>
      </c>
      <c r="B1400" t="s">
        <v>91</v>
      </c>
      <c r="C1400" t="s">
        <v>3263</v>
      </c>
      <c r="D1400" t="s">
        <v>3264</v>
      </c>
      <c r="E1400" t="s">
        <v>116</v>
      </c>
      <c r="F1400" t="s">
        <v>30</v>
      </c>
      <c r="G1400" t="s">
        <v>14</v>
      </c>
      <c r="H1400" t="s">
        <v>872</v>
      </c>
    </row>
    <row r="1401" spans="1:8" x14ac:dyDescent="0.25">
      <c r="A1401" t="s">
        <v>2494</v>
      </c>
      <c r="B1401" t="s">
        <v>100</v>
      </c>
      <c r="C1401" t="s">
        <v>3265</v>
      </c>
      <c r="D1401" t="s">
        <v>3266</v>
      </c>
      <c r="E1401" t="s">
        <v>12</v>
      </c>
      <c r="F1401" t="s">
        <v>13</v>
      </c>
      <c r="G1401" t="s">
        <v>14</v>
      </c>
      <c r="H1401" t="s">
        <v>682</v>
      </c>
    </row>
    <row r="1402" spans="1:8" x14ac:dyDescent="0.25">
      <c r="A1402" t="s">
        <v>2494</v>
      </c>
      <c r="B1402" t="s">
        <v>77</v>
      </c>
      <c r="C1402" t="s">
        <v>3267</v>
      </c>
      <c r="D1402" t="s">
        <v>3268</v>
      </c>
      <c r="E1402" t="s">
        <v>29</v>
      </c>
      <c r="F1402" t="s">
        <v>30</v>
      </c>
      <c r="G1402" t="s">
        <v>14</v>
      </c>
      <c r="H1402" t="s">
        <v>355</v>
      </c>
    </row>
    <row r="1403" spans="1:8" x14ac:dyDescent="0.25">
      <c r="A1403" t="s">
        <v>2494</v>
      </c>
      <c r="B1403" t="s">
        <v>16</v>
      </c>
      <c r="C1403" t="s">
        <v>3269</v>
      </c>
      <c r="D1403" t="s">
        <v>3270</v>
      </c>
      <c r="E1403" t="s">
        <v>29</v>
      </c>
      <c r="F1403" t="s">
        <v>24</v>
      </c>
      <c r="G1403" t="s">
        <v>14</v>
      </c>
      <c r="H1403" t="s">
        <v>872</v>
      </c>
    </row>
    <row r="1404" spans="1:8" x14ac:dyDescent="0.25">
      <c r="A1404" t="s">
        <v>2494</v>
      </c>
      <c r="B1404" t="s">
        <v>9</v>
      </c>
      <c r="C1404" t="s">
        <v>3271</v>
      </c>
      <c r="D1404" t="s">
        <v>3271</v>
      </c>
      <c r="E1404" t="s">
        <v>35</v>
      </c>
      <c r="F1404" t="s">
        <v>24</v>
      </c>
      <c r="G1404" t="s">
        <v>63</v>
      </c>
      <c r="H1404" t="s">
        <v>333</v>
      </c>
    </row>
    <row r="1405" spans="1:8" x14ac:dyDescent="0.25">
      <c r="A1405" t="s">
        <v>2494</v>
      </c>
      <c r="B1405" t="s">
        <v>26</v>
      </c>
      <c r="C1405" t="s">
        <v>3272</v>
      </c>
      <c r="D1405" t="s">
        <v>3273</v>
      </c>
      <c r="E1405" t="s">
        <v>67</v>
      </c>
      <c r="F1405" t="s">
        <v>24</v>
      </c>
      <c r="G1405" t="s">
        <v>67</v>
      </c>
      <c r="H1405" t="s">
        <v>3274</v>
      </c>
    </row>
    <row r="1406" spans="1:8" x14ac:dyDescent="0.25">
      <c r="A1406" t="s">
        <v>2494</v>
      </c>
      <c r="B1406" t="s">
        <v>73</v>
      </c>
      <c r="C1406" t="s">
        <v>3275</v>
      </c>
      <c r="D1406" t="s">
        <v>3276</v>
      </c>
      <c r="E1406" t="s">
        <v>467</v>
      </c>
      <c r="F1406" t="s">
        <v>51</v>
      </c>
      <c r="G1406" t="s">
        <v>14</v>
      </c>
      <c r="H1406" t="s">
        <v>3277</v>
      </c>
    </row>
    <row r="1407" spans="1:8" x14ac:dyDescent="0.25">
      <c r="A1407" t="s">
        <v>2494</v>
      </c>
      <c r="B1407" t="s">
        <v>100</v>
      </c>
      <c r="C1407" t="s">
        <v>3278</v>
      </c>
      <c r="D1407" t="s">
        <v>3279</v>
      </c>
      <c r="E1407" t="s">
        <v>35</v>
      </c>
      <c r="F1407" t="s">
        <v>30</v>
      </c>
      <c r="G1407" t="s">
        <v>14</v>
      </c>
      <c r="H1407" t="s">
        <v>473</v>
      </c>
    </row>
    <row r="1408" spans="1:8" x14ac:dyDescent="0.25">
      <c r="A1408" t="s">
        <v>2494</v>
      </c>
      <c r="B1408" t="s">
        <v>91</v>
      </c>
      <c r="C1408" t="s">
        <v>3280</v>
      </c>
      <c r="D1408" t="s">
        <v>3281</v>
      </c>
      <c r="E1408" t="s">
        <v>172</v>
      </c>
      <c r="F1408" t="s">
        <v>30</v>
      </c>
      <c r="G1408" t="s">
        <v>14</v>
      </c>
      <c r="H1408" t="s">
        <v>46</v>
      </c>
    </row>
    <row r="1409" spans="1:8" x14ac:dyDescent="0.25">
      <c r="A1409" t="s">
        <v>2494</v>
      </c>
      <c r="B1409" t="s">
        <v>37</v>
      </c>
      <c r="C1409" t="s">
        <v>3282</v>
      </c>
      <c r="D1409" t="s">
        <v>3283</v>
      </c>
      <c r="E1409" t="s">
        <v>40</v>
      </c>
      <c r="F1409" t="s">
        <v>51</v>
      </c>
      <c r="G1409" t="s">
        <v>14</v>
      </c>
      <c r="H1409" t="s">
        <v>155</v>
      </c>
    </row>
    <row r="1410" spans="1:8" x14ac:dyDescent="0.25">
      <c r="A1410" t="s">
        <v>2494</v>
      </c>
      <c r="B1410" t="s">
        <v>42</v>
      </c>
      <c r="C1410" t="s">
        <v>3284</v>
      </c>
      <c r="D1410" t="s">
        <v>3285</v>
      </c>
      <c r="E1410" t="s">
        <v>67</v>
      </c>
      <c r="F1410" t="s">
        <v>30</v>
      </c>
      <c r="G1410" t="s">
        <v>67</v>
      </c>
      <c r="H1410" t="s">
        <v>1590</v>
      </c>
    </row>
    <row r="1411" spans="1:8" x14ac:dyDescent="0.25">
      <c r="A1411" t="s">
        <v>2494</v>
      </c>
      <c r="B1411" t="s">
        <v>100</v>
      </c>
      <c r="C1411" t="s">
        <v>3286</v>
      </c>
      <c r="D1411" t="s">
        <v>3287</v>
      </c>
      <c r="E1411" t="s">
        <v>67</v>
      </c>
      <c r="F1411" t="s">
        <v>30</v>
      </c>
      <c r="G1411" t="s">
        <v>67</v>
      </c>
      <c r="H1411" t="s">
        <v>3288</v>
      </c>
    </row>
    <row r="1412" spans="1:8" x14ac:dyDescent="0.25">
      <c r="A1412" t="s">
        <v>2494</v>
      </c>
      <c r="B1412" t="s">
        <v>42</v>
      </c>
      <c r="C1412" t="s">
        <v>3289</v>
      </c>
      <c r="D1412" t="s">
        <v>3290</v>
      </c>
      <c r="E1412" t="s">
        <v>67</v>
      </c>
      <c r="F1412" t="s">
        <v>19</v>
      </c>
      <c r="G1412" t="s">
        <v>67</v>
      </c>
      <c r="H1412" t="s">
        <v>72</v>
      </c>
    </row>
    <row r="1413" spans="1:8" x14ac:dyDescent="0.25">
      <c r="A1413" t="s">
        <v>2494</v>
      </c>
      <c r="B1413" t="s">
        <v>77</v>
      </c>
      <c r="C1413" t="s">
        <v>3291</v>
      </c>
      <c r="D1413" t="s">
        <v>3292</v>
      </c>
      <c r="E1413" t="s">
        <v>67</v>
      </c>
      <c r="F1413" t="s">
        <v>19</v>
      </c>
      <c r="G1413" t="s">
        <v>67</v>
      </c>
      <c r="H1413" t="s">
        <v>355</v>
      </c>
    </row>
    <row r="1414" spans="1:8" x14ac:dyDescent="0.25">
      <c r="A1414" t="s">
        <v>2494</v>
      </c>
      <c r="B1414" t="s">
        <v>73</v>
      </c>
      <c r="C1414" t="s">
        <v>3293</v>
      </c>
      <c r="D1414" t="s">
        <v>3294</v>
      </c>
      <c r="E1414" t="s">
        <v>635</v>
      </c>
      <c r="F1414" t="s">
        <v>51</v>
      </c>
      <c r="G1414" t="s">
        <v>14</v>
      </c>
      <c r="H1414" t="s">
        <v>3295</v>
      </c>
    </row>
    <row r="1415" spans="1:8" x14ac:dyDescent="0.25">
      <c r="A1415" t="s">
        <v>2494</v>
      </c>
      <c r="B1415" t="s">
        <v>42</v>
      </c>
      <c r="C1415" t="s">
        <v>3296</v>
      </c>
      <c r="D1415" t="s">
        <v>3297</v>
      </c>
      <c r="E1415" t="s">
        <v>12</v>
      </c>
      <c r="F1415" t="s">
        <v>13</v>
      </c>
      <c r="G1415" t="s">
        <v>14</v>
      </c>
      <c r="H1415" t="s">
        <v>1690</v>
      </c>
    </row>
    <row r="1416" spans="1:8" x14ac:dyDescent="0.25">
      <c r="A1416" t="s">
        <v>2494</v>
      </c>
      <c r="B1416" t="s">
        <v>42</v>
      </c>
      <c r="C1416" t="s">
        <v>3298</v>
      </c>
      <c r="D1416" t="s">
        <v>3299</v>
      </c>
      <c r="E1416" t="s">
        <v>67</v>
      </c>
      <c r="F1416" t="s">
        <v>19</v>
      </c>
      <c r="G1416" t="s">
        <v>67</v>
      </c>
      <c r="H1416" t="s">
        <v>3179</v>
      </c>
    </row>
    <row r="1417" spans="1:8" x14ac:dyDescent="0.25">
      <c r="A1417" t="s">
        <v>2494</v>
      </c>
      <c r="B1417" t="s">
        <v>16</v>
      </c>
      <c r="C1417" t="s">
        <v>3300</v>
      </c>
      <c r="D1417" t="s">
        <v>3301</v>
      </c>
      <c r="E1417" t="s">
        <v>67</v>
      </c>
      <c r="F1417" t="s">
        <v>24</v>
      </c>
      <c r="G1417" t="s">
        <v>67</v>
      </c>
      <c r="H1417" t="s">
        <v>90</v>
      </c>
    </row>
    <row r="1418" spans="1:8" x14ac:dyDescent="0.25">
      <c r="A1418" t="s">
        <v>2494</v>
      </c>
      <c r="B1418" t="s">
        <v>91</v>
      </c>
      <c r="C1418" t="s">
        <v>3302</v>
      </c>
      <c r="D1418" t="s">
        <v>3303</v>
      </c>
      <c r="E1418" t="s">
        <v>172</v>
      </c>
      <c r="F1418" t="s">
        <v>30</v>
      </c>
      <c r="G1418" t="s">
        <v>14</v>
      </c>
      <c r="H1418" t="s">
        <v>429</v>
      </c>
    </row>
    <row r="1419" spans="1:8" x14ac:dyDescent="0.25">
      <c r="A1419" t="s">
        <v>2494</v>
      </c>
      <c r="B1419" t="s">
        <v>37</v>
      </c>
      <c r="C1419" t="s">
        <v>3304</v>
      </c>
      <c r="D1419" t="s">
        <v>3305</v>
      </c>
      <c r="E1419" t="s">
        <v>67</v>
      </c>
      <c r="F1419" t="s">
        <v>24</v>
      </c>
      <c r="G1419" t="s">
        <v>67</v>
      </c>
      <c r="H1419" t="s">
        <v>1477</v>
      </c>
    </row>
    <row r="1420" spans="1:8" x14ac:dyDescent="0.25">
      <c r="A1420" t="s">
        <v>2494</v>
      </c>
      <c r="B1420" t="s">
        <v>77</v>
      </c>
      <c r="C1420" t="s">
        <v>3306</v>
      </c>
      <c r="D1420" t="s">
        <v>3307</v>
      </c>
      <c r="E1420" t="s">
        <v>67</v>
      </c>
      <c r="F1420" t="s">
        <v>24</v>
      </c>
      <c r="G1420" t="s">
        <v>67</v>
      </c>
      <c r="H1420" t="s">
        <v>3274</v>
      </c>
    </row>
    <row r="1421" spans="1:8" x14ac:dyDescent="0.25">
      <c r="A1421" t="s">
        <v>2494</v>
      </c>
      <c r="B1421" t="s">
        <v>37</v>
      </c>
      <c r="C1421" t="s">
        <v>3308</v>
      </c>
      <c r="D1421" t="s">
        <v>3309</v>
      </c>
      <c r="E1421" t="s">
        <v>67</v>
      </c>
      <c r="F1421" t="s">
        <v>24</v>
      </c>
      <c r="G1421" t="s">
        <v>67</v>
      </c>
      <c r="H1421" t="s">
        <v>1986</v>
      </c>
    </row>
    <row r="1422" spans="1:8" x14ac:dyDescent="0.25">
      <c r="A1422" t="s">
        <v>2494</v>
      </c>
      <c r="B1422" t="s">
        <v>113</v>
      </c>
      <c r="C1422" t="s">
        <v>3310</v>
      </c>
      <c r="D1422" t="s">
        <v>3311</v>
      </c>
      <c r="E1422" t="s">
        <v>12</v>
      </c>
      <c r="F1422" t="s">
        <v>13</v>
      </c>
      <c r="G1422" t="s">
        <v>14</v>
      </c>
      <c r="H1422" t="s">
        <v>999</v>
      </c>
    </row>
    <row r="1423" spans="1:8" x14ac:dyDescent="0.25">
      <c r="A1423" t="s">
        <v>2494</v>
      </c>
      <c r="B1423" t="s">
        <v>100</v>
      </c>
      <c r="C1423" t="s">
        <v>3312</v>
      </c>
      <c r="D1423" t="s">
        <v>3313</v>
      </c>
      <c r="E1423" t="s">
        <v>35</v>
      </c>
      <c r="F1423" t="s">
        <v>24</v>
      </c>
      <c r="G1423" t="s">
        <v>14</v>
      </c>
      <c r="H1423" t="s">
        <v>122</v>
      </c>
    </row>
    <row r="1424" spans="1:8" x14ac:dyDescent="0.25">
      <c r="A1424" t="s">
        <v>2494</v>
      </c>
      <c r="B1424" t="s">
        <v>32</v>
      </c>
      <c r="C1424" t="s">
        <v>3314</v>
      </c>
      <c r="D1424" t="s">
        <v>3315</v>
      </c>
      <c r="E1424" t="s">
        <v>67</v>
      </c>
      <c r="F1424" t="s">
        <v>24</v>
      </c>
      <c r="G1424" t="s">
        <v>67</v>
      </c>
      <c r="H1424" t="s">
        <v>1670</v>
      </c>
    </row>
    <row r="1425" spans="1:8" x14ac:dyDescent="0.25">
      <c r="A1425" t="s">
        <v>2494</v>
      </c>
      <c r="B1425" t="s">
        <v>26</v>
      </c>
      <c r="C1425" t="s">
        <v>3316</v>
      </c>
      <c r="D1425" t="s">
        <v>3317</v>
      </c>
      <c r="E1425" t="s">
        <v>67</v>
      </c>
      <c r="F1425" t="s">
        <v>24</v>
      </c>
      <c r="G1425" t="s">
        <v>67</v>
      </c>
      <c r="H1425" t="s">
        <v>1590</v>
      </c>
    </row>
    <row r="1426" spans="1:8" x14ac:dyDescent="0.25">
      <c r="A1426" t="s">
        <v>2494</v>
      </c>
      <c r="B1426" t="s">
        <v>26</v>
      </c>
      <c r="C1426" t="s">
        <v>3318</v>
      </c>
      <c r="D1426" t="s">
        <v>3319</v>
      </c>
      <c r="E1426" t="s">
        <v>29</v>
      </c>
      <c r="F1426" t="s">
        <v>24</v>
      </c>
      <c r="G1426" t="s">
        <v>14</v>
      </c>
      <c r="H1426" t="s">
        <v>378</v>
      </c>
    </row>
    <row r="1427" spans="1:8" x14ac:dyDescent="0.25">
      <c r="A1427" t="s">
        <v>2494</v>
      </c>
      <c r="B1427" t="s">
        <v>113</v>
      </c>
      <c r="C1427" t="s">
        <v>3320</v>
      </c>
      <c r="D1427" t="s">
        <v>3321</v>
      </c>
      <c r="E1427" t="s">
        <v>35</v>
      </c>
      <c r="F1427" t="s">
        <v>30</v>
      </c>
      <c r="G1427" t="s">
        <v>14</v>
      </c>
      <c r="H1427" t="s">
        <v>1997</v>
      </c>
    </row>
    <row r="1428" spans="1:8" x14ac:dyDescent="0.25">
      <c r="A1428" t="s">
        <v>2494</v>
      </c>
      <c r="B1428" t="s">
        <v>42</v>
      </c>
      <c r="C1428" t="s">
        <v>3322</v>
      </c>
      <c r="D1428" t="s">
        <v>3323</v>
      </c>
      <c r="E1428" t="s">
        <v>67</v>
      </c>
      <c r="F1428" t="s">
        <v>24</v>
      </c>
      <c r="G1428" t="s">
        <v>67</v>
      </c>
      <c r="H1428" t="s">
        <v>2966</v>
      </c>
    </row>
    <row r="1429" spans="1:8" x14ac:dyDescent="0.25">
      <c r="A1429" t="s">
        <v>2494</v>
      </c>
      <c r="B1429" t="s">
        <v>9</v>
      </c>
      <c r="C1429" t="s">
        <v>3324</v>
      </c>
      <c r="D1429" t="s">
        <v>3325</v>
      </c>
      <c r="E1429" t="s">
        <v>29</v>
      </c>
      <c r="F1429" t="s">
        <v>24</v>
      </c>
      <c r="G1429" t="s">
        <v>14</v>
      </c>
      <c r="H1429" t="s">
        <v>205</v>
      </c>
    </row>
    <row r="1430" spans="1:8" x14ac:dyDescent="0.25">
      <c r="A1430" t="s">
        <v>2494</v>
      </c>
      <c r="B1430" t="s">
        <v>37</v>
      </c>
      <c r="C1430" t="s">
        <v>3326</v>
      </c>
      <c r="D1430" t="s">
        <v>3327</v>
      </c>
      <c r="E1430" t="s">
        <v>67</v>
      </c>
      <c r="F1430" t="s">
        <v>24</v>
      </c>
      <c r="G1430" t="s">
        <v>67</v>
      </c>
      <c r="H1430" t="s">
        <v>674</v>
      </c>
    </row>
    <row r="1431" spans="1:8" x14ac:dyDescent="0.25">
      <c r="A1431" t="s">
        <v>2494</v>
      </c>
      <c r="B1431" t="s">
        <v>42</v>
      </c>
      <c r="C1431" t="s">
        <v>3328</v>
      </c>
      <c r="D1431" t="s">
        <v>3329</v>
      </c>
      <c r="E1431" t="s">
        <v>172</v>
      </c>
      <c r="F1431" t="s">
        <v>30</v>
      </c>
      <c r="G1431" t="s">
        <v>14</v>
      </c>
      <c r="H1431" t="s">
        <v>968</v>
      </c>
    </row>
    <row r="1432" spans="1:8" x14ac:dyDescent="0.25">
      <c r="A1432" t="s">
        <v>2494</v>
      </c>
      <c r="B1432" t="s">
        <v>42</v>
      </c>
      <c r="C1432" t="s">
        <v>3330</v>
      </c>
      <c r="D1432" t="s">
        <v>3331</v>
      </c>
      <c r="E1432" t="s">
        <v>67</v>
      </c>
      <c r="F1432" t="s">
        <v>24</v>
      </c>
      <c r="G1432" t="s">
        <v>67</v>
      </c>
      <c r="H1432" t="s">
        <v>336</v>
      </c>
    </row>
    <row r="1433" spans="1:8" x14ac:dyDescent="0.25">
      <c r="A1433" t="s">
        <v>2494</v>
      </c>
      <c r="B1433" t="s">
        <v>42</v>
      </c>
      <c r="C1433" t="s">
        <v>3332</v>
      </c>
      <c r="D1433" t="s">
        <v>3333</v>
      </c>
      <c r="E1433" t="s">
        <v>67</v>
      </c>
      <c r="F1433" t="s">
        <v>24</v>
      </c>
      <c r="G1433" t="s">
        <v>67</v>
      </c>
      <c r="H1433" t="s">
        <v>2784</v>
      </c>
    </row>
    <row r="1434" spans="1:8" x14ac:dyDescent="0.25">
      <c r="A1434" t="s">
        <v>2494</v>
      </c>
      <c r="B1434" t="s">
        <v>91</v>
      </c>
      <c r="C1434" t="s">
        <v>3334</v>
      </c>
      <c r="D1434" t="s">
        <v>3335</v>
      </c>
      <c r="E1434" t="s">
        <v>29</v>
      </c>
      <c r="F1434" t="s">
        <v>30</v>
      </c>
      <c r="G1434" t="s">
        <v>14</v>
      </c>
      <c r="H1434" t="s">
        <v>2074</v>
      </c>
    </row>
    <row r="1435" spans="1:8" x14ac:dyDescent="0.25">
      <c r="A1435" t="s">
        <v>2494</v>
      </c>
      <c r="B1435" t="s">
        <v>37</v>
      </c>
      <c r="C1435" t="s">
        <v>3336</v>
      </c>
      <c r="D1435" t="s">
        <v>3337</v>
      </c>
      <c r="E1435" t="s">
        <v>67</v>
      </c>
      <c r="F1435" t="s">
        <v>24</v>
      </c>
      <c r="G1435" t="s">
        <v>67</v>
      </c>
      <c r="H1435" t="s">
        <v>587</v>
      </c>
    </row>
    <row r="1436" spans="1:8" x14ac:dyDescent="0.25">
      <c r="A1436" t="s">
        <v>2494</v>
      </c>
      <c r="B1436" t="s">
        <v>91</v>
      </c>
      <c r="C1436" t="s">
        <v>3338</v>
      </c>
      <c r="D1436" t="s">
        <v>3339</v>
      </c>
      <c r="E1436" t="s">
        <v>29</v>
      </c>
      <c r="F1436" t="s">
        <v>51</v>
      </c>
      <c r="G1436" t="s">
        <v>67</v>
      </c>
      <c r="H1436" t="s">
        <v>3340</v>
      </c>
    </row>
    <row r="1437" spans="1:8" x14ac:dyDescent="0.25">
      <c r="A1437" t="s">
        <v>2494</v>
      </c>
      <c r="B1437" t="s">
        <v>42</v>
      </c>
      <c r="C1437" t="s">
        <v>3341</v>
      </c>
      <c r="D1437" t="s">
        <v>3342</v>
      </c>
      <c r="E1437" t="s">
        <v>67</v>
      </c>
      <c r="F1437" t="s">
        <v>24</v>
      </c>
      <c r="G1437" t="s">
        <v>67</v>
      </c>
      <c r="H1437" t="s">
        <v>937</v>
      </c>
    </row>
    <row r="1438" spans="1:8" x14ac:dyDescent="0.25">
      <c r="A1438" t="s">
        <v>2494</v>
      </c>
      <c r="B1438" t="s">
        <v>9</v>
      </c>
      <c r="C1438" t="s">
        <v>3343</v>
      </c>
      <c r="D1438" t="s">
        <v>3344</v>
      </c>
      <c r="E1438" t="s">
        <v>172</v>
      </c>
      <c r="F1438" t="s">
        <v>30</v>
      </c>
      <c r="G1438" t="s">
        <v>14</v>
      </c>
      <c r="H1438" t="s">
        <v>264</v>
      </c>
    </row>
    <row r="1439" spans="1:8" x14ac:dyDescent="0.25">
      <c r="A1439" t="s">
        <v>2494</v>
      </c>
      <c r="B1439" t="s">
        <v>91</v>
      </c>
      <c r="C1439" t="s">
        <v>3345</v>
      </c>
      <c r="D1439" t="s">
        <v>3346</v>
      </c>
      <c r="E1439" t="s">
        <v>29</v>
      </c>
      <c r="F1439" t="s">
        <v>30</v>
      </c>
      <c r="G1439" t="s">
        <v>14</v>
      </c>
      <c r="H1439" t="s">
        <v>903</v>
      </c>
    </row>
    <row r="1440" spans="1:8" x14ac:dyDescent="0.25">
      <c r="A1440" t="s">
        <v>2494</v>
      </c>
      <c r="B1440" t="s">
        <v>73</v>
      </c>
      <c r="C1440" t="s">
        <v>3347</v>
      </c>
      <c r="D1440" t="s">
        <v>3348</v>
      </c>
      <c r="E1440" t="s">
        <v>29</v>
      </c>
      <c r="F1440" t="s">
        <v>24</v>
      </c>
      <c r="G1440" t="s">
        <v>14</v>
      </c>
      <c r="H1440" t="s">
        <v>903</v>
      </c>
    </row>
    <row r="1441" spans="1:8" x14ac:dyDescent="0.25">
      <c r="A1441" t="s">
        <v>2494</v>
      </c>
      <c r="B1441" t="s">
        <v>77</v>
      </c>
      <c r="C1441" t="s">
        <v>3349</v>
      </c>
      <c r="D1441" t="s">
        <v>3350</v>
      </c>
      <c r="E1441" t="s">
        <v>29</v>
      </c>
      <c r="F1441" t="s">
        <v>51</v>
      </c>
      <c r="G1441" t="s">
        <v>67</v>
      </c>
      <c r="H1441" t="s">
        <v>122</v>
      </c>
    </row>
    <row r="1442" spans="1:8" x14ac:dyDescent="0.25">
      <c r="A1442" t="s">
        <v>2494</v>
      </c>
      <c r="B1442" t="s">
        <v>113</v>
      </c>
      <c r="C1442" t="s">
        <v>3351</v>
      </c>
      <c r="D1442" t="s">
        <v>3352</v>
      </c>
      <c r="E1442" t="s">
        <v>29</v>
      </c>
      <c r="F1442" t="s">
        <v>51</v>
      </c>
      <c r="G1442" t="s">
        <v>67</v>
      </c>
      <c r="H1442" t="s">
        <v>68</v>
      </c>
    </row>
    <row r="1443" spans="1:8" x14ac:dyDescent="0.25">
      <c r="A1443" t="s">
        <v>2494</v>
      </c>
      <c r="B1443" t="s">
        <v>16</v>
      </c>
      <c r="C1443" t="s">
        <v>3353</v>
      </c>
      <c r="D1443" t="s">
        <v>3354</v>
      </c>
      <c r="E1443" t="s">
        <v>172</v>
      </c>
      <c r="F1443" t="s">
        <v>30</v>
      </c>
      <c r="G1443" t="s">
        <v>14</v>
      </c>
      <c r="H1443" t="s">
        <v>322</v>
      </c>
    </row>
    <row r="1444" spans="1:8" x14ac:dyDescent="0.25">
      <c r="A1444" t="s">
        <v>2494</v>
      </c>
      <c r="B1444" t="s">
        <v>26</v>
      </c>
      <c r="C1444" t="s">
        <v>3355</v>
      </c>
      <c r="D1444" t="s">
        <v>3356</v>
      </c>
      <c r="E1444" t="s">
        <v>29</v>
      </c>
      <c r="F1444" t="s">
        <v>51</v>
      </c>
      <c r="G1444" t="s">
        <v>67</v>
      </c>
      <c r="H1444" t="s">
        <v>1147</v>
      </c>
    </row>
    <row r="1445" spans="1:8" x14ac:dyDescent="0.25">
      <c r="A1445" t="s">
        <v>2494</v>
      </c>
      <c r="B1445" t="s">
        <v>9</v>
      </c>
      <c r="C1445" t="s">
        <v>3357</v>
      </c>
      <c r="D1445" t="s">
        <v>3358</v>
      </c>
      <c r="E1445" t="s">
        <v>29</v>
      </c>
      <c r="F1445" t="s">
        <v>51</v>
      </c>
      <c r="G1445" t="s">
        <v>67</v>
      </c>
      <c r="H1445" t="s">
        <v>455</v>
      </c>
    </row>
    <row r="1446" spans="1:8" x14ac:dyDescent="0.25">
      <c r="A1446" t="s">
        <v>2494</v>
      </c>
      <c r="B1446" t="s">
        <v>91</v>
      </c>
      <c r="C1446" t="s">
        <v>3359</v>
      </c>
      <c r="D1446" t="s">
        <v>3360</v>
      </c>
      <c r="E1446" t="s">
        <v>29</v>
      </c>
      <c r="F1446" t="s">
        <v>30</v>
      </c>
      <c r="G1446" t="s">
        <v>14</v>
      </c>
      <c r="H1446" t="s">
        <v>587</v>
      </c>
    </row>
    <row r="1447" spans="1:8" x14ac:dyDescent="0.25">
      <c r="A1447" t="s">
        <v>2494</v>
      </c>
      <c r="B1447" t="s">
        <v>91</v>
      </c>
      <c r="C1447" t="s">
        <v>3361</v>
      </c>
      <c r="D1447" t="s">
        <v>3362</v>
      </c>
      <c r="E1447" t="s">
        <v>29</v>
      </c>
      <c r="F1447" t="s">
        <v>24</v>
      </c>
      <c r="G1447" t="s">
        <v>14</v>
      </c>
      <c r="H1447" t="s">
        <v>2957</v>
      </c>
    </row>
    <row r="1448" spans="1:8" x14ac:dyDescent="0.25">
      <c r="A1448" t="s">
        <v>2494</v>
      </c>
      <c r="B1448" t="s">
        <v>77</v>
      </c>
      <c r="C1448" t="s">
        <v>3363</v>
      </c>
      <c r="D1448" t="s">
        <v>3364</v>
      </c>
      <c r="E1448" t="s">
        <v>29</v>
      </c>
      <c r="F1448" t="s">
        <v>51</v>
      </c>
      <c r="G1448" t="s">
        <v>67</v>
      </c>
      <c r="H1448" t="s">
        <v>408</v>
      </c>
    </row>
    <row r="1449" spans="1:8" x14ac:dyDescent="0.25">
      <c r="A1449" t="s">
        <v>2494</v>
      </c>
      <c r="B1449" t="s">
        <v>37</v>
      </c>
      <c r="C1449" t="s">
        <v>3365</v>
      </c>
      <c r="D1449" t="s">
        <v>3366</v>
      </c>
      <c r="E1449" t="s">
        <v>29</v>
      </c>
      <c r="F1449" t="s">
        <v>51</v>
      </c>
      <c r="G1449" t="s">
        <v>67</v>
      </c>
      <c r="H1449" t="s">
        <v>761</v>
      </c>
    </row>
    <row r="1450" spans="1:8" x14ac:dyDescent="0.25">
      <c r="A1450" t="s">
        <v>2494</v>
      </c>
      <c r="B1450" t="s">
        <v>9</v>
      </c>
      <c r="C1450" t="s">
        <v>3367</v>
      </c>
      <c r="D1450" t="s">
        <v>3368</v>
      </c>
      <c r="E1450" t="s">
        <v>116</v>
      </c>
      <c r="F1450" t="s">
        <v>24</v>
      </c>
      <c r="G1450" t="s">
        <v>14</v>
      </c>
      <c r="H1450" t="s">
        <v>122</v>
      </c>
    </row>
    <row r="1451" spans="1:8" x14ac:dyDescent="0.25">
      <c r="A1451" t="s">
        <v>2494</v>
      </c>
      <c r="B1451" t="s">
        <v>100</v>
      </c>
      <c r="C1451" t="s">
        <v>3369</v>
      </c>
      <c r="D1451" t="s">
        <v>3370</v>
      </c>
      <c r="E1451" t="s">
        <v>29</v>
      </c>
      <c r="F1451" t="s">
        <v>51</v>
      </c>
      <c r="G1451" t="s">
        <v>67</v>
      </c>
      <c r="H1451" t="s">
        <v>570</v>
      </c>
    </row>
    <row r="1452" spans="1:8" x14ac:dyDescent="0.25">
      <c r="A1452" t="s">
        <v>2494</v>
      </c>
      <c r="B1452" t="s">
        <v>26</v>
      </c>
      <c r="C1452" t="s">
        <v>3371</v>
      </c>
      <c r="D1452" t="s">
        <v>3372</v>
      </c>
      <c r="E1452" t="s">
        <v>29</v>
      </c>
      <c r="F1452" t="s">
        <v>51</v>
      </c>
      <c r="G1452" t="s">
        <v>67</v>
      </c>
      <c r="H1452" t="s">
        <v>1242</v>
      </c>
    </row>
    <row r="1453" spans="1:8" x14ac:dyDescent="0.25">
      <c r="A1453" t="s">
        <v>2494</v>
      </c>
      <c r="B1453" t="s">
        <v>37</v>
      </c>
      <c r="C1453" t="s">
        <v>3373</v>
      </c>
      <c r="D1453" t="s">
        <v>3374</v>
      </c>
      <c r="E1453" t="s">
        <v>23</v>
      </c>
      <c r="F1453" t="s">
        <v>24</v>
      </c>
      <c r="G1453" t="s">
        <v>14</v>
      </c>
      <c r="H1453" t="s">
        <v>1097</v>
      </c>
    </row>
    <row r="1454" spans="1:8" x14ac:dyDescent="0.25">
      <c r="A1454" t="s">
        <v>2494</v>
      </c>
      <c r="B1454" t="s">
        <v>32</v>
      </c>
      <c r="C1454" t="s">
        <v>3375</v>
      </c>
      <c r="D1454" t="s">
        <v>3376</v>
      </c>
      <c r="E1454" t="s">
        <v>67</v>
      </c>
      <c r="F1454" t="s">
        <v>24</v>
      </c>
      <c r="G1454" t="s">
        <v>67</v>
      </c>
      <c r="H1454" t="s">
        <v>140</v>
      </c>
    </row>
    <row r="1455" spans="1:8" x14ac:dyDescent="0.25">
      <c r="A1455" t="s">
        <v>2494</v>
      </c>
      <c r="B1455" t="s">
        <v>53</v>
      </c>
      <c r="C1455" t="s">
        <v>3377</v>
      </c>
      <c r="D1455" t="s">
        <v>3378</v>
      </c>
      <c r="E1455" t="s">
        <v>35</v>
      </c>
      <c r="F1455" t="s">
        <v>24</v>
      </c>
      <c r="G1455" t="s">
        <v>14</v>
      </c>
      <c r="H1455" t="s">
        <v>122</v>
      </c>
    </row>
    <row r="1456" spans="1:8" x14ac:dyDescent="0.25">
      <c r="A1456" t="s">
        <v>2494</v>
      </c>
      <c r="B1456" t="s">
        <v>42</v>
      </c>
      <c r="C1456" t="s">
        <v>3379</v>
      </c>
      <c r="D1456" t="s">
        <v>3380</v>
      </c>
      <c r="E1456" t="s">
        <v>172</v>
      </c>
      <c r="F1456" t="s">
        <v>30</v>
      </c>
      <c r="G1456" t="s">
        <v>14</v>
      </c>
      <c r="H1456" t="s">
        <v>122</v>
      </c>
    </row>
    <row r="1457" spans="1:8" x14ac:dyDescent="0.25">
      <c r="A1457" t="s">
        <v>2494</v>
      </c>
      <c r="B1457" t="s">
        <v>42</v>
      </c>
      <c r="C1457" t="s">
        <v>3381</v>
      </c>
      <c r="D1457" t="s">
        <v>3382</v>
      </c>
      <c r="E1457" t="s">
        <v>116</v>
      </c>
      <c r="F1457" t="s">
        <v>30</v>
      </c>
      <c r="G1457" t="s">
        <v>14</v>
      </c>
      <c r="H1457" t="s">
        <v>117</v>
      </c>
    </row>
    <row r="1458" spans="1:8" x14ac:dyDescent="0.25">
      <c r="A1458" t="s">
        <v>2494</v>
      </c>
      <c r="B1458" t="s">
        <v>16</v>
      </c>
      <c r="C1458" t="s">
        <v>3383</v>
      </c>
      <c r="D1458" t="s">
        <v>3384</v>
      </c>
      <c r="E1458" t="s">
        <v>45</v>
      </c>
      <c r="F1458" t="s">
        <v>30</v>
      </c>
      <c r="G1458" t="s">
        <v>14</v>
      </c>
      <c r="H1458" t="s">
        <v>2255</v>
      </c>
    </row>
    <row r="1459" spans="1:8" x14ac:dyDescent="0.25">
      <c r="A1459" t="s">
        <v>2494</v>
      </c>
      <c r="B1459" t="s">
        <v>16</v>
      </c>
      <c r="C1459" t="s">
        <v>3385</v>
      </c>
      <c r="D1459" t="s">
        <v>3385</v>
      </c>
      <c r="E1459" t="s">
        <v>45</v>
      </c>
      <c r="F1459" t="s">
        <v>24</v>
      </c>
      <c r="G1459" t="s">
        <v>63</v>
      </c>
      <c r="H1459" t="s">
        <v>685</v>
      </c>
    </row>
    <row r="1460" spans="1:8" x14ac:dyDescent="0.25">
      <c r="A1460" t="s">
        <v>2494</v>
      </c>
      <c r="B1460" t="s">
        <v>42</v>
      </c>
      <c r="C1460" t="s">
        <v>3386</v>
      </c>
      <c r="D1460" t="s">
        <v>3386</v>
      </c>
      <c r="E1460" t="s">
        <v>45</v>
      </c>
      <c r="F1460" t="s">
        <v>24</v>
      </c>
      <c r="G1460" t="s">
        <v>63</v>
      </c>
      <c r="H1460" t="s">
        <v>152</v>
      </c>
    </row>
    <row r="1461" spans="1:8" x14ac:dyDescent="0.25">
      <c r="A1461" t="s">
        <v>2494</v>
      </c>
      <c r="B1461" t="s">
        <v>26</v>
      </c>
      <c r="C1461" t="s">
        <v>3387</v>
      </c>
      <c r="D1461" t="s">
        <v>3388</v>
      </c>
      <c r="E1461" t="s">
        <v>67</v>
      </c>
      <c r="F1461" t="s">
        <v>24</v>
      </c>
      <c r="G1461" t="s">
        <v>67</v>
      </c>
      <c r="H1461" t="s">
        <v>57</v>
      </c>
    </row>
    <row r="1462" spans="1:8" x14ac:dyDescent="0.25">
      <c r="A1462" t="s">
        <v>2494</v>
      </c>
      <c r="B1462" t="s">
        <v>42</v>
      </c>
      <c r="C1462" t="s">
        <v>3389</v>
      </c>
      <c r="D1462" t="s">
        <v>3390</v>
      </c>
      <c r="E1462" t="s">
        <v>29</v>
      </c>
      <c r="F1462" t="s">
        <v>30</v>
      </c>
      <c r="G1462" t="s">
        <v>14</v>
      </c>
      <c r="H1462" t="s">
        <v>2097</v>
      </c>
    </row>
    <row r="1463" spans="1:8" x14ac:dyDescent="0.25">
      <c r="A1463" t="s">
        <v>2494</v>
      </c>
      <c r="B1463" t="s">
        <v>37</v>
      </c>
      <c r="C1463" t="s">
        <v>3391</v>
      </c>
      <c r="D1463" t="s">
        <v>3392</v>
      </c>
      <c r="E1463" t="s">
        <v>12</v>
      </c>
      <c r="F1463" t="s">
        <v>13</v>
      </c>
      <c r="G1463" t="s">
        <v>14</v>
      </c>
      <c r="H1463" t="s">
        <v>195</v>
      </c>
    </row>
    <row r="1464" spans="1:8" x14ac:dyDescent="0.25">
      <c r="A1464" t="s">
        <v>2494</v>
      </c>
      <c r="B1464" t="s">
        <v>100</v>
      </c>
      <c r="C1464" t="s">
        <v>3393</v>
      </c>
      <c r="D1464" t="s">
        <v>3394</v>
      </c>
      <c r="E1464" t="s">
        <v>67</v>
      </c>
      <c r="F1464" t="s">
        <v>24</v>
      </c>
      <c r="G1464" t="s">
        <v>67</v>
      </c>
      <c r="H1464" t="s">
        <v>3258</v>
      </c>
    </row>
    <row r="1465" spans="1:8" x14ac:dyDescent="0.25">
      <c r="A1465" t="s">
        <v>2494</v>
      </c>
      <c r="B1465" t="s">
        <v>9</v>
      </c>
      <c r="C1465" t="s">
        <v>3395</v>
      </c>
      <c r="D1465" t="s">
        <v>3396</v>
      </c>
      <c r="E1465" t="s">
        <v>29</v>
      </c>
      <c r="F1465" t="s">
        <v>24</v>
      </c>
      <c r="G1465" t="s">
        <v>14</v>
      </c>
      <c r="H1465" t="s">
        <v>117</v>
      </c>
    </row>
    <row r="1466" spans="1:8" x14ac:dyDescent="0.25">
      <c r="A1466" t="s">
        <v>2494</v>
      </c>
      <c r="B1466" t="s">
        <v>100</v>
      </c>
      <c r="C1466" t="s">
        <v>3397</v>
      </c>
      <c r="D1466" t="s">
        <v>3398</v>
      </c>
      <c r="E1466" t="s">
        <v>29</v>
      </c>
      <c r="F1466" t="s">
        <v>30</v>
      </c>
      <c r="G1466" t="s">
        <v>14</v>
      </c>
      <c r="H1466" t="s">
        <v>205</v>
      </c>
    </row>
    <row r="1467" spans="1:8" x14ac:dyDescent="0.25">
      <c r="A1467" t="s">
        <v>2494</v>
      </c>
      <c r="B1467" t="s">
        <v>113</v>
      </c>
      <c r="C1467" t="s">
        <v>3399</v>
      </c>
      <c r="D1467" t="s">
        <v>3400</v>
      </c>
      <c r="E1467" t="s">
        <v>29</v>
      </c>
      <c r="F1467" t="s">
        <v>30</v>
      </c>
      <c r="G1467" t="s">
        <v>14</v>
      </c>
      <c r="H1467" t="s">
        <v>375</v>
      </c>
    </row>
    <row r="1468" spans="1:8" x14ac:dyDescent="0.25">
      <c r="A1468" t="s">
        <v>2494</v>
      </c>
      <c r="B1468" t="s">
        <v>123</v>
      </c>
      <c r="C1468" t="s">
        <v>3401</v>
      </c>
      <c r="D1468" t="s">
        <v>3402</v>
      </c>
      <c r="E1468" t="s">
        <v>45</v>
      </c>
      <c r="F1468" t="s">
        <v>30</v>
      </c>
      <c r="G1468" t="s">
        <v>14</v>
      </c>
      <c r="H1468" t="s">
        <v>3403</v>
      </c>
    </row>
    <row r="1469" spans="1:8" x14ac:dyDescent="0.25">
      <c r="A1469" t="s">
        <v>2494</v>
      </c>
      <c r="B1469" t="s">
        <v>9</v>
      </c>
      <c r="C1469" t="s">
        <v>3404</v>
      </c>
      <c r="D1469" t="s">
        <v>3405</v>
      </c>
      <c r="E1469" t="s">
        <v>23</v>
      </c>
      <c r="F1469" t="s">
        <v>24</v>
      </c>
      <c r="G1469" t="s">
        <v>14</v>
      </c>
      <c r="H1469" t="s">
        <v>122</v>
      </c>
    </row>
    <row r="1470" spans="1:8" x14ac:dyDescent="0.25">
      <c r="A1470" t="s">
        <v>2494</v>
      </c>
      <c r="B1470" t="s">
        <v>77</v>
      </c>
      <c r="C1470" t="s">
        <v>3406</v>
      </c>
      <c r="D1470" t="s">
        <v>3407</v>
      </c>
      <c r="E1470" t="s">
        <v>172</v>
      </c>
      <c r="F1470" t="s">
        <v>24</v>
      </c>
      <c r="G1470" t="s">
        <v>14</v>
      </c>
      <c r="H1470" t="s">
        <v>140</v>
      </c>
    </row>
    <row r="1471" spans="1:8" x14ac:dyDescent="0.25">
      <c r="A1471" t="s">
        <v>2494</v>
      </c>
      <c r="B1471" t="s">
        <v>37</v>
      </c>
      <c r="C1471" t="s">
        <v>3408</v>
      </c>
      <c r="D1471" t="s">
        <v>3409</v>
      </c>
      <c r="E1471" t="s">
        <v>172</v>
      </c>
      <c r="F1471" t="s">
        <v>30</v>
      </c>
      <c r="G1471" t="s">
        <v>14</v>
      </c>
      <c r="H1471" t="s">
        <v>440</v>
      </c>
    </row>
    <row r="1472" spans="1:8" x14ac:dyDescent="0.25">
      <c r="A1472" t="s">
        <v>2494</v>
      </c>
      <c r="B1472" t="s">
        <v>16</v>
      </c>
      <c r="C1472" t="s">
        <v>3410</v>
      </c>
      <c r="D1472" t="s">
        <v>3411</v>
      </c>
      <c r="E1472" t="s">
        <v>35</v>
      </c>
      <c r="F1472" t="s">
        <v>24</v>
      </c>
      <c r="G1472" t="s">
        <v>14</v>
      </c>
      <c r="H1472" t="s">
        <v>2778</v>
      </c>
    </row>
    <row r="1473" spans="1:8" x14ac:dyDescent="0.25">
      <c r="A1473" t="s">
        <v>2494</v>
      </c>
      <c r="B1473" t="s">
        <v>77</v>
      </c>
      <c r="C1473" t="s">
        <v>3412</v>
      </c>
      <c r="D1473" t="s">
        <v>3413</v>
      </c>
      <c r="E1473" t="s">
        <v>12</v>
      </c>
      <c r="F1473" t="s">
        <v>30</v>
      </c>
      <c r="G1473" t="s">
        <v>14</v>
      </c>
      <c r="H1473" t="s">
        <v>3414</v>
      </c>
    </row>
    <row r="1474" spans="1:8" x14ac:dyDescent="0.25">
      <c r="A1474" t="s">
        <v>2494</v>
      </c>
      <c r="B1474" t="s">
        <v>77</v>
      </c>
      <c r="C1474" t="s">
        <v>3415</v>
      </c>
      <c r="D1474" t="s">
        <v>3416</v>
      </c>
      <c r="E1474" t="s">
        <v>172</v>
      </c>
      <c r="F1474" t="s">
        <v>30</v>
      </c>
      <c r="G1474" t="s">
        <v>14</v>
      </c>
      <c r="H1474" t="s">
        <v>84</v>
      </c>
    </row>
    <row r="1475" spans="1:8" x14ac:dyDescent="0.25">
      <c r="A1475" t="s">
        <v>2494</v>
      </c>
      <c r="B1475" t="s">
        <v>77</v>
      </c>
      <c r="C1475" t="s">
        <v>3417</v>
      </c>
      <c r="D1475" t="s">
        <v>3418</v>
      </c>
      <c r="E1475" t="s">
        <v>67</v>
      </c>
      <c r="F1475" t="s">
        <v>24</v>
      </c>
      <c r="G1475" t="s">
        <v>67</v>
      </c>
      <c r="H1475" t="s">
        <v>533</v>
      </c>
    </row>
    <row r="1476" spans="1:8" x14ac:dyDescent="0.25">
      <c r="A1476" t="s">
        <v>2494</v>
      </c>
      <c r="B1476" t="s">
        <v>100</v>
      </c>
      <c r="C1476" t="s">
        <v>3419</v>
      </c>
      <c r="D1476" t="s">
        <v>3420</v>
      </c>
      <c r="E1476" t="s">
        <v>45</v>
      </c>
      <c r="F1476" t="s">
        <v>24</v>
      </c>
      <c r="G1476" t="s">
        <v>14</v>
      </c>
      <c r="H1476" t="s">
        <v>3421</v>
      </c>
    </row>
    <row r="1477" spans="1:8" x14ac:dyDescent="0.25">
      <c r="A1477" t="s">
        <v>2494</v>
      </c>
      <c r="B1477" t="s">
        <v>100</v>
      </c>
      <c r="C1477" t="s">
        <v>3422</v>
      </c>
      <c r="D1477" t="s">
        <v>3423</v>
      </c>
      <c r="E1477" t="s">
        <v>641</v>
      </c>
      <c r="F1477" t="s">
        <v>19</v>
      </c>
      <c r="G1477" t="s">
        <v>14</v>
      </c>
      <c r="H1477" t="s">
        <v>3424</v>
      </c>
    </row>
    <row r="1478" spans="1:8" x14ac:dyDescent="0.25">
      <c r="A1478" t="s">
        <v>2494</v>
      </c>
      <c r="B1478" t="s">
        <v>100</v>
      </c>
      <c r="C1478" t="s">
        <v>3425</v>
      </c>
      <c r="D1478" t="s">
        <v>3426</v>
      </c>
      <c r="E1478" t="s">
        <v>29</v>
      </c>
      <c r="F1478" t="s">
        <v>97</v>
      </c>
      <c r="G1478" t="s">
        <v>98</v>
      </c>
      <c r="H1478" t="s">
        <v>2261</v>
      </c>
    </row>
    <row r="1479" spans="1:8" x14ac:dyDescent="0.25">
      <c r="A1479" t="s">
        <v>2494</v>
      </c>
      <c r="B1479" t="s">
        <v>32</v>
      </c>
      <c r="C1479" t="s">
        <v>3427</v>
      </c>
      <c r="D1479" t="s">
        <v>3428</v>
      </c>
      <c r="E1479" t="s">
        <v>390</v>
      </c>
      <c r="F1479" t="s">
        <v>51</v>
      </c>
      <c r="G1479" t="s">
        <v>14</v>
      </c>
      <c r="H1479" t="s">
        <v>3429</v>
      </c>
    </row>
    <row r="1480" spans="1:8" x14ac:dyDescent="0.25">
      <c r="A1480" t="s">
        <v>2494</v>
      </c>
      <c r="B1480" t="s">
        <v>91</v>
      </c>
      <c r="C1480" t="s">
        <v>3430</v>
      </c>
      <c r="D1480" t="s">
        <v>3431</v>
      </c>
      <c r="E1480" t="s">
        <v>390</v>
      </c>
      <c r="F1480" t="s">
        <v>51</v>
      </c>
      <c r="G1480" t="s">
        <v>14</v>
      </c>
      <c r="H1480" t="s">
        <v>3432</v>
      </c>
    </row>
    <row r="1481" spans="1:8" x14ac:dyDescent="0.25">
      <c r="A1481" t="s">
        <v>2494</v>
      </c>
      <c r="B1481" t="s">
        <v>42</v>
      </c>
      <c r="C1481" t="s">
        <v>3433</v>
      </c>
      <c r="D1481" t="s">
        <v>3434</v>
      </c>
      <c r="E1481" t="s">
        <v>67</v>
      </c>
      <c r="F1481" t="s">
        <v>24</v>
      </c>
      <c r="G1481" t="s">
        <v>67</v>
      </c>
      <c r="H1481" t="s">
        <v>122</v>
      </c>
    </row>
    <row r="1482" spans="1:8" x14ac:dyDescent="0.25">
      <c r="A1482" t="s">
        <v>2494</v>
      </c>
      <c r="B1482" t="s">
        <v>16</v>
      </c>
      <c r="C1482" t="s">
        <v>3435</v>
      </c>
      <c r="D1482" t="s">
        <v>3436</v>
      </c>
      <c r="E1482" t="s">
        <v>40</v>
      </c>
      <c r="F1482" t="s">
        <v>51</v>
      </c>
      <c r="G1482" t="s">
        <v>14</v>
      </c>
      <c r="H1482" t="s">
        <v>325</v>
      </c>
    </row>
    <row r="1483" spans="1:8" x14ac:dyDescent="0.25">
      <c r="A1483" t="s">
        <v>2494</v>
      </c>
      <c r="B1483" t="s">
        <v>42</v>
      </c>
      <c r="C1483" t="s">
        <v>3437</v>
      </c>
      <c r="D1483" t="s">
        <v>3438</v>
      </c>
      <c r="E1483" t="s">
        <v>390</v>
      </c>
      <c r="F1483" t="s">
        <v>51</v>
      </c>
      <c r="G1483" t="s">
        <v>14</v>
      </c>
      <c r="H1483" t="s">
        <v>3439</v>
      </c>
    </row>
    <row r="1484" spans="1:8" x14ac:dyDescent="0.25">
      <c r="A1484" t="s">
        <v>2494</v>
      </c>
      <c r="B1484" t="s">
        <v>123</v>
      </c>
      <c r="C1484" t="s">
        <v>3440</v>
      </c>
      <c r="D1484" t="s">
        <v>3441</v>
      </c>
      <c r="E1484" t="s">
        <v>12</v>
      </c>
      <c r="F1484" t="s">
        <v>19</v>
      </c>
      <c r="G1484" t="s">
        <v>14</v>
      </c>
      <c r="H1484" t="s">
        <v>287</v>
      </c>
    </row>
    <row r="1485" spans="1:8" x14ac:dyDescent="0.25">
      <c r="A1485" t="s">
        <v>2494</v>
      </c>
      <c r="B1485" t="s">
        <v>37</v>
      </c>
      <c r="C1485" t="s">
        <v>3442</v>
      </c>
      <c r="D1485" t="s">
        <v>3443</v>
      </c>
      <c r="E1485" t="s">
        <v>635</v>
      </c>
      <c r="F1485" t="s">
        <v>51</v>
      </c>
      <c r="G1485" t="s">
        <v>14</v>
      </c>
      <c r="H1485" t="s">
        <v>3444</v>
      </c>
    </row>
    <row r="1486" spans="1:8" x14ac:dyDescent="0.25">
      <c r="A1486" t="s">
        <v>2494</v>
      </c>
      <c r="B1486" t="s">
        <v>42</v>
      </c>
      <c r="C1486" t="s">
        <v>3445</v>
      </c>
      <c r="D1486" t="s">
        <v>3446</v>
      </c>
      <c r="E1486" t="s">
        <v>67</v>
      </c>
      <c r="F1486" t="s">
        <v>24</v>
      </c>
      <c r="G1486" t="s">
        <v>67</v>
      </c>
      <c r="H1486" t="s">
        <v>914</v>
      </c>
    </row>
    <row r="1487" spans="1:8" x14ac:dyDescent="0.25">
      <c r="A1487" t="s">
        <v>2494</v>
      </c>
      <c r="B1487" t="s">
        <v>16</v>
      </c>
      <c r="C1487" t="s">
        <v>3447</v>
      </c>
      <c r="D1487" t="s">
        <v>3447</v>
      </c>
      <c r="E1487" t="s">
        <v>23</v>
      </c>
      <c r="F1487" t="s">
        <v>24</v>
      </c>
      <c r="G1487" t="s">
        <v>63</v>
      </c>
      <c r="H1487" t="s">
        <v>443</v>
      </c>
    </row>
    <row r="1488" spans="1:8" x14ac:dyDescent="0.25">
      <c r="A1488" t="s">
        <v>2494</v>
      </c>
      <c r="B1488" t="s">
        <v>42</v>
      </c>
      <c r="C1488" t="s">
        <v>3448</v>
      </c>
      <c r="D1488" t="s">
        <v>3449</v>
      </c>
      <c r="E1488" t="s">
        <v>29</v>
      </c>
      <c r="F1488" t="s">
        <v>51</v>
      </c>
      <c r="G1488" t="s">
        <v>67</v>
      </c>
      <c r="H1488" t="s">
        <v>122</v>
      </c>
    </row>
    <row r="1489" spans="1:8" x14ac:dyDescent="0.25">
      <c r="A1489" t="s">
        <v>2494</v>
      </c>
      <c r="B1489" t="s">
        <v>16</v>
      </c>
      <c r="C1489" t="s">
        <v>3450</v>
      </c>
      <c r="D1489" t="s">
        <v>3451</v>
      </c>
      <c r="E1489" t="s">
        <v>390</v>
      </c>
      <c r="F1489" t="s">
        <v>51</v>
      </c>
      <c r="G1489" t="s">
        <v>14</v>
      </c>
      <c r="H1489" t="s">
        <v>2243</v>
      </c>
    </row>
    <row r="1490" spans="1:8" x14ac:dyDescent="0.25">
      <c r="A1490" t="s">
        <v>2494</v>
      </c>
      <c r="B1490" t="s">
        <v>77</v>
      </c>
      <c r="C1490" t="s">
        <v>3452</v>
      </c>
      <c r="D1490" t="s">
        <v>3453</v>
      </c>
      <c r="E1490" t="s">
        <v>40</v>
      </c>
      <c r="F1490" t="s">
        <v>80</v>
      </c>
      <c r="G1490" t="s">
        <v>14</v>
      </c>
      <c r="H1490" t="s">
        <v>2341</v>
      </c>
    </row>
    <row r="1491" spans="1:8" x14ac:dyDescent="0.25">
      <c r="A1491" t="s">
        <v>2494</v>
      </c>
      <c r="B1491" t="s">
        <v>26</v>
      </c>
      <c r="C1491" t="s">
        <v>3454</v>
      </c>
      <c r="D1491" t="s">
        <v>3455</v>
      </c>
      <c r="E1491" t="s">
        <v>12</v>
      </c>
      <c r="F1491" t="s">
        <v>19</v>
      </c>
      <c r="G1491" t="s">
        <v>14</v>
      </c>
      <c r="H1491" t="s">
        <v>2026</v>
      </c>
    </row>
    <row r="1492" spans="1:8" x14ac:dyDescent="0.25">
      <c r="A1492" t="s">
        <v>2494</v>
      </c>
      <c r="B1492" t="s">
        <v>16</v>
      </c>
      <c r="C1492" t="s">
        <v>3456</v>
      </c>
      <c r="D1492" t="s">
        <v>3457</v>
      </c>
      <c r="E1492" t="s">
        <v>172</v>
      </c>
      <c r="F1492" t="s">
        <v>24</v>
      </c>
      <c r="G1492" t="s">
        <v>14</v>
      </c>
      <c r="H1492" t="s">
        <v>140</v>
      </c>
    </row>
    <row r="1493" spans="1:8" x14ac:dyDescent="0.25">
      <c r="A1493" t="s">
        <v>2494</v>
      </c>
      <c r="B1493" t="s">
        <v>42</v>
      </c>
      <c r="C1493" t="s">
        <v>3458</v>
      </c>
      <c r="D1493" t="s">
        <v>3459</v>
      </c>
      <c r="E1493" t="s">
        <v>29</v>
      </c>
      <c r="F1493" t="s">
        <v>24</v>
      </c>
      <c r="G1493" t="s">
        <v>14</v>
      </c>
      <c r="H1493" t="s">
        <v>570</v>
      </c>
    </row>
    <row r="1494" spans="1:8" x14ac:dyDescent="0.25">
      <c r="A1494" t="s">
        <v>2494</v>
      </c>
      <c r="B1494" t="s">
        <v>42</v>
      </c>
      <c r="C1494" t="s">
        <v>3460</v>
      </c>
      <c r="D1494" t="s">
        <v>3461</v>
      </c>
      <c r="E1494" t="s">
        <v>12</v>
      </c>
      <c r="F1494" t="s">
        <v>19</v>
      </c>
      <c r="G1494" t="s">
        <v>14</v>
      </c>
      <c r="H1494" t="s">
        <v>3462</v>
      </c>
    </row>
    <row r="1495" spans="1:8" x14ac:dyDescent="0.25">
      <c r="A1495" t="s">
        <v>2494</v>
      </c>
      <c r="B1495" t="s">
        <v>42</v>
      </c>
      <c r="C1495" t="s">
        <v>3463</v>
      </c>
      <c r="D1495" t="s">
        <v>3464</v>
      </c>
      <c r="E1495" t="s">
        <v>276</v>
      </c>
      <c r="F1495" t="s">
        <v>51</v>
      </c>
      <c r="G1495" t="s">
        <v>14</v>
      </c>
      <c r="H1495" t="s">
        <v>1383</v>
      </c>
    </row>
    <row r="1496" spans="1:8" x14ac:dyDescent="0.25">
      <c r="A1496" t="s">
        <v>2494</v>
      </c>
      <c r="B1496" t="s">
        <v>9</v>
      </c>
      <c r="C1496" t="s">
        <v>3465</v>
      </c>
      <c r="D1496" t="s">
        <v>3466</v>
      </c>
      <c r="E1496" t="s">
        <v>641</v>
      </c>
      <c r="F1496" t="s">
        <v>19</v>
      </c>
      <c r="G1496" t="s">
        <v>14</v>
      </c>
      <c r="H1496" t="s">
        <v>416</v>
      </c>
    </row>
    <row r="1497" spans="1:8" x14ac:dyDescent="0.25">
      <c r="A1497" t="s">
        <v>2494</v>
      </c>
      <c r="B1497" t="s">
        <v>91</v>
      </c>
      <c r="C1497" t="s">
        <v>3467</v>
      </c>
      <c r="D1497" t="s">
        <v>3468</v>
      </c>
      <c r="E1497" t="s">
        <v>172</v>
      </c>
      <c r="F1497" t="s">
        <v>51</v>
      </c>
      <c r="G1497" t="s">
        <v>14</v>
      </c>
      <c r="H1497" t="s">
        <v>36</v>
      </c>
    </row>
    <row r="1498" spans="1:8" x14ac:dyDescent="0.25">
      <c r="A1498" t="s">
        <v>2494</v>
      </c>
      <c r="B1498" t="s">
        <v>37</v>
      </c>
      <c r="C1498" t="s">
        <v>3469</v>
      </c>
      <c r="D1498" t="s">
        <v>3470</v>
      </c>
      <c r="E1498" t="s">
        <v>40</v>
      </c>
      <c r="F1498" t="s">
        <v>51</v>
      </c>
      <c r="G1498" t="s">
        <v>14</v>
      </c>
      <c r="H1498" t="s">
        <v>322</v>
      </c>
    </row>
    <row r="1499" spans="1:8" x14ac:dyDescent="0.25">
      <c r="A1499" t="s">
        <v>2494</v>
      </c>
      <c r="B1499" t="s">
        <v>9</v>
      </c>
      <c r="C1499" t="s">
        <v>3471</v>
      </c>
      <c r="D1499" t="s">
        <v>3472</v>
      </c>
      <c r="E1499" t="s">
        <v>29</v>
      </c>
      <c r="F1499" t="s">
        <v>51</v>
      </c>
      <c r="G1499" t="s">
        <v>67</v>
      </c>
      <c r="H1499" t="s">
        <v>122</v>
      </c>
    </row>
    <row r="1500" spans="1:8" x14ac:dyDescent="0.25">
      <c r="A1500" t="s">
        <v>2494</v>
      </c>
      <c r="B1500" t="s">
        <v>91</v>
      </c>
      <c r="C1500" t="s">
        <v>3473</v>
      </c>
      <c r="D1500" t="s">
        <v>3474</v>
      </c>
      <c r="E1500" t="s">
        <v>45</v>
      </c>
      <c r="F1500" t="s">
        <v>19</v>
      </c>
      <c r="G1500" t="s">
        <v>14</v>
      </c>
      <c r="H1500" t="s">
        <v>128</v>
      </c>
    </row>
    <row r="1501" spans="1:8" x14ac:dyDescent="0.25">
      <c r="A1501" t="s">
        <v>2494</v>
      </c>
      <c r="B1501" t="s">
        <v>32</v>
      </c>
      <c r="C1501" t="s">
        <v>3475</v>
      </c>
      <c r="D1501" t="s">
        <v>3476</v>
      </c>
      <c r="E1501" t="s">
        <v>12</v>
      </c>
      <c r="F1501" t="s">
        <v>30</v>
      </c>
      <c r="G1501" t="s">
        <v>14</v>
      </c>
      <c r="H1501" t="s">
        <v>3477</v>
      </c>
    </row>
    <row r="1502" spans="1:8" x14ac:dyDescent="0.25">
      <c r="A1502" t="s">
        <v>2494</v>
      </c>
      <c r="B1502" t="s">
        <v>9</v>
      </c>
      <c r="C1502" t="s">
        <v>3478</v>
      </c>
      <c r="D1502" t="s">
        <v>3479</v>
      </c>
      <c r="E1502" t="s">
        <v>432</v>
      </c>
      <c r="F1502" t="s">
        <v>19</v>
      </c>
      <c r="G1502" t="s">
        <v>14</v>
      </c>
      <c r="H1502" t="s">
        <v>375</v>
      </c>
    </row>
    <row r="1503" spans="1:8" x14ac:dyDescent="0.25">
      <c r="A1503" t="s">
        <v>2494</v>
      </c>
      <c r="B1503" t="s">
        <v>77</v>
      </c>
      <c r="C1503" t="s">
        <v>3480</v>
      </c>
      <c r="D1503" t="s">
        <v>3481</v>
      </c>
      <c r="E1503" t="s">
        <v>12</v>
      </c>
      <c r="F1503" t="s">
        <v>30</v>
      </c>
      <c r="G1503" t="s">
        <v>14</v>
      </c>
      <c r="H1503" t="s">
        <v>3482</v>
      </c>
    </row>
    <row r="1504" spans="1:8" x14ac:dyDescent="0.25">
      <c r="A1504" t="s">
        <v>2494</v>
      </c>
      <c r="B1504" t="s">
        <v>73</v>
      </c>
      <c r="C1504" t="s">
        <v>3483</v>
      </c>
      <c r="D1504" t="s">
        <v>3484</v>
      </c>
      <c r="E1504" t="s">
        <v>12</v>
      </c>
      <c r="F1504" t="s">
        <v>30</v>
      </c>
      <c r="G1504" t="s">
        <v>14</v>
      </c>
      <c r="H1504" t="s">
        <v>3485</v>
      </c>
    </row>
    <row r="1505" spans="1:8" x14ac:dyDescent="0.25">
      <c r="A1505" t="s">
        <v>2494</v>
      </c>
      <c r="B1505" t="s">
        <v>91</v>
      </c>
      <c r="C1505" t="s">
        <v>3486</v>
      </c>
      <c r="D1505" t="s">
        <v>3487</v>
      </c>
      <c r="E1505" t="s">
        <v>29</v>
      </c>
      <c r="F1505" t="s">
        <v>51</v>
      </c>
      <c r="G1505" t="s">
        <v>67</v>
      </c>
      <c r="H1505" t="s">
        <v>3488</v>
      </c>
    </row>
    <row r="1506" spans="1:8" x14ac:dyDescent="0.25">
      <c r="A1506" t="s">
        <v>2494</v>
      </c>
      <c r="B1506" t="s">
        <v>100</v>
      </c>
      <c r="C1506" t="s">
        <v>3489</v>
      </c>
      <c r="D1506" t="s">
        <v>3490</v>
      </c>
      <c r="E1506" t="s">
        <v>12</v>
      </c>
      <c r="F1506" t="s">
        <v>30</v>
      </c>
      <c r="G1506" t="s">
        <v>14</v>
      </c>
      <c r="H1506" t="s">
        <v>865</v>
      </c>
    </row>
    <row r="1507" spans="1:8" x14ac:dyDescent="0.25">
      <c r="A1507" t="s">
        <v>2494</v>
      </c>
      <c r="B1507" t="s">
        <v>91</v>
      </c>
      <c r="C1507" t="s">
        <v>3491</v>
      </c>
      <c r="D1507" t="s">
        <v>3492</v>
      </c>
      <c r="E1507" t="s">
        <v>1100</v>
      </c>
      <c r="F1507" t="s">
        <v>51</v>
      </c>
      <c r="G1507" t="s">
        <v>14</v>
      </c>
      <c r="H1507" t="s">
        <v>137</v>
      </c>
    </row>
    <row r="1508" spans="1:8" x14ac:dyDescent="0.25">
      <c r="A1508" t="s">
        <v>2494</v>
      </c>
      <c r="B1508" t="s">
        <v>37</v>
      </c>
      <c r="C1508" t="s">
        <v>3493</v>
      </c>
      <c r="D1508" t="s">
        <v>3494</v>
      </c>
      <c r="E1508" t="s">
        <v>12</v>
      </c>
      <c r="F1508" t="s">
        <v>30</v>
      </c>
      <c r="G1508" t="s">
        <v>14</v>
      </c>
      <c r="H1508" t="s">
        <v>865</v>
      </c>
    </row>
    <row r="1509" spans="1:8" x14ac:dyDescent="0.25">
      <c r="A1509" t="s">
        <v>2494</v>
      </c>
      <c r="B1509" t="s">
        <v>37</v>
      </c>
      <c r="C1509" t="s">
        <v>3495</v>
      </c>
      <c r="D1509" t="s">
        <v>3496</v>
      </c>
      <c r="E1509" t="s">
        <v>12</v>
      </c>
      <c r="F1509" t="s">
        <v>13</v>
      </c>
      <c r="G1509" t="s">
        <v>14</v>
      </c>
      <c r="H1509" t="s">
        <v>3497</v>
      </c>
    </row>
    <row r="1510" spans="1:8" x14ac:dyDescent="0.25">
      <c r="A1510" t="s">
        <v>2494</v>
      </c>
      <c r="B1510" t="s">
        <v>42</v>
      </c>
      <c r="C1510" t="s">
        <v>3498</v>
      </c>
      <c r="D1510" t="s">
        <v>3499</v>
      </c>
      <c r="E1510" t="s">
        <v>116</v>
      </c>
      <c r="F1510" t="s">
        <v>30</v>
      </c>
      <c r="G1510" t="s">
        <v>14</v>
      </c>
      <c r="H1510" t="s">
        <v>561</v>
      </c>
    </row>
    <row r="1511" spans="1:8" x14ac:dyDescent="0.25">
      <c r="A1511" t="s">
        <v>2494</v>
      </c>
      <c r="B1511" t="s">
        <v>100</v>
      </c>
      <c r="C1511" t="s">
        <v>3500</v>
      </c>
      <c r="D1511" t="s">
        <v>3500</v>
      </c>
      <c r="E1511" t="s">
        <v>29</v>
      </c>
      <c r="F1511" t="s">
        <v>13</v>
      </c>
      <c r="G1511" t="s">
        <v>63</v>
      </c>
      <c r="H1511" t="s">
        <v>1492</v>
      </c>
    </row>
    <row r="1512" spans="1:8" x14ac:dyDescent="0.25">
      <c r="A1512" t="s">
        <v>2494</v>
      </c>
      <c r="B1512" t="s">
        <v>42</v>
      </c>
      <c r="C1512" t="s">
        <v>3501</v>
      </c>
      <c r="D1512" t="s">
        <v>3502</v>
      </c>
      <c r="E1512" t="s">
        <v>505</v>
      </c>
      <c r="F1512" t="s">
        <v>51</v>
      </c>
      <c r="G1512" t="s">
        <v>14</v>
      </c>
      <c r="H1512" t="s">
        <v>146</v>
      </c>
    </row>
    <row r="1513" spans="1:8" x14ac:dyDescent="0.25">
      <c r="A1513" t="s">
        <v>2494</v>
      </c>
      <c r="B1513" t="s">
        <v>32</v>
      </c>
      <c r="C1513" t="s">
        <v>3503</v>
      </c>
      <c r="D1513" t="s">
        <v>3504</v>
      </c>
      <c r="E1513" t="s">
        <v>29</v>
      </c>
      <c r="F1513" t="s">
        <v>51</v>
      </c>
      <c r="G1513" t="s">
        <v>67</v>
      </c>
      <c r="H1513" t="s">
        <v>87</v>
      </c>
    </row>
    <row r="1514" spans="1:8" x14ac:dyDescent="0.25">
      <c r="A1514" t="s">
        <v>2494</v>
      </c>
      <c r="B1514" t="s">
        <v>9</v>
      </c>
      <c r="C1514" t="s">
        <v>3505</v>
      </c>
      <c r="D1514" t="s">
        <v>3506</v>
      </c>
      <c r="E1514" t="s">
        <v>29</v>
      </c>
      <c r="F1514" t="s">
        <v>51</v>
      </c>
      <c r="G1514" t="s">
        <v>67</v>
      </c>
      <c r="H1514" t="s">
        <v>2395</v>
      </c>
    </row>
    <row r="1515" spans="1:8" x14ac:dyDescent="0.25">
      <c r="A1515" t="s">
        <v>2494</v>
      </c>
      <c r="B1515" t="s">
        <v>91</v>
      </c>
      <c r="C1515" t="s">
        <v>3507</v>
      </c>
      <c r="D1515" t="s">
        <v>3508</v>
      </c>
      <c r="E1515" t="s">
        <v>29</v>
      </c>
      <c r="F1515" t="s">
        <v>24</v>
      </c>
      <c r="G1515" t="s">
        <v>14</v>
      </c>
      <c r="H1515" t="s">
        <v>3509</v>
      </c>
    </row>
    <row r="1516" spans="1:8" x14ac:dyDescent="0.25">
      <c r="A1516" t="s">
        <v>2494</v>
      </c>
      <c r="B1516" t="s">
        <v>91</v>
      </c>
      <c r="C1516" t="s">
        <v>3510</v>
      </c>
      <c r="D1516" t="s">
        <v>3511</v>
      </c>
      <c r="E1516" t="s">
        <v>35</v>
      </c>
      <c r="F1516" t="s">
        <v>24</v>
      </c>
      <c r="G1516" t="s">
        <v>14</v>
      </c>
      <c r="H1516" t="s">
        <v>632</v>
      </c>
    </row>
    <row r="1517" spans="1:8" x14ac:dyDescent="0.25">
      <c r="A1517" t="s">
        <v>2494</v>
      </c>
      <c r="B1517" t="s">
        <v>100</v>
      </c>
      <c r="C1517" t="s">
        <v>3512</v>
      </c>
      <c r="D1517" t="s">
        <v>3513</v>
      </c>
      <c r="E1517" t="s">
        <v>35</v>
      </c>
      <c r="F1517" t="s">
        <v>30</v>
      </c>
      <c r="G1517" t="s">
        <v>14</v>
      </c>
      <c r="H1517" t="s">
        <v>761</v>
      </c>
    </row>
    <row r="1518" spans="1:8" x14ac:dyDescent="0.25">
      <c r="A1518" t="s">
        <v>2494</v>
      </c>
      <c r="B1518" t="s">
        <v>16</v>
      </c>
      <c r="C1518" t="s">
        <v>3514</v>
      </c>
      <c r="D1518" t="s">
        <v>3515</v>
      </c>
      <c r="E1518" t="s">
        <v>29</v>
      </c>
      <c r="F1518" t="s">
        <v>19</v>
      </c>
      <c r="G1518" t="s">
        <v>14</v>
      </c>
      <c r="H1518" t="s">
        <v>173</v>
      </c>
    </row>
    <row r="1519" spans="1:8" x14ac:dyDescent="0.25">
      <c r="A1519" t="s">
        <v>2494</v>
      </c>
      <c r="B1519" t="s">
        <v>77</v>
      </c>
      <c r="C1519" t="s">
        <v>3516</v>
      </c>
      <c r="D1519" t="s">
        <v>3517</v>
      </c>
      <c r="E1519" t="s">
        <v>60</v>
      </c>
      <c r="F1519" t="s">
        <v>71</v>
      </c>
      <c r="G1519" t="s">
        <v>14</v>
      </c>
      <c r="H1519" t="s">
        <v>727</v>
      </c>
    </row>
    <row r="1520" spans="1:8" x14ac:dyDescent="0.25">
      <c r="A1520" t="s">
        <v>2494</v>
      </c>
      <c r="B1520" t="s">
        <v>32</v>
      </c>
      <c r="C1520" t="s">
        <v>3518</v>
      </c>
      <c r="D1520" t="s">
        <v>3519</v>
      </c>
      <c r="E1520" t="s">
        <v>29</v>
      </c>
      <c r="F1520" t="s">
        <v>30</v>
      </c>
      <c r="G1520" t="s">
        <v>14</v>
      </c>
      <c r="H1520" t="s">
        <v>25</v>
      </c>
    </row>
    <row r="1521" spans="1:8" x14ac:dyDescent="0.25">
      <c r="A1521" t="s">
        <v>2494</v>
      </c>
      <c r="B1521" t="s">
        <v>123</v>
      </c>
      <c r="C1521" t="s">
        <v>3520</v>
      </c>
      <c r="D1521" t="s">
        <v>3521</v>
      </c>
      <c r="E1521" t="s">
        <v>45</v>
      </c>
      <c r="F1521" t="s">
        <v>19</v>
      </c>
      <c r="G1521" t="s">
        <v>14</v>
      </c>
      <c r="H1521" t="s">
        <v>481</v>
      </c>
    </row>
    <row r="1522" spans="1:8" x14ac:dyDescent="0.25">
      <c r="A1522" t="s">
        <v>2494</v>
      </c>
      <c r="B1522" t="s">
        <v>123</v>
      </c>
      <c r="C1522" t="s">
        <v>3522</v>
      </c>
      <c r="D1522" t="s">
        <v>3523</v>
      </c>
      <c r="E1522" t="s">
        <v>12</v>
      </c>
      <c r="F1522" t="s">
        <v>19</v>
      </c>
      <c r="G1522" t="s">
        <v>14</v>
      </c>
      <c r="H1522" t="s">
        <v>84</v>
      </c>
    </row>
    <row r="1523" spans="1:8" x14ac:dyDescent="0.25">
      <c r="A1523" t="s">
        <v>2494</v>
      </c>
      <c r="B1523" t="s">
        <v>91</v>
      </c>
      <c r="C1523" t="s">
        <v>3524</v>
      </c>
      <c r="D1523" t="s">
        <v>3525</v>
      </c>
      <c r="E1523" t="s">
        <v>12</v>
      </c>
      <c r="F1523" t="s">
        <v>13</v>
      </c>
      <c r="G1523" t="s">
        <v>14</v>
      </c>
      <c r="H1523" t="s">
        <v>502</v>
      </c>
    </row>
    <row r="1524" spans="1:8" x14ac:dyDescent="0.25">
      <c r="A1524" t="s">
        <v>2494</v>
      </c>
      <c r="B1524" t="s">
        <v>26</v>
      </c>
      <c r="C1524" t="s">
        <v>3526</v>
      </c>
      <c r="D1524" t="s">
        <v>3527</v>
      </c>
      <c r="E1524" t="s">
        <v>12</v>
      </c>
      <c r="F1524" t="s">
        <v>13</v>
      </c>
      <c r="G1524" t="s">
        <v>14</v>
      </c>
      <c r="H1524" t="s">
        <v>539</v>
      </c>
    </row>
    <row r="1525" spans="1:8" x14ac:dyDescent="0.25">
      <c r="A1525" t="s">
        <v>2494</v>
      </c>
      <c r="B1525" t="s">
        <v>42</v>
      </c>
      <c r="C1525" t="s">
        <v>3528</v>
      </c>
      <c r="D1525" t="s">
        <v>3529</v>
      </c>
      <c r="E1525" t="s">
        <v>29</v>
      </c>
      <c r="F1525" t="s">
        <v>51</v>
      </c>
      <c r="G1525" t="s">
        <v>67</v>
      </c>
      <c r="H1525" t="s">
        <v>1436</v>
      </c>
    </row>
    <row r="1526" spans="1:8" x14ac:dyDescent="0.25">
      <c r="A1526" t="s">
        <v>2494</v>
      </c>
      <c r="B1526" t="s">
        <v>37</v>
      </c>
      <c r="C1526" t="s">
        <v>3530</v>
      </c>
      <c r="D1526" t="s">
        <v>3531</v>
      </c>
      <c r="E1526" t="s">
        <v>23</v>
      </c>
      <c r="F1526" t="s">
        <v>24</v>
      </c>
      <c r="G1526" t="s">
        <v>14</v>
      </c>
      <c r="H1526" t="s">
        <v>1735</v>
      </c>
    </row>
    <row r="1527" spans="1:8" x14ac:dyDescent="0.25">
      <c r="A1527" t="s">
        <v>2494</v>
      </c>
      <c r="B1527" t="s">
        <v>91</v>
      </c>
      <c r="C1527" t="s">
        <v>3532</v>
      </c>
      <c r="D1527" t="s">
        <v>3533</v>
      </c>
      <c r="E1527" t="s">
        <v>3534</v>
      </c>
      <c r="F1527" t="s">
        <v>51</v>
      </c>
      <c r="G1527" t="s">
        <v>14</v>
      </c>
      <c r="H1527" t="s">
        <v>990</v>
      </c>
    </row>
    <row r="1528" spans="1:8" x14ac:dyDescent="0.25">
      <c r="A1528" t="s">
        <v>2494</v>
      </c>
      <c r="B1528" t="s">
        <v>91</v>
      </c>
      <c r="C1528" t="s">
        <v>3535</v>
      </c>
      <c r="D1528" t="s">
        <v>3536</v>
      </c>
      <c r="E1528" t="s">
        <v>29</v>
      </c>
      <c r="F1528" t="s">
        <v>19</v>
      </c>
      <c r="G1528" t="s">
        <v>14</v>
      </c>
      <c r="H1528" t="s">
        <v>205</v>
      </c>
    </row>
    <row r="1529" spans="1:8" x14ac:dyDescent="0.25">
      <c r="A1529" t="s">
        <v>2494</v>
      </c>
      <c r="B1529" t="s">
        <v>100</v>
      </c>
      <c r="C1529" t="s">
        <v>3537</v>
      </c>
      <c r="D1529" t="s">
        <v>3538</v>
      </c>
      <c r="E1529" t="s">
        <v>29</v>
      </c>
      <c r="F1529" t="s">
        <v>51</v>
      </c>
      <c r="G1529" t="s">
        <v>67</v>
      </c>
      <c r="H1529" t="s">
        <v>408</v>
      </c>
    </row>
    <row r="1530" spans="1:8" x14ac:dyDescent="0.25">
      <c r="A1530" t="s">
        <v>2494</v>
      </c>
      <c r="B1530" t="s">
        <v>37</v>
      </c>
      <c r="C1530" t="s">
        <v>3539</v>
      </c>
      <c r="D1530" t="s">
        <v>3540</v>
      </c>
      <c r="E1530" t="s">
        <v>29</v>
      </c>
      <c r="F1530" t="s">
        <v>51</v>
      </c>
      <c r="G1530" t="s">
        <v>67</v>
      </c>
      <c r="H1530" t="s">
        <v>727</v>
      </c>
    </row>
    <row r="1531" spans="1:8" x14ac:dyDescent="0.25">
      <c r="A1531" t="s">
        <v>2494</v>
      </c>
      <c r="B1531" t="s">
        <v>113</v>
      </c>
      <c r="C1531" t="s">
        <v>3541</v>
      </c>
      <c r="D1531" t="s">
        <v>3542</v>
      </c>
      <c r="E1531" t="s">
        <v>29</v>
      </c>
      <c r="F1531" t="s">
        <v>51</v>
      </c>
      <c r="G1531" t="s">
        <v>67</v>
      </c>
      <c r="H1531" t="s">
        <v>1670</v>
      </c>
    </row>
    <row r="1532" spans="1:8" x14ac:dyDescent="0.25">
      <c r="A1532" t="s">
        <v>2494</v>
      </c>
      <c r="B1532" t="s">
        <v>91</v>
      </c>
      <c r="C1532" t="s">
        <v>3543</v>
      </c>
      <c r="D1532" t="s">
        <v>3544</v>
      </c>
      <c r="E1532" t="s">
        <v>35</v>
      </c>
      <c r="F1532" t="s">
        <v>24</v>
      </c>
      <c r="G1532" t="s">
        <v>14</v>
      </c>
      <c r="H1532" t="s">
        <v>1155</v>
      </c>
    </row>
    <row r="1533" spans="1:8" x14ac:dyDescent="0.25">
      <c r="A1533" t="s">
        <v>2494</v>
      </c>
      <c r="B1533" t="s">
        <v>42</v>
      </c>
      <c r="C1533" t="s">
        <v>3545</v>
      </c>
      <c r="D1533" t="s">
        <v>3546</v>
      </c>
      <c r="E1533" t="s">
        <v>29</v>
      </c>
      <c r="F1533" t="s">
        <v>51</v>
      </c>
      <c r="G1533" t="s">
        <v>67</v>
      </c>
      <c r="H1533" t="s">
        <v>122</v>
      </c>
    </row>
    <row r="1534" spans="1:8" x14ac:dyDescent="0.25">
      <c r="A1534" t="s">
        <v>2494</v>
      </c>
      <c r="B1534" t="s">
        <v>37</v>
      </c>
      <c r="C1534" t="s">
        <v>3547</v>
      </c>
      <c r="D1534" t="s">
        <v>3548</v>
      </c>
      <c r="E1534" t="s">
        <v>45</v>
      </c>
      <c r="F1534" t="s">
        <v>30</v>
      </c>
      <c r="G1534" t="s">
        <v>14</v>
      </c>
      <c r="H1534" t="s">
        <v>1930</v>
      </c>
    </row>
    <row r="1535" spans="1:8" x14ac:dyDescent="0.25">
      <c r="A1535" t="s">
        <v>2494</v>
      </c>
      <c r="B1535" t="s">
        <v>100</v>
      </c>
      <c r="C1535" t="s">
        <v>3549</v>
      </c>
      <c r="D1535" t="s">
        <v>3550</v>
      </c>
      <c r="E1535" t="s">
        <v>29</v>
      </c>
      <c r="F1535" t="s">
        <v>51</v>
      </c>
      <c r="G1535" t="s">
        <v>67</v>
      </c>
      <c r="H1535" t="s">
        <v>570</v>
      </c>
    </row>
    <row r="1536" spans="1:8" x14ac:dyDescent="0.25">
      <c r="A1536" t="s">
        <v>2494</v>
      </c>
      <c r="B1536" t="s">
        <v>113</v>
      </c>
      <c r="C1536" t="s">
        <v>3551</v>
      </c>
      <c r="D1536" t="s">
        <v>3552</v>
      </c>
      <c r="E1536" t="s">
        <v>29</v>
      </c>
      <c r="F1536" t="s">
        <v>30</v>
      </c>
      <c r="G1536" t="s">
        <v>14</v>
      </c>
      <c r="H1536" t="s">
        <v>416</v>
      </c>
    </row>
    <row r="1537" spans="1:8" x14ac:dyDescent="0.25">
      <c r="A1537" t="s">
        <v>2494</v>
      </c>
      <c r="B1537" t="s">
        <v>73</v>
      </c>
      <c r="C1537" t="s">
        <v>3553</v>
      </c>
      <c r="D1537" t="s">
        <v>3554</v>
      </c>
      <c r="E1537" t="s">
        <v>29</v>
      </c>
      <c r="F1537" t="s">
        <v>19</v>
      </c>
      <c r="G1537" t="s">
        <v>14</v>
      </c>
      <c r="H1537" t="s">
        <v>416</v>
      </c>
    </row>
    <row r="1538" spans="1:8" x14ac:dyDescent="0.25">
      <c r="A1538" t="s">
        <v>2494</v>
      </c>
      <c r="B1538" t="s">
        <v>91</v>
      </c>
      <c r="C1538" t="s">
        <v>3555</v>
      </c>
      <c r="D1538" t="s">
        <v>3556</v>
      </c>
      <c r="E1538" t="s">
        <v>29</v>
      </c>
      <c r="F1538" t="s">
        <v>24</v>
      </c>
      <c r="G1538" t="s">
        <v>14</v>
      </c>
      <c r="H1538" t="s">
        <v>416</v>
      </c>
    </row>
    <row r="1539" spans="1:8" x14ac:dyDescent="0.25">
      <c r="A1539" t="s">
        <v>2494</v>
      </c>
      <c r="B1539" t="s">
        <v>123</v>
      </c>
      <c r="C1539" t="s">
        <v>3557</v>
      </c>
      <c r="D1539" t="s">
        <v>3558</v>
      </c>
      <c r="E1539" t="s">
        <v>116</v>
      </c>
      <c r="F1539" t="s">
        <v>30</v>
      </c>
      <c r="G1539" t="s">
        <v>14</v>
      </c>
      <c r="H1539" t="s">
        <v>502</v>
      </c>
    </row>
    <row r="1540" spans="1:8" x14ac:dyDescent="0.25">
      <c r="A1540" t="s">
        <v>2494</v>
      </c>
      <c r="B1540" t="s">
        <v>37</v>
      </c>
      <c r="C1540" t="s">
        <v>3559</v>
      </c>
      <c r="D1540" t="s">
        <v>3560</v>
      </c>
      <c r="E1540" t="s">
        <v>467</v>
      </c>
      <c r="F1540" t="s">
        <v>51</v>
      </c>
      <c r="G1540" t="s">
        <v>14</v>
      </c>
      <c r="H1540" t="s">
        <v>924</v>
      </c>
    </row>
    <row r="1541" spans="1:8" x14ac:dyDescent="0.25">
      <c r="A1541" t="s">
        <v>2494</v>
      </c>
      <c r="B1541" t="s">
        <v>91</v>
      </c>
      <c r="C1541" t="s">
        <v>3561</v>
      </c>
      <c r="D1541" t="s">
        <v>3562</v>
      </c>
      <c r="E1541" t="s">
        <v>172</v>
      </c>
      <c r="F1541" t="s">
        <v>51</v>
      </c>
      <c r="G1541" t="s">
        <v>14</v>
      </c>
      <c r="H1541" t="s">
        <v>2578</v>
      </c>
    </row>
    <row r="1542" spans="1:8" x14ac:dyDescent="0.25">
      <c r="A1542" t="s">
        <v>2494</v>
      </c>
      <c r="B1542" t="s">
        <v>53</v>
      </c>
      <c r="C1542" t="s">
        <v>3563</v>
      </c>
      <c r="D1542" t="s">
        <v>3563</v>
      </c>
      <c r="E1542" t="s">
        <v>432</v>
      </c>
      <c r="F1542" t="s">
        <v>24</v>
      </c>
      <c r="G1542" t="s">
        <v>63</v>
      </c>
      <c r="H1542" t="s">
        <v>3564</v>
      </c>
    </row>
    <row r="1543" spans="1:8" x14ac:dyDescent="0.25">
      <c r="A1543" t="s">
        <v>2494</v>
      </c>
      <c r="B1543" t="s">
        <v>32</v>
      </c>
      <c r="C1543" t="s">
        <v>3565</v>
      </c>
      <c r="D1543" t="s">
        <v>3566</v>
      </c>
      <c r="E1543" t="s">
        <v>29</v>
      </c>
      <c r="F1543" t="s">
        <v>51</v>
      </c>
      <c r="G1543" t="s">
        <v>67</v>
      </c>
      <c r="H1543" t="s">
        <v>739</v>
      </c>
    </row>
    <row r="1544" spans="1:8" x14ac:dyDescent="0.25">
      <c r="A1544" t="s">
        <v>2494</v>
      </c>
      <c r="B1544" t="s">
        <v>42</v>
      </c>
      <c r="C1544" t="s">
        <v>3567</v>
      </c>
      <c r="D1544" t="s">
        <v>3568</v>
      </c>
      <c r="E1544" t="s">
        <v>116</v>
      </c>
      <c r="F1544" t="s">
        <v>30</v>
      </c>
      <c r="G1544" t="s">
        <v>14</v>
      </c>
      <c r="H1544" t="s">
        <v>502</v>
      </c>
    </row>
    <row r="1545" spans="1:8" x14ac:dyDescent="0.25">
      <c r="A1545" t="s">
        <v>2494</v>
      </c>
      <c r="B1545" t="s">
        <v>9</v>
      </c>
      <c r="C1545" t="s">
        <v>3569</v>
      </c>
      <c r="D1545" t="s">
        <v>3570</v>
      </c>
      <c r="E1545" t="s">
        <v>29</v>
      </c>
      <c r="F1545" t="s">
        <v>24</v>
      </c>
      <c r="G1545" t="s">
        <v>14</v>
      </c>
      <c r="H1545" t="s">
        <v>576</v>
      </c>
    </row>
    <row r="1546" spans="1:8" x14ac:dyDescent="0.25">
      <c r="A1546" t="s">
        <v>2494</v>
      </c>
      <c r="B1546" t="s">
        <v>113</v>
      </c>
      <c r="C1546" t="s">
        <v>3571</v>
      </c>
      <c r="D1546" t="s">
        <v>3572</v>
      </c>
      <c r="E1546" t="s">
        <v>29</v>
      </c>
      <c r="F1546" t="s">
        <v>30</v>
      </c>
      <c r="G1546" t="s">
        <v>14</v>
      </c>
      <c r="H1546" t="s">
        <v>205</v>
      </c>
    </row>
    <row r="1547" spans="1:8" x14ac:dyDescent="0.25">
      <c r="A1547" t="s">
        <v>2494</v>
      </c>
      <c r="B1547" t="s">
        <v>100</v>
      </c>
      <c r="C1547" t="s">
        <v>3573</v>
      </c>
      <c r="D1547" t="s">
        <v>3574</v>
      </c>
      <c r="E1547" t="s">
        <v>390</v>
      </c>
      <c r="F1547" t="s">
        <v>51</v>
      </c>
      <c r="G1547" t="s">
        <v>14</v>
      </c>
      <c r="H1547" t="s">
        <v>3575</v>
      </c>
    </row>
    <row r="1548" spans="1:8" x14ac:dyDescent="0.25">
      <c r="A1548" t="s">
        <v>2494</v>
      </c>
      <c r="B1548" t="s">
        <v>113</v>
      </c>
      <c r="C1548" t="s">
        <v>3576</v>
      </c>
      <c r="D1548" t="s">
        <v>3577</v>
      </c>
      <c r="E1548" t="s">
        <v>29</v>
      </c>
      <c r="F1548" t="s">
        <v>51</v>
      </c>
      <c r="G1548" t="s">
        <v>67</v>
      </c>
      <c r="H1548" t="s">
        <v>2336</v>
      </c>
    </row>
    <row r="1549" spans="1:8" x14ac:dyDescent="0.25">
      <c r="A1549" t="s">
        <v>2494</v>
      </c>
      <c r="B1549" t="s">
        <v>42</v>
      </c>
      <c r="C1549" t="s">
        <v>3578</v>
      </c>
      <c r="D1549" t="s">
        <v>3579</v>
      </c>
      <c r="E1549" t="s">
        <v>390</v>
      </c>
      <c r="F1549" t="s">
        <v>51</v>
      </c>
      <c r="G1549" t="s">
        <v>14</v>
      </c>
      <c r="H1549" t="s">
        <v>3580</v>
      </c>
    </row>
    <row r="1550" spans="1:8" x14ac:dyDescent="0.25">
      <c r="A1550" t="s">
        <v>2494</v>
      </c>
      <c r="B1550" t="s">
        <v>91</v>
      </c>
      <c r="C1550" t="s">
        <v>3581</v>
      </c>
      <c r="D1550" t="s">
        <v>3581</v>
      </c>
      <c r="E1550" t="s">
        <v>45</v>
      </c>
      <c r="F1550" t="s">
        <v>19</v>
      </c>
      <c r="G1550" t="s">
        <v>63</v>
      </c>
      <c r="H1550" t="s">
        <v>1675</v>
      </c>
    </row>
    <row r="1551" spans="1:8" x14ac:dyDescent="0.25">
      <c r="A1551" t="s">
        <v>2494</v>
      </c>
      <c r="B1551" t="s">
        <v>100</v>
      </c>
      <c r="C1551" t="s">
        <v>3582</v>
      </c>
      <c r="D1551" t="s">
        <v>3583</v>
      </c>
      <c r="E1551" t="s">
        <v>40</v>
      </c>
      <c r="F1551" t="s">
        <v>80</v>
      </c>
      <c r="G1551" t="s">
        <v>14</v>
      </c>
      <c r="H1551" t="s">
        <v>3584</v>
      </c>
    </row>
    <row r="1552" spans="1:8" x14ac:dyDescent="0.25">
      <c r="A1552" t="s">
        <v>2494</v>
      </c>
      <c r="B1552" t="s">
        <v>42</v>
      </c>
      <c r="C1552" t="s">
        <v>3585</v>
      </c>
      <c r="D1552" t="s">
        <v>3586</v>
      </c>
      <c r="E1552" t="s">
        <v>390</v>
      </c>
      <c r="F1552" t="s">
        <v>51</v>
      </c>
      <c r="G1552" t="s">
        <v>14</v>
      </c>
      <c r="H1552" t="s">
        <v>3587</v>
      </c>
    </row>
    <row r="1553" spans="1:8" x14ac:dyDescent="0.25">
      <c r="A1553" t="s">
        <v>2494</v>
      </c>
      <c r="B1553" t="s">
        <v>91</v>
      </c>
      <c r="C1553" t="s">
        <v>3588</v>
      </c>
      <c r="D1553" t="s">
        <v>3589</v>
      </c>
      <c r="E1553" t="s">
        <v>390</v>
      </c>
      <c r="F1553" t="s">
        <v>51</v>
      </c>
      <c r="G1553" t="s">
        <v>14</v>
      </c>
      <c r="H1553" t="s">
        <v>3590</v>
      </c>
    </row>
    <row r="1554" spans="1:8" x14ac:dyDescent="0.25">
      <c r="A1554" t="s">
        <v>2494</v>
      </c>
      <c r="B1554" t="s">
        <v>37</v>
      </c>
      <c r="C1554" t="s">
        <v>3591</v>
      </c>
      <c r="D1554" t="s">
        <v>3592</v>
      </c>
      <c r="E1554" t="s">
        <v>390</v>
      </c>
      <c r="F1554" t="s">
        <v>51</v>
      </c>
      <c r="G1554" t="s">
        <v>14</v>
      </c>
      <c r="H1554" t="s">
        <v>3593</v>
      </c>
    </row>
    <row r="1555" spans="1:8" x14ac:dyDescent="0.25">
      <c r="A1555" t="s">
        <v>2494</v>
      </c>
      <c r="B1555" t="s">
        <v>16</v>
      </c>
      <c r="C1555" t="s">
        <v>3594</v>
      </c>
      <c r="D1555" t="s">
        <v>3595</v>
      </c>
      <c r="E1555" t="s">
        <v>23</v>
      </c>
      <c r="F1555" t="s">
        <v>19</v>
      </c>
      <c r="G1555" t="s">
        <v>14</v>
      </c>
      <c r="H1555" t="s">
        <v>3596</v>
      </c>
    </row>
    <row r="1556" spans="1:8" x14ac:dyDescent="0.25">
      <c r="A1556" t="s">
        <v>2494</v>
      </c>
      <c r="B1556" t="s">
        <v>37</v>
      </c>
      <c r="C1556" t="s">
        <v>3597</v>
      </c>
      <c r="D1556" t="s">
        <v>3598</v>
      </c>
      <c r="E1556" t="s">
        <v>276</v>
      </c>
      <c r="F1556" t="s">
        <v>51</v>
      </c>
      <c r="G1556" t="s">
        <v>14</v>
      </c>
      <c r="H1556" t="s">
        <v>3599</v>
      </c>
    </row>
    <row r="1557" spans="1:8" x14ac:dyDescent="0.25">
      <c r="A1557" t="s">
        <v>2494</v>
      </c>
      <c r="B1557" t="s">
        <v>16</v>
      </c>
      <c r="C1557" t="s">
        <v>3600</v>
      </c>
      <c r="D1557" t="s">
        <v>3601</v>
      </c>
      <c r="E1557" t="s">
        <v>772</v>
      </c>
      <c r="F1557" t="s">
        <v>51</v>
      </c>
      <c r="G1557" t="s">
        <v>14</v>
      </c>
      <c r="H1557" t="s">
        <v>3602</v>
      </c>
    </row>
    <row r="1558" spans="1:8" x14ac:dyDescent="0.25">
      <c r="A1558" t="s">
        <v>2494</v>
      </c>
      <c r="B1558" t="s">
        <v>42</v>
      </c>
      <c r="C1558" t="s">
        <v>3603</v>
      </c>
      <c r="D1558" t="s">
        <v>3604</v>
      </c>
      <c r="E1558" t="s">
        <v>390</v>
      </c>
      <c r="F1558" t="s">
        <v>51</v>
      </c>
      <c r="G1558" t="s">
        <v>14</v>
      </c>
      <c r="H1558" t="s">
        <v>258</v>
      </c>
    </row>
    <row r="1559" spans="1:8" x14ac:dyDescent="0.25">
      <c r="A1559" t="s">
        <v>2494</v>
      </c>
      <c r="B1559" t="s">
        <v>37</v>
      </c>
      <c r="C1559" t="s">
        <v>3605</v>
      </c>
      <c r="D1559" t="s">
        <v>3606</v>
      </c>
      <c r="E1559" t="s">
        <v>40</v>
      </c>
      <c r="F1559" t="s">
        <v>80</v>
      </c>
      <c r="G1559" t="s">
        <v>14</v>
      </c>
      <c r="H1559" t="s">
        <v>1084</v>
      </c>
    </row>
    <row r="1560" spans="1:8" x14ac:dyDescent="0.25">
      <c r="A1560" t="s">
        <v>2494</v>
      </c>
      <c r="B1560" t="s">
        <v>37</v>
      </c>
      <c r="C1560" t="s">
        <v>3607</v>
      </c>
      <c r="D1560" t="s">
        <v>3608</v>
      </c>
      <c r="E1560" t="s">
        <v>390</v>
      </c>
      <c r="F1560" t="s">
        <v>51</v>
      </c>
      <c r="G1560" t="s">
        <v>14</v>
      </c>
      <c r="H1560" t="s">
        <v>2186</v>
      </c>
    </row>
    <row r="1561" spans="1:8" x14ac:dyDescent="0.25">
      <c r="A1561" t="s">
        <v>2494</v>
      </c>
      <c r="B1561" t="s">
        <v>37</v>
      </c>
      <c r="C1561" t="s">
        <v>3609</v>
      </c>
      <c r="D1561" t="s">
        <v>3610</v>
      </c>
      <c r="E1561" t="s">
        <v>29</v>
      </c>
      <c r="F1561" t="s">
        <v>97</v>
      </c>
      <c r="G1561" t="s">
        <v>98</v>
      </c>
      <c r="H1561" t="s">
        <v>3611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10"/>
  <sheetFormatPr defaultRowHeight="15" outlineLevelRow="0" outlineLevelCol="0" x14ac:dyDescent="55"/>
  <sheetData>
    <row r="1" spans="1:50" x14ac:dyDescent="0.25">
      <c r="A1" t="s">
        <v>3612</v>
      </c>
      <c r="B1" t="s">
        <v>3613</v>
      </c>
      <c r="C1" t="s">
        <v>3614</v>
      </c>
      <c r="D1" t="s">
        <v>3615</v>
      </c>
      <c r="E1" t="s">
        <v>3616</v>
      </c>
      <c r="F1" t="s">
        <v>3617</v>
      </c>
      <c r="G1" t="s">
        <v>3618</v>
      </c>
      <c r="H1" t="s">
        <v>3619</v>
      </c>
      <c r="I1" t="s">
        <v>3620</v>
      </c>
      <c r="J1" t="s">
        <v>3621</v>
      </c>
      <c r="K1" t="s">
        <v>3622</v>
      </c>
      <c r="L1" t="s">
        <v>3623</v>
      </c>
      <c r="M1" t="s">
        <v>3624</v>
      </c>
      <c r="N1" t="s">
        <v>3625</v>
      </c>
      <c r="O1" t="s">
        <v>3626</v>
      </c>
      <c r="P1" t="s">
        <v>3627</v>
      </c>
      <c r="Q1" t="s">
        <v>3628</v>
      </c>
      <c r="R1" t="s">
        <v>3629</v>
      </c>
      <c r="S1" t="s">
        <v>3630</v>
      </c>
      <c r="T1" t="s">
        <v>3631</v>
      </c>
      <c r="U1" t="s">
        <v>3632</v>
      </c>
      <c r="V1" t="s">
        <v>3633</v>
      </c>
      <c r="W1" t="s">
        <v>3634</v>
      </c>
      <c r="X1" t="s">
        <v>3635</v>
      </c>
      <c r="Y1" t="s">
        <v>3636</v>
      </c>
      <c r="Z1" t="s">
        <v>3637</v>
      </c>
      <c r="AA1" t="s">
        <v>3638</v>
      </c>
      <c r="AB1" t="s">
        <v>3639</v>
      </c>
      <c r="AC1" t="s">
        <v>3640</v>
      </c>
      <c r="AD1" t="s">
        <v>3641</v>
      </c>
      <c r="AE1" t="s">
        <v>3642</v>
      </c>
      <c r="AF1" t="s">
        <v>3643</v>
      </c>
      <c r="AG1" t="s">
        <v>3644</v>
      </c>
      <c r="AH1" t="s">
        <v>3645</v>
      </c>
      <c r="AI1" t="s">
        <v>3646</v>
      </c>
      <c r="AJ1" t="s">
        <v>3647</v>
      </c>
      <c r="AK1" t="s">
        <v>3648</v>
      </c>
      <c r="AL1" t="s">
        <v>3649</v>
      </c>
      <c r="AM1" t="s">
        <v>3650</v>
      </c>
      <c r="AN1" t="s">
        <v>3651</v>
      </c>
      <c r="AO1" t="s">
        <v>3652</v>
      </c>
      <c r="AP1" t="s">
        <v>3653</v>
      </c>
      <c r="AQ1" t="s">
        <v>3654</v>
      </c>
      <c r="AR1" t="s">
        <v>3655</v>
      </c>
      <c r="AS1" t="s">
        <v>3656</v>
      </c>
      <c r="AT1" t="s">
        <v>3657</v>
      </c>
      <c r="AU1" t="s">
        <v>3658</v>
      </c>
      <c r="AV1" t="s">
        <v>3659</v>
      </c>
      <c r="AW1" t="s">
        <v>3660</v>
      </c>
      <c r="AX1" t="s">
        <v>3661</v>
      </c>
    </row>
    <row r="2" spans="1:50" x14ac:dyDescent="0.25">
      <c r="A2" t="s">
        <v>3662</v>
      </c>
      <c r="B2" t="s">
        <v>3663</v>
      </c>
      <c r="C2" t="s">
        <v>3664</v>
      </c>
      <c r="D2" t="s">
        <v>3665</v>
      </c>
      <c r="E2" t="s">
        <v>3666</v>
      </c>
      <c r="F2" t="s">
        <v>3667</v>
      </c>
      <c r="G2" t="s">
        <v>3668</v>
      </c>
      <c r="H2" t="s">
        <v>3669</v>
      </c>
      <c r="I2" t="s">
        <v>3670</v>
      </c>
      <c r="J2" t="s">
        <v>3671</v>
      </c>
      <c r="K2" t="s">
        <v>3672</v>
      </c>
      <c r="L2" t="s">
        <v>3667</v>
      </c>
      <c r="M2" t="s">
        <v>3667</v>
      </c>
      <c r="N2" t="s">
        <v>3667</v>
      </c>
      <c r="O2" t="s">
        <v>3673</v>
      </c>
      <c r="P2" t="s">
        <v>3674</v>
      </c>
      <c r="Q2" t="s">
        <v>3675</v>
      </c>
      <c r="R2" t="s">
        <v>3668</v>
      </c>
      <c r="S2" t="s">
        <v>3667</v>
      </c>
      <c r="T2" t="s">
        <v>3667</v>
      </c>
      <c r="U2" t="s">
        <v>3667</v>
      </c>
      <c r="V2" t="s">
        <v>3667</v>
      </c>
      <c r="W2" t="s">
        <v>2269</v>
      </c>
      <c r="X2" t="s">
        <v>3676</v>
      </c>
      <c r="Y2" t="s">
        <v>3676</v>
      </c>
      <c r="Z2" t="s">
        <v>3676</v>
      </c>
      <c r="AA2" t="s">
        <v>3676</v>
      </c>
      <c r="AB2" t="s">
        <v>3274</v>
      </c>
      <c r="AC2" t="s">
        <v>3676</v>
      </c>
      <c r="AD2" t="s">
        <v>3676</v>
      </c>
      <c r="AE2" t="s">
        <v>3676</v>
      </c>
      <c r="AF2" t="s">
        <v>3676</v>
      </c>
      <c r="AG2" t="s">
        <v>3676</v>
      </c>
      <c r="AH2" t="s">
        <v>3676</v>
      </c>
      <c r="AI2" t="s">
        <v>3676</v>
      </c>
      <c r="AJ2" t="s">
        <v>3676</v>
      </c>
      <c r="AK2" t="s">
        <v>3676</v>
      </c>
      <c r="AL2" t="s">
        <v>3667</v>
      </c>
      <c r="AM2" t="s">
        <v>3667</v>
      </c>
      <c r="AN2" t="s">
        <v>3667</v>
      </c>
      <c r="AO2" t="s">
        <v>739</v>
      </c>
      <c r="AP2" t="s">
        <v>3676</v>
      </c>
      <c r="AQ2" t="s">
        <v>3676</v>
      </c>
      <c r="AR2" t="s">
        <v>739</v>
      </c>
      <c r="AS2" t="s">
        <v>3676</v>
      </c>
      <c r="AT2" t="s">
        <v>3676</v>
      </c>
      <c r="AU2" t="s">
        <v>3676</v>
      </c>
      <c r="AV2" t="s">
        <v>3676</v>
      </c>
      <c r="AW2" t="s">
        <v>3676</v>
      </c>
      <c r="AX2" t="s">
        <v>3677</v>
      </c>
    </row>
    <row r="3" spans="1:50" x14ac:dyDescent="0.25">
      <c r="A3" t="s">
        <v>3662</v>
      </c>
      <c r="B3" t="s">
        <v>3678</v>
      </c>
      <c r="C3" t="s">
        <v>3664</v>
      </c>
      <c r="D3" t="s">
        <v>3665</v>
      </c>
      <c r="E3" t="s">
        <v>3666</v>
      </c>
      <c r="F3" t="s">
        <v>3667</v>
      </c>
      <c r="G3" t="s">
        <v>3668</v>
      </c>
      <c r="H3" t="s">
        <v>3669</v>
      </c>
      <c r="I3" t="s">
        <v>3670</v>
      </c>
      <c r="J3" t="s">
        <v>3679</v>
      </c>
      <c r="K3" t="s">
        <v>3679</v>
      </c>
      <c r="L3" t="s">
        <v>3667</v>
      </c>
      <c r="M3" t="s">
        <v>3667</v>
      </c>
      <c r="N3" t="s">
        <v>3667</v>
      </c>
      <c r="O3" t="s">
        <v>3680</v>
      </c>
      <c r="P3" t="s">
        <v>3681</v>
      </c>
      <c r="Q3" t="s">
        <v>3682</v>
      </c>
      <c r="R3" t="s">
        <v>3668</v>
      </c>
      <c r="S3" t="s">
        <v>3667</v>
      </c>
      <c r="T3" t="s">
        <v>3667</v>
      </c>
      <c r="U3" t="s">
        <v>3667</v>
      </c>
      <c r="V3" t="s">
        <v>3667</v>
      </c>
      <c r="W3" t="s">
        <v>367</v>
      </c>
      <c r="X3" t="s">
        <v>3676</v>
      </c>
      <c r="Y3" t="s">
        <v>3676</v>
      </c>
      <c r="Z3" t="s">
        <v>3676</v>
      </c>
      <c r="AA3" t="s">
        <v>3676</v>
      </c>
      <c r="AB3" t="s">
        <v>3274</v>
      </c>
      <c r="AC3" t="s">
        <v>3676</v>
      </c>
      <c r="AD3" t="s">
        <v>3676</v>
      </c>
      <c r="AE3" t="s">
        <v>3676</v>
      </c>
      <c r="AF3" t="s">
        <v>3676</v>
      </c>
      <c r="AG3" t="s">
        <v>3676</v>
      </c>
      <c r="AH3" t="s">
        <v>3676</v>
      </c>
      <c r="AI3" t="s">
        <v>3676</v>
      </c>
      <c r="AJ3" t="s">
        <v>3676</v>
      </c>
      <c r="AK3" t="s">
        <v>3676</v>
      </c>
      <c r="AL3" t="s">
        <v>3667</v>
      </c>
      <c r="AM3" t="s">
        <v>3667</v>
      </c>
      <c r="AN3" t="s">
        <v>3667</v>
      </c>
      <c r="AO3" t="s">
        <v>458</v>
      </c>
      <c r="AP3" t="s">
        <v>3676</v>
      </c>
      <c r="AQ3" t="s">
        <v>3676</v>
      </c>
      <c r="AR3" t="s">
        <v>458</v>
      </c>
      <c r="AS3" t="s">
        <v>3676</v>
      </c>
      <c r="AT3" t="s">
        <v>3676</v>
      </c>
      <c r="AU3" t="s">
        <v>3676</v>
      </c>
      <c r="AV3" t="s">
        <v>3676</v>
      </c>
      <c r="AW3" t="s">
        <v>3676</v>
      </c>
      <c r="AX3" t="s">
        <v>3683</v>
      </c>
    </row>
    <row r="4" spans="1:50" x14ac:dyDescent="0.25">
      <c r="A4" t="s">
        <v>3662</v>
      </c>
      <c r="B4" t="s">
        <v>3684</v>
      </c>
      <c r="C4" t="s">
        <v>3664</v>
      </c>
      <c r="D4" t="s">
        <v>3665</v>
      </c>
      <c r="E4" t="s">
        <v>3666</v>
      </c>
      <c r="F4" t="s">
        <v>3667</v>
      </c>
      <c r="G4" t="s">
        <v>3685</v>
      </c>
      <c r="H4" t="s">
        <v>3669</v>
      </c>
      <c r="I4" t="s">
        <v>3670</v>
      </c>
      <c r="J4" t="s">
        <v>3686</v>
      </c>
      <c r="K4" t="s">
        <v>3686</v>
      </c>
      <c r="L4" t="s">
        <v>3667</v>
      </c>
      <c r="M4" t="s">
        <v>3667</v>
      </c>
      <c r="N4" t="s">
        <v>3667</v>
      </c>
      <c r="O4" t="s">
        <v>3687</v>
      </c>
      <c r="P4" t="s">
        <v>3688</v>
      </c>
      <c r="Q4" t="s">
        <v>3689</v>
      </c>
      <c r="R4" t="s">
        <v>3668</v>
      </c>
      <c r="S4" t="s">
        <v>3667</v>
      </c>
      <c r="T4" t="s">
        <v>3667</v>
      </c>
      <c r="U4" t="s">
        <v>3667</v>
      </c>
      <c r="V4" t="s">
        <v>3667</v>
      </c>
      <c r="W4" t="s">
        <v>3690</v>
      </c>
      <c r="X4" t="s">
        <v>3676</v>
      </c>
      <c r="Y4" t="s">
        <v>3676</v>
      </c>
      <c r="Z4" t="s">
        <v>3676</v>
      </c>
      <c r="AA4" t="s">
        <v>3676</v>
      </c>
      <c r="AB4" t="s">
        <v>3676</v>
      </c>
      <c r="AC4" t="s">
        <v>3676</v>
      </c>
      <c r="AD4" t="s">
        <v>3676</v>
      </c>
      <c r="AE4" t="s">
        <v>3676</v>
      </c>
      <c r="AF4" t="s">
        <v>3676</v>
      </c>
      <c r="AG4" t="s">
        <v>3676</v>
      </c>
      <c r="AH4" t="s">
        <v>3676</v>
      </c>
      <c r="AI4" t="s">
        <v>3676</v>
      </c>
      <c r="AJ4" t="s">
        <v>3676</v>
      </c>
      <c r="AK4" t="s">
        <v>3676</v>
      </c>
      <c r="AL4" t="s">
        <v>3667</v>
      </c>
      <c r="AM4" t="s">
        <v>3667</v>
      </c>
      <c r="AN4" t="s">
        <v>3667</v>
      </c>
      <c r="AO4" t="s">
        <v>3690</v>
      </c>
      <c r="AP4" t="s">
        <v>3676</v>
      </c>
      <c r="AQ4" t="s">
        <v>3676</v>
      </c>
      <c r="AR4" t="s">
        <v>3690</v>
      </c>
      <c r="AS4" t="s">
        <v>3676</v>
      </c>
      <c r="AT4" t="s">
        <v>3676</v>
      </c>
      <c r="AU4" t="s">
        <v>3676</v>
      </c>
      <c r="AV4" t="s">
        <v>3676</v>
      </c>
      <c r="AW4" t="s">
        <v>3676</v>
      </c>
      <c r="AX4" t="s">
        <v>3691</v>
      </c>
    </row>
    <row r="5" spans="1:50" x14ac:dyDescent="0.25">
      <c r="A5" t="s">
        <v>3662</v>
      </c>
      <c r="B5" t="s">
        <v>3692</v>
      </c>
      <c r="C5" t="s">
        <v>3664</v>
      </c>
      <c r="D5" t="s">
        <v>3665</v>
      </c>
      <c r="E5" t="s">
        <v>3666</v>
      </c>
      <c r="F5" t="s">
        <v>3667</v>
      </c>
      <c r="G5" t="s">
        <v>3668</v>
      </c>
      <c r="H5" t="s">
        <v>3669</v>
      </c>
      <c r="I5" t="s">
        <v>3670</v>
      </c>
      <c r="J5" t="s">
        <v>3693</v>
      </c>
      <c r="K5" t="s">
        <v>3687</v>
      </c>
      <c r="L5" t="s">
        <v>3667</v>
      </c>
      <c r="M5" t="s">
        <v>3667</v>
      </c>
      <c r="N5" t="s">
        <v>3667</v>
      </c>
      <c r="O5" t="s">
        <v>3694</v>
      </c>
      <c r="P5" t="s">
        <v>3695</v>
      </c>
      <c r="Q5" t="s">
        <v>3696</v>
      </c>
      <c r="R5" t="s">
        <v>3668</v>
      </c>
      <c r="S5" t="s">
        <v>3667</v>
      </c>
      <c r="T5" t="s">
        <v>3667</v>
      </c>
      <c r="U5" t="s">
        <v>3667</v>
      </c>
      <c r="V5" t="s">
        <v>3667</v>
      </c>
      <c r="W5" t="s">
        <v>137</v>
      </c>
      <c r="X5" t="s">
        <v>3676</v>
      </c>
      <c r="Y5" t="s">
        <v>3676</v>
      </c>
      <c r="Z5" t="s">
        <v>3676</v>
      </c>
      <c r="AA5" t="s">
        <v>3676</v>
      </c>
      <c r="AB5" t="s">
        <v>3274</v>
      </c>
      <c r="AC5" t="s">
        <v>3676</v>
      </c>
      <c r="AD5" t="s">
        <v>3676</v>
      </c>
      <c r="AE5" t="s">
        <v>3676</v>
      </c>
      <c r="AF5" t="s">
        <v>3676</v>
      </c>
      <c r="AG5" t="s">
        <v>3676</v>
      </c>
      <c r="AH5" t="s">
        <v>3676</v>
      </c>
      <c r="AI5" t="s">
        <v>3676</v>
      </c>
      <c r="AJ5" t="s">
        <v>3676</v>
      </c>
      <c r="AK5" t="s">
        <v>3676</v>
      </c>
      <c r="AL5" t="s">
        <v>3667</v>
      </c>
      <c r="AM5" t="s">
        <v>3667</v>
      </c>
      <c r="AN5" t="s">
        <v>3667</v>
      </c>
      <c r="AO5" t="s">
        <v>367</v>
      </c>
      <c r="AP5" t="s">
        <v>3676</v>
      </c>
      <c r="AQ5" t="s">
        <v>3676</v>
      </c>
      <c r="AR5" t="s">
        <v>367</v>
      </c>
      <c r="AS5" t="s">
        <v>3676</v>
      </c>
      <c r="AT5" t="s">
        <v>3676</v>
      </c>
      <c r="AU5" t="s">
        <v>3676</v>
      </c>
      <c r="AV5" t="s">
        <v>3676</v>
      </c>
      <c r="AW5" t="s">
        <v>3676</v>
      </c>
      <c r="AX5" t="s">
        <v>3697</v>
      </c>
    </row>
    <row r="6" spans="1:50" x14ac:dyDescent="0.25">
      <c r="A6" t="s">
        <v>3662</v>
      </c>
      <c r="B6" t="s">
        <v>3698</v>
      </c>
      <c r="C6" t="s">
        <v>3664</v>
      </c>
      <c r="D6" t="s">
        <v>3665</v>
      </c>
      <c r="E6" t="s">
        <v>3666</v>
      </c>
      <c r="F6" t="s">
        <v>3667</v>
      </c>
      <c r="G6" t="s">
        <v>3685</v>
      </c>
      <c r="H6" t="s">
        <v>3669</v>
      </c>
      <c r="I6" t="s">
        <v>3670</v>
      </c>
      <c r="J6" t="s">
        <v>3699</v>
      </c>
      <c r="K6" t="s">
        <v>3700</v>
      </c>
      <c r="L6" t="s">
        <v>3667</v>
      </c>
      <c r="M6" t="s">
        <v>3667</v>
      </c>
      <c r="N6" t="s">
        <v>3667</v>
      </c>
      <c r="O6" t="s">
        <v>3701</v>
      </c>
      <c r="P6" t="s">
        <v>3702</v>
      </c>
      <c r="Q6" t="s">
        <v>3703</v>
      </c>
      <c r="R6" t="s">
        <v>3668</v>
      </c>
      <c r="S6" t="s">
        <v>3667</v>
      </c>
      <c r="T6" t="s">
        <v>3667</v>
      </c>
      <c r="U6" t="s">
        <v>3667</v>
      </c>
      <c r="V6" t="s">
        <v>3667</v>
      </c>
      <c r="W6" t="s">
        <v>325</v>
      </c>
      <c r="X6" t="s">
        <v>3676</v>
      </c>
      <c r="Y6" t="s">
        <v>3676</v>
      </c>
      <c r="Z6" t="s">
        <v>3676</v>
      </c>
      <c r="AA6" t="s">
        <v>3676</v>
      </c>
      <c r="AB6" t="s">
        <v>3676</v>
      </c>
      <c r="AC6" t="s">
        <v>3676</v>
      </c>
      <c r="AD6" t="s">
        <v>3676</v>
      </c>
      <c r="AE6" t="s">
        <v>3676</v>
      </c>
      <c r="AF6" t="s">
        <v>3676</v>
      </c>
      <c r="AG6" t="s">
        <v>3676</v>
      </c>
      <c r="AH6" t="s">
        <v>3676</v>
      </c>
      <c r="AI6" t="s">
        <v>3676</v>
      </c>
      <c r="AJ6" t="s">
        <v>3676</v>
      </c>
      <c r="AK6" t="s">
        <v>3676</v>
      </c>
      <c r="AL6" t="s">
        <v>3667</v>
      </c>
      <c r="AM6" t="s">
        <v>3667</v>
      </c>
      <c r="AN6" t="s">
        <v>3667</v>
      </c>
      <c r="AO6" t="s">
        <v>325</v>
      </c>
      <c r="AP6" t="s">
        <v>3676</v>
      </c>
      <c r="AQ6" t="s">
        <v>3676</v>
      </c>
      <c r="AR6" t="s">
        <v>325</v>
      </c>
      <c r="AS6" t="s">
        <v>3676</v>
      </c>
      <c r="AT6" t="s">
        <v>3676</v>
      </c>
      <c r="AU6" t="s">
        <v>3676</v>
      </c>
      <c r="AV6" t="s">
        <v>3676</v>
      </c>
      <c r="AW6" t="s">
        <v>3676</v>
      </c>
      <c r="AX6" t="s">
        <v>3704</v>
      </c>
    </row>
    <row r="7" spans="1:50" x14ac:dyDescent="0.25">
      <c r="A7" t="s">
        <v>3662</v>
      </c>
      <c r="B7" t="s">
        <v>3705</v>
      </c>
      <c r="C7" t="s">
        <v>3664</v>
      </c>
      <c r="D7" t="s">
        <v>3665</v>
      </c>
      <c r="E7" t="s">
        <v>3666</v>
      </c>
      <c r="F7" t="s">
        <v>3667</v>
      </c>
      <c r="G7" t="s">
        <v>3685</v>
      </c>
      <c r="H7" t="s">
        <v>3669</v>
      </c>
      <c r="I7" t="s">
        <v>3670</v>
      </c>
      <c r="J7" t="s">
        <v>3706</v>
      </c>
      <c r="K7" t="s">
        <v>3707</v>
      </c>
      <c r="L7" t="s">
        <v>3667</v>
      </c>
      <c r="M7" t="s">
        <v>3667</v>
      </c>
      <c r="N7" t="s">
        <v>3667</v>
      </c>
      <c r="O7" t="s">
        <v>3708</v>
      </c>
      <c r="P7" t="s">
        <v>3708</v>
      </c>
      <c r="Q7" t="s">
        <v>3709</v>
      </c>
      <c r="R7" t="s">
        <v>3668</v>
      </c>
      <c r="S7" t="s">
        <v>3667</v>
      </c>
      <c r="T7" t="s">
        <v>3667</v>
      </c>
      <c r="U7" t="s">
        <v>3667</v>
      </c>
      <c r="V7" t="s">
        <v>3667</v>
      </c>
      <c r="W7" t="s">
        <v>462</v>
      </c>
      <c r="X7" t="s">
        <v>3676</v>
      </c>
      <c r="Y7" t="s">
        <v>3676</v>
      </c>
      <c r="Z7" t="s">
        <v>3676</v>
      </c>
      <c r="AA7" t="s">
        <v>3676</v>
      </c>
      <c r="AB7" t="s">
        <v>3676</v>
      </c>
      <c r="AC7" t="s">
        <v>3676</v>
      </c>
      <c r="AD7" t="s">
        <v>3676</v>
      </c>
      <c r="AE7" t="s">
        <v>3676</v>
      </c>
      <c r="AF7" t="s">
        <v>3676</v>
      </c>
      <c r="AG7" t="s">
        <v>3676</v>
      </c>
      <c r="AH7" t="s">
        <v>3676</v>
      </c>
      <c r="AI7" t="s">
        <v>3676</v>
      </c>
      <c r="AJ7" t="s">
        <v>3676</v>
      </c>
      <c r="AK7" t="s">
        <v>3676</v>
      </c>
      <c r="AL7" t="s">
        <v>3667</v>
      </c>
      <c r="AM7" t="s">
        <v>3667</v>
      </c>
      <c r="AN7" t="s">
        <v>3667</v>
      </c>
      <c r="AO7" t="s">
        <v>462</v>
      </c>
      <c r="AP7" t="s">
        <v>3676</v>
      </c>
      <c r="AQ7" t="s">
        <v>3676</v>
      </c>
      <c r="AR7" t="s">
        <v>462</v>
      </c>
      <c r="AS7" t="s">
        <v>3676</v>
      </c>
      <c r="AT7" t="s">
        <v>3676</v>
      </c>
      <c r="AU7" t="s">
        <v>3676</v>
      </c>
      <c r="AV7" t="s">
        <v>3676</v>
      </c>
      <c r="AW7" t="s">
        <v>3676</v>
      </c>
      <c r="AX7" t="s">
        <v>3710</v>
      </c>
    </row>
    <row r="8" spans="1:50" x14ac:dyDescent="0.25">
      <c r="A8" t="s">
        <v>3662</v>
      </c>
      <c r="B8" t="s">
        <v>3711</v>
      </c>
      <c r="C8" t="s">
        <v>3664</v>
      </c>
      <c r="D8" t="s">
        <v>3665</v>
      </c>
      <c r="E8" t="s">
        <v>3666</v>
      </c>
      <c r="F8" t="s">
        <v>3667</v>
      </c>
      <c r="G8" t="s">
        <v>3685</v>
      </c>
      <c r="H8" t="s">
        <v>3669</v>
      </c>
      <c r="I8" t="s">
        <v>3670</v>
      </c>
      <c r="J8" t="s">
        <v>3712</v>
      </c>
      <c r="K8" t="s">
        <v>3713</v>
      </c>
      <c r="L8" t="s">
        <v>3667</v>
      </c>
      <c r="M8" t="s">
        <v>3667</v>
      </c>
      <c r="N8" t="s">
        <v>3667</v>
      </c>
      <c r="O8" t="s">
        <v>3714</v>
      </c>
      <c r="P8" t="s">
        <v>3715</v>
      </c>
      <c r="Q8" t="s">
        <v>3716</v>
      </c>
      <c r="R8" t="s">
        <v>3668</v>
      </c>
      <c r="S8" t="s">
        <v>3667</v>
      </c>
      <c r="T8" t="s">
        <v>3667</v>
      </c>
      <c r="U8" t="s">
        <v>3667</v>
      </c>
      <c r="V8" t="s">
        <v>3667</v>
      </c>
      <c r="W8" t="s">
        <v>1168</v>
      </c>
      <c r="X8" t="s">
        <v>3676</v>
      </c>
      <c r="Y8" t="s">
        <v>3676</v>
      </c>
      <c r="Z8" t="s">
        <v>3676</v>
      </c>
      <c r="AA8" t="s">
        <v>3676</v>
      </c>
      <c r="AB8" t="s">
        <v>3676</v>
      </c>
      <c r="AC8" t="s">
        <v>3676</v>
      </c>
      <c r="AD8" t="s">
        <v>3676</v>
      </c>
      <c r="AE8" t="s">
        <v>3676</v>
      </c>
      <c r="AF8" t="s">
        <v>3676</v>
      </c>
      <c r="AG8" t="s">
        <v>3676</v>
      </c>
      <c r="AH8" t="s">
        <v>3676</v>
      </c>
      <c r="AI8" t="s">
        <v>3676</v>
      </c>
      <c r="AJ8" t="s">
        <v>3676</v>
      </c>
      <c r="AK8" t="s">
        <v>3676</v>
      </c>
      <c r="AL8" t="s">
        <v>3667</v>
      </c>
      <c r="AM8" t="s">
        <v>3667</v>
      </c>
      <c r="AN8" t="s">
        <v>3667</v>
      </c>
      <c r="AO8" t="s">
        <v>1168</v>
      </c>
      <c r="AP8" t="s">
        <v>3676</v>
      </c>
      <c r="AQ8" t="s">
        <v>3676</v>
      </c>
      <c r="AR8" t="s">
        <v>1168</v>
      </c>
      <c r="AS8" t="s">
        <v>3676</v>
      </c>
      <c r="AT8" t="s">
        <v>3676</v>
      </c>
      <c r="AU8" t="s">
        <v>3676</v>
      </c>
      <c r="AV8" t="s">
        <v>3676</v>
      </c>
      <c r="AW8" t="s">
        <v>3676</v>
      </c>
      <c r="AX8" t="s">
        <v>3717</v>
      </c>
    </row>
    <row r="9" spans="1:50" x14ac:dyDescent="0.25">
      <c r="A9" t="s">
        <v>3662</v>
      </c>
      <c r="B9" t="s">
        <v>3718</v>
      </c>
      <c r="C9" t="s">
        <v>3664</v>
      </c>
      <c r="D9" t="s">
        <v>3665</v>
      </c>
      <c r="E9" t="s">
        <v>3666</v>
      </c>
      <c r="F9" t="s">
        <v>3667</v>
      </c>
      <c r="G9" t="s">
        <v>3668</v>
      </c>
      <c r="H9" t="s">
        <v>3669</v>
      </c>
      <c r="I9" t="s">
        <v>3670</v>
      </c>
      <c r="J9" t="s">
        <v>3719</v>
      </c>
      <c r="K9" t="s">
        <v>3719</v>
      </c>
      <c r="L9" t="s">
        <v>3667</v>
      </c>
      <c r="M9" t="s">
        <v>3667</v>
      </c>
      <c r="N9" t="s">
        <v>3667</v>
      </c>
      <c r="O9" t="s">
        <v>3720</v>
      </c>
      <c r="P9" t="s">
        <v>3721</v>
      </c>
      <c r="Q9" t="s">
        <v>3722</v>
      </c>
      <c r="R9" t="s">
        <v>3668</v>
      </c>
      <c r="S9" t="s">
        <v>3667</v>
      </c>
      <c r="T9" t="s">
        <v>3667</v>
      </c>
      <c r="U9" t="s">
        <v>3667</v>
      </c>
      <c r="V9" t="s">
        <v>3667</v>
      </c>
      <c r="W9" t="s">
        <v>3723</v>
      </c>
      <c r="X9" t="s">
        <v>3676</v>
      </c>
      <c r="Y9" t="s">
        <v>3676</v>
      </c>
      <c r="Z9" t="s">
        <v>3676</v>
      </c>
      <c r="AA9" t="s">
        <v>3676</v>
      </c>
      <c r="AB9" t="s">
        <v>3274</v>
      </c>
      <c r="AC9" t="s">
        <v>3676</v>
      </c>
      <c r="AD9" t="s">
        <v>3676</v>
      </c>
      <c r="AE9" t="s">
        <v>3676</v>
      </c>
      <c r="AF9" t="s">
        <v>3676</v>
      </c>
      <c r="AG9" t="s">
        <v>3676</v>
      </c>
      <c r="AH9" t="s">
        <v>3676</v>
      </c>
      <c r="AI9" t="s">
        <v>3676</v>
      </c>
      <c r="AJ9" t="s">
        <v>3676</v>
      </c>
      <c r="AK9" t="s">
        <v>3676</v>
      </c>
      <c r="AL9" t="s">
        <v>3667</v>
      </c>
      <c r="AM9" t="s">
        <v>3667</v>
      </c>
      <c r="AN9" t="s">
        <v>3667</v>
      </c>
      <c r="AO9" t="s">
        <v>3724</v>
      </c>
      <c r="AP9" t="s">
        <v>3676</v>
      </c>
      <c r="AQ9" t="s">
        <v>3676</v>
      </c>
      <c r="AR9" t="s">
        <v>3724</v>
      </c>
      <c r="AS9" t="s">
        <v>3676</v>
      </c>
      <c r="AT9" t="s">
        <v>3676</v>
      </c>
      <c r="AU9" t="s">
        <v>3676</v>
      </c>
      <c r="AV9" t="s">
        <v>3676</v>
      </c>
      <c r="AW9" t="s">
        <v>3676</v>
      </c>
      <c r="AX9" t="s">
        <v>3725</v>
      </c>
    </row>
    <row r="10" spans="1:50" x14ac:dyDescent="0.25">
      <c r="A10" t="s">
        <v>3662</v>
      </c>
      <c r="B10" t="s">
        <v>3726</v>
      </c>
      <c r="C10" t="s">
        <v>3664</v>
      </c>
      <c r="D10" t="s">
        <v>3665</v>
      </c>
      <c r="E10" t="s">
        <v>3666</v>
      </c>
      <c r="F10" t="s">
        <v>3667</v>
      </c>
      <c r="G10" t="s">
        <v>3668</v>
      </c>
      <c r="H10" t="s">
        <v>3669</v>
      </c>
      <c r="I10" t="s">
        <v>3670</v>
      </c>
      <c r="J10" t="s">
        <v>3727</v>
      </c>
      <c r="K10" t="s">
        <v>3728</v>
      </c>
      <c r="L10" t="s">
        <v>3667</v>
      </c>
      <c r="M10" t="s">
        <v>3667</v>
      </c>
      <c r="N10" t="s">
        <v>3667</v>
      </c>
      <c r="O10" t="s">
        <v>3729</v>
      </c>
      <c r="P10" t="s">
        <v>3730</v>
      </c>
      <c r="Q10" t="s">
        <v>3731</v>
      </c>
      <c r="R10" t="s">
        <v>3668</v>
      </c>
      <c r="S10" t="s">
        <v>3667</v>
      </c>
      <c r="T10" t="s">
        <v>3667</v>
      </c>
      <c r="U10" t="s">
        <v>3667</v>
      </c>
      <c r="V10" t="s">
        <v>3667</v>
      </c>
      <c r="W10" t="s">
        <v>31</v>
      </c>
      <c r="X10" t="s">
        <v>3676</v>
      </c>
      <c r="Y10" t="s">
        <v>3676</v>
      </c>
      <c r="Z10" t="s">
        <v>3676</v>
      </c>
      <c r="AA10" t="s">
        <v>3676</v>
      </c>
      <c r="AB10" t="s">
        <v>3274</v>
      </c>
      <c r="AC10" t="s">
        <v>3676</v>
      </c>
      <c r="AD10" t="s">
        <v>3676</v>
      </c>
      <c r="AE10" t="s">
        <v>3676</v>
      </c>
      <c r="AF10" t="s">
        <v>3676</v>
      </c>
      <c r="AG10" t="s">
        <v>3676</v>
      </c>
      <c r="AH10" t="s">
        <v>3676</v>
      </c>
      <c r="AI10" t="s">
        <v>3676</v>
      </c>
      <c r="AJ10" t="s">
        <v>3676</v>
      </c>
      <c r="AK10" t="s">
        <v>3676</v>
      </c>
      <c r="AL10" t="s">
        <v>3667</v>
      </c>
      <c r="AM10" t="s">
        <v>3667</v>
      </c>
      <c r="AN10" t="s">
        <v>3667</v>
      </c>
      <c r="AO10" t="s">
        <v>872</v>
      </c>
      <c r="AP10" t="s">
        <v>3676</v>
      </c>
      <c r="AQ10" t="s">
        <v>3676</v>
      </c>
      <c r="AR10" t="s">
        <v>872</v>
      </c>
      <c r="AS10" t="s">
        <v>3676</v>
      </c>
      <c r="AT10" t="s">
        <v>3676</v>
      </c>
      <c r="AU10" t="s">
        <v>3676</v>
      </c>
      <c r="AV10" t="s">
        <v>3676</v>
      </c>
      <c r="AW10" t="s">
        <v>3676</v>
      </c>
      <c r="AX10" t="s">
        <v>3732</v>
      </c>
    </row>
    <row r="11" spans="1:50" x14ac:dyDescent="0.25">
      <c r="A11" t="s">
        <v>3662</v>
      </c>
      <c r="B11" t="s">
        <v>3733</v>
      </c>
      <c r="C11" t="s">
        <v>3664</v>
      </c>
      <c r="D11" t="s">
        <v>3665</v>
      </c>
      <c r="E11" t="s">
        <v>3734</v>
      </c>
      <c r="F11" t="s">
        <v>3667</v>
      </c>
      <c r="G11" t="s">
        <v>3668</v>
      </c>
      <c r="H11" t="s">
        <v>3669</v>
      </c>
      <c r="I11" t="s">
        <v>3670</v>
      </c>
      <c r="J11" t="s">
        <v>3728</v>
      </c>
      <c r="K11" t="s">
        <v>3728</v>
      </c>
      <c r="L11" t="s">
        <v>3667</v>
      </c>
      <c r="M11" t="s">
        <v>3667</v>
      </c>
      <c r="N11" t="s">
        <v>3667</v>
      </c>
      <c r="O11" t="s">
        <v>3729</v>
      </c>
      <c r="P11" t="s">
        <v>3730</v>
      </c>
      <c r="Q11" t="s">
        <v>3731</v>
      </c>
      <c r="R11" t="s">
        <v>3668</v>
      </c>
      <c r="S11" t="s">
        <v>3667</v>
      </c>
      <c r="T11" t="s">
        <v>3667</v>
      </c>
      <c r="U11" t="s">
        <v>3667</v>
      </c>
      <c r="V11" t="s">
        <v>3667</v>
      </c>
      <c r="W11" t="s">
        <v>2269</v>
      </c>
      <c r="X11" t="s">
        <v>3676</v>
      </c>
      <c r="Y11" t="s">
        <v>3676</v>
      </c>
      <c r="Z11" t="s">
        <v>3676</v>
      </c>
      <c r="AA11" t="s">
        <v>3676</v>
      </c>
      <c r="AB11" t="s">
        <v>3274</v>
      </c>
      <c r="AC11" t="s">
        <v>3676</v>
      </c>
      <c r="AD11" t="s">
        <v>3676</v>
      </c>
      <c r="AE11" t="s">
        <v>3676</v>
      </c>
      <c r="AF11" t="s">
        <v>3676</v>
      </c>
      <c r="AG11" t="s">
        <v>3676</v>
      </c>
      <c r="AH11" t="s">
        <v>3676</v>
      </c>
      <c r="AI11" t="s">
        <v>3676</v>
      </c>
      <c r="AJ11" t="s">
        <v>3676</v>
      </c>
      <c r="AK11" t="s">
        <v>3676</v>
      </c>
      <c r="AL11" t="s">
        <v>3667</v>
      </c>
      <c r="AM11" t="s">
        <v>3667</v>
      </c>
      <c r="AN11" t="s">
        <v>3667</v>
      </c>
      <c r="AO11" t="s">
        <v>3735</v>
      </c>
      <c r="AP11" t="s">
        <v>2269</v>
      </c>
      <c r="AQ11" t="s">
        <v>3676</v>
      </c>
      <c r="AR11" t="s">
        <v>3736</v>
      </c>
      <c r="AS11" t="s">
        <v>3676</v>
      </c>
      <c r="AT11" t="s">
        <v>3676</v>
      </c>
      <c r="AU11" t="s">
        <v>3676</v>
      </c>
      <c r="AV11" t="s">
        <v>3676</v>
      </c>
      <c r="AW11" t="s">
        <v>3676</v>
      </c>
      <c r="AX11" t="s">
        <v>3737</v>
      </c>
    </row>
    <row r="12" spans="1:50" x14ac:dyDescent="0.25">
      <c r="A12" t="s">
        <v>3662</v>
      </c>
      <c r="B12" t="s">
        <v>3738</v>
      </c>
      <c r="C12" t="s">
        <v>3664</v>
      </c>
      <c r="D12" t="s">
        <v>3665</v>
      </c>
      <c r="E12" t="s">
        <v>3666</v>
      </c>
      <c r="F12" t="s">
        <v>3667</v>
      </c>
      <c r="G12" t="s">
        <v>3685</v>
      </c>
      <c r="H12" t="s">
        <v>3669</v>
      </c>
      <c r="I12" t="s">
        <v>3670</v>
      </c>
      <c r="J12" t="s">
        <v>3739</v>
      </c>
      <c r="K12" t="s">
        <v>3739</v>
      </c>
      <c r="L12" t="s">
        <v>3667</v>
      </c>
      <c r="M12" t="s">
        <v>3667</v>
      </c>
      <c r="N12" t="s">
        <v>3667</v>
      </c>
      <c r="O12" t="s">
        <v>3740</v>
      </c>
      <c r="P12" t="s">
        <v>3741</v>
      </c>
      <c r="Q12" t="s">
        <v>3742</v>
      </c>
      <c r="R12" t="s">
        <v>3668</v>
      </c>
      <c r="S12" t="s">
        <v>3667</v>
      </c>
      <c r="T12" t="s">
        <v>3667</v>
      </c>
      <c r="U12" t="s">
        <v>3667</v>
      </c>
      <c r="V12" t="s">
        <v>3667</v>
      </c>
      <c r="W12" t="s">
        <v>3258</v>
      </c>
      <c r="X12" t="s">
        <v>3676</v>
      </c>
      <c r="Y12" t="s">
        <v>3676</v>
      </c>
      <c r="Z12" t="s">
        <v>3676</v>
      </c>
      <c r="AA12" t="s">
        <v>3676</v>
      </c>
      <c r="AB12" t="s">
        <v>3676</v>
      </c>
      <c r="AC12" t="s">
        <v>3676</v>
      </c>
      <c r="AD12" t="s">
        <v>3676</v>
      </c>
      <c r="AE12" t="s">
        <v>3676</v>
      </c>
      <c r="AF12" t="s">
        <v>3676</v>
      </c>
      <c r="AG12" t="s">
        <v>3676</v>
      </c>
      <c r="AH12" t="s">
        <v>3676</v>
      </c>
      <c r="AI12" t="s">
        <v>3676</v>
      </c>
      <c r="AJ12" t="s">
        <v>3676</v>
      </c>
      <c r="AK12" t="s">
        <v>3676</v>
      </c>
      <c r="AL12" t="s">
        <v>3667</v>
      </c>
      <c r="AM12" t="s">
        <v>3667</v>
      </c>
      <c r="AN12" t="s">
        <v>3667</v>
      </c>
      <c r="AO12" t="s">
        <v>3258</v>
      </c>
      <c r="AP12" t="s">
        <v>3676</v>
      </c>
      <c r="AQ12" t="s">
        <v>3676</v>
      </c>
      <c r="AR12" t="s">
        <v>3258</v>
      </c>
      <c r="AS12" t="s">
        <v>3676</v>
      </c>
      <c r="AT12" t="s">
        <v>3676</v>
      </c>
      <c r="AU12" t="s">
        <v>3676</v>
      </c>
      <c r="AV12" t="s">
        <v>3676</v>
      </c>
      <c r="AW12" t="s">
        <v>3676</v>
      </c>
      <c r="AX12" t="s">
        <v>3743</v>
      </c>
    </row>
    <row r="13" spans="1:50" x14ac:dyDescent="0.25">
      <c r="A13" t="s">
        <v>3662</v>
      </c>
      <c r="B13" t="s">
        <v>3744</v>
      </c>
      <c r="C13" t="s">
        <v>3664</v>
      </c>
      <c r="D13" t="s">
        <v>3665</v>
      </c>
      <c r="E13" t="s">
        <v>3666</v>
      </c>
      <c r="F13" t="s">
        <v>3667</v>
      </c>
      <c r="G13" t="s">
        <v>3668</v>
      </c>
      <c r="H13" t="s">
        <v>3669</v>
      </c>
      <c r="I13" t="s">
        <v>3670</v>
      </c>
      <c r="J13" t="s">
        <v>3745</v>
      </c>
      <c r="K13" t="s">
        <v>3745</v>
      </c>
      <c r="L13" t="s">
        <v>3667</v>
      </c>
      <c r="M13" t="s">
        <v>3667</v>
      </c>
      <c r="N13" t="s">
        <v>3667</v>
      </c>
      <c r="O13" t="s">
        <v>3740</v>
      </c>
      <c r="P13" t="s">
        <v>3746</v>
      </c>
      <c r="Q13" t="s">
        <v>3747</v>
      </c>
      <c r="R13" t="s">
        <v>3668</v>
      </c>
      <c r="S13" t="s">
        <v>3667</v>
      </c>
      <c r="T13" t="s">
        <v>3667</v>
      </c>
      <c r="U13" t="s">
        <v>3667</v>
      </c>
      <c r="V13" t="s">
        <v>3667</v>
      </c>
      <c r="W13" t="s">
        <v>240</v>
      </c>
      <c r="X13" t="s">
        <v>3676</v>
      </c>
      <c r="Y13" t="s">
        <v>3676</v>
      </c>
      <c r="Z13" t="s">
        <v>3676</v>
      </c>
      <c r="AA13" t="s">
        <v>3676</v>
      </c>
      <c r="AB13" t="s">
        <v>3274</v>
      </c>
      <c r="AC13" t="s">
        <v>3676</v>
      </c>
      <c r="AD13" t="s">
        <v>3676</v>
      </c>
      <c r="AE13" t="s">
        <v>3676</v>
      </c>
      <c r="AF13" t="s">
        <v>3676</v>
      </c>
      <c r="AG13" t="s">
        <v>3676</v>
      </c>
      <c r="AH13" t="s">
        <v>3676</v>
      </c>
      <c r="AI13" t="s">
        <v>3676</v>
      </c>
      <c r="AJ13" t="s">
        <v>3676</v>
      </c>
      <c r="AK13" t="s">
        <v>3676</v>
      </c>
      <c r="AL13" t="s">
        <v>3667</v>
      </c>
      <c r="AM13" t="s">
        <v>3667</v>
      </c>
      <c r="AN13" t="s">
        <v>3667</v>
      </c>
      <c r="AO13" t="s">
        <v>1675</v>
      </c>
      <c r="AP13" t="s">
        <v>3676</v>
      </c>
      <c r="AQ13" t="s">
        <v>3676</v>
      </c>
      <c r="AR13" t="s">
        <v>1675</v>
      </c>
      <c r="AS13" t="s">
        <v>3676</v>
      </c>
      <c r="AT13" t="s">
        <v>3676</v>
      </c>
      <c r="AU13" t="s">
        <v>3676</v>
      </c>
      <c r="AV13" t="s">
        <v>3676</v>
      </c>
      <c r="AW13" t="s">
        <v>3676</v>
      </c>
      <c r="AX13" t="s">
        <v>3748</v>
      </c>
    </row>
    <row r="14" spans="1:50" x14ac:dyDescent="0.25">
      <c r="A14" t="s">
        <v>3662</v>
      </c>
      <c r="B14" t="s">
        <v>3749</v>
      </c>
      <c r="C14" t="s">
        <v>3664</v>
      </c>
      <c r="D14" t="s">
        <v>3665</v>
      </c>
      <c r="E14" t="s">
        <v>3666</v>
      </c>
      <c r="F14" t="s">
        <v>3667</v>
      </c>
      <c r="G14" t="s">
        <v>3685</v>
      </c>
      <c r="H14" t="s">
        <v>3669</v>
      </c>
      <c r="I14" t="s">
        <v>3670</v>
      </c>
      <c r="J14" t="s">
        <v>3750</v>
      </c>
      <c r="K14" t="s">
        <v>3750</v>
      </c>
      <c r="L14" t="s">
        <v>3667</v>
      </c>
      <c r="M14" t="s">
        <v>3667</v>
      </c>
      <c r="N14" t="s">
        <v>3667</v>
      </c>
      <c r="O14" t="s">
        <v>3751</v>
      </c>
      <c r="P14" t="s">
        <v>3752</v>
      </c>
      <c r="Q14" t="s">
        <v>3753</v>
      </c>
      <c r="R14" t="s">
        <v>3668</v>
      </c>
      <c r="S14" t="s">
        <v>3667</v>
      </c>
      <c r="T14" t="s">
        <v>3667</v>
      </c>
      <c r="U14" t="s">
        <v>3667</v>
      </c>
      <c r="V14" t="s">
        <v>3667</v>
      </c>
      <c r="W14" t="s">
        <v>823</v>
      </c>
      <c r="X14" t="s">
        <v>3676</v>
      </c>
      <c r="Y14" t="s">
        <v>3676</v>
      </c>
      <c r="Z14" t="s">
        <v>3676</v>
      </c>
      <c r="AA14" t="s">
        <v>3676</v>
      </c>
      <c r="AB14" t="s">
        <v>3676</v>
      </c>
      <c r="AC14" t="s">
        <v>3676</v>
      </c>
      <c r="AD14" t="s">
        <v>3676</v>
      </c>
      <c r="AE14" t="s">
        <v>3676</v>
      </c>
      <c r="AF14" t="s">
        <v>3676</v>
      </c>
      <c r="AG14" t="s">
        <v>3676</v>
      </c>
      <c r="AH14" t="s">
        <v>3676</v>
      </c>
      <c r="AI14" t="s">
        <v>3676</v>
      </c>
      <c r="AJ14" t="s">
        <v>3676</v>
      </c>
      <c r="AK14" t="s">
        <v>3676</v>
      </c>
      <c r="AL14" t="s">
        <v>3667</v>
      </c>
      <c r="AM14" t="s">
        <v>3667</v>
      </c>
      <c r="AN14" t="s">
        <v>3667</v>
      </c>
      <c r="AO14" t="s">
        <v>823</v>
      </c>
      <c r="AP14" t="s">
        <v>3676</v>
      </c>
      <c r="AQ14" t="s">
        <v>3676</v>
      </c>
      <c r="AR14" t="s">
        <v>823</v>
      </c>
      <c r="AS14" t="s">
        <v>3676</v>
      </c>
      <c r="AT14" t="s">
        <v>3676</v>
      </c>
      <c r="AU14" t="s">
        <v>3676</v>
      </c>
      <c r="AV14" t="s">
        <v>3676</v>
      </c>
      <c r="AW14" t="s">
        <v>3676</v>
      </c>
      <c r="AX14" t="s">
        <v>3754</v>
      </c>
    </row>
    <row r="15" spans="1:50" x14ac:dyDescent="0.25">
      <c r="A15" t="s">
        <v>3662</v>
      </c>
      <c r="B15" t="s">
        <v>3755</v>
      </c>
      <c r="C15" t="s">
        <v>3664</v>
      </c>
      <c r="D15" t="s">
        <v>3665</v>
      </c>
      <c r="E15" t="s">
        <v>3666</v>
      </c>
      <c r="F15" t="s">
        <v>3667</v>
      </c>
      <c r="G15" t="s">
        <v>3685</v>
      </c>
      <c r="H15" t="s">
        <v>3669</v>
      </c>
      <c r="I15" t="s">
        <v>3670</v>
      </c>
      <c r="J15" t="s">
        <v>3756</v>
      </c>
      <c r="K15" t="s">
        <v>3757</v>
      </c>
      <c r="L15" t="s">
        <v>3667</v>
      </c>
      <c r="M15" t="s">
        <v>3667</v>
      </c>
      <c r="N15" t="s">
        <v>3667</v>
      </c>
      <c r="O15" t="s">
        <v>3758</v>
      </c>
      <c r="P15" t="s">
        <v>3759</v>
      </c>
      <c r="Q15" t="s">
        <v>3760</v>
      </c>
      <c r="R15" t="s">
        <v>3668</v>
      </c>
      <c r="S15" t="s">
        <v>3667</v>
      </c>
      <c r="T15" t="s">
        <v>3667</v>
      </c>
      <c r="U15" t="s">
        <v>3667</v>
      </c>
      <c r="V15" t="s">
        <v>3667</v>
      </c>
      <c r="W15" t="s">
        <v>217</v>
      </c>
      <c r="X15" t="s">
        <v>3676</v>
      </c>
      <c r="Y15" t="s">
        <v>3676</v>
      </c>
      <c r="Z15" t="s">
        <v>3676</v>
      </c>
      <c r="AA15" t="s">
        <v>3676</v>
      </c>
      <c r="AB15" t="s">
        <v>3676</v>
      </c>
      <c r="AC15" t="s">
        <v>3676</v>
      </c>
      <c r="AD15" t="s">
        <v>3676</v>
      </c>
      <c r="AE15" t="s">
        <v>3676</v>
      </c>
      <c r="AF15" t="s">
        <v>3676</v>
      </c>
      <c r="AG15" t="s">
        <v>3676</v>
      </c>
      <c r="AH15" t="s">
        <v>3676</v>
      </c>
      <c r="AI15" t="s">
        <v>3676</v>
      </c>
      <c r="AJ15" t="s">
        <v>3676</v>
      </c>
      <c r="AK15" t="s">
        <v>3676</v>
      </c>
      <c r="AL15" t="s">
        <v>3667</v>
      </c>
      <c r="AM15" t="s">
        <v>3667</v>
      </c>
      <c r="AN15" t="s">
        <v>3667</v>
      </c>
      <c r="AO15" t="s">
        <v>217</v>
      </c>
      <c r="AP15" t="s">
        <v>3676</v>
      </c>
      <c r="AQ15" t="s">
        <v>3676</v>
      </c>
      <c r="AR15" t="s">
        <v>217</v>
      </c>
      <c r="AS15" t="s">
        <v>3676</v>
      </c>
      <c r="AT15" t="s">
        <v>3676</v>
      </c>
      <c r="AU15" t="s">
        <v>3676</v>
      </c>
      <c r="AV15" t="s">
        <v>3676</v>
      </c>
      <c r="AW15" t="s">
        <v>3676</v>
      </c>
      <c r="AX15" t="s">
        <v>3761</v>
      </c>
    </row>
    <row r="16" spans="1:50" x14ac:dyDescent="0.25">
      <c r="A16" t="s">
        <v>3662</v>
      </c>
      <c r="B16" t="s">
        <v>3762</v>
      </c>
      <c r="C16" t="s">
        <v>3664</v>
      </c>
      <c r="D16" t="s">
        <v>3665</v>
      </c>
      <c r="E16" t="s">
        <v>3734</v>
      </c>
      <c r="F16" t="s">
        <v>3667</v>
      </c>
      <c r="G16" t="s">
        <v>3685</v>
      </c>
      <c r="H16" t="s">
        <v>3669</v>
      </c>
      <c r="I16" t="s">
        <v>3670</v>
      </c>
      <c r="J16" t="s">
        <v>3763</v>
      </c>
      <c r="K16" t="s">
        <v>3763</v>
      </c>
      <c r="L16" t="s">
        <v>3667</v>
      </c>
      <c r="M16" t="s">
        <v>3667</v>
      </c>
      <c r="N16" t="s">
        <v>3667</v>
      </c>
      <c r="O16" t="s">
        <v>3764</v>
      </c>
      <c r="P16" t="s">
        <v>3765</v>
      </c>
      <c r="Q16" t="s">
        <v>3766</v>
      </c>
      <c r="R16" t="s">
        <v>3668</v>
      </c>
      <c r="S16" t="s">
        <v>3667</v>
      </c>
      <c r="T16" t="s">
        <v>3667</v>
      </c>
      <c r="U16" t="s">
        <v>3667</v>
      </c>
      <c r="V16" t="s">
        <v>3667</v>
      </c>
      <c r="W16" t="s">
        <v>1715</v>
      </c>
      <c r="X16" t="s">
        <v>3676</v>
      </c>
      <c r="Y16" t="s">
        <v>3676</v>
      </c>
      <c r="Z16" t="s">
        <v>3676</v>
      </c>
      <c r="AA16" t="s">
        <v>3676</v>
      </c>
      <c r="AB16" t="s">
        <v>3676</v>
      </c>
      <c r="AC16" t="s">
        <v>3676</v>
      </c>
      <c r="AD16" t="s">
        <v>3676</v>
      </c>
      <c r="AE16" t="s">
        <v>3676</v>
      </c>
      <c r="AF16" t="s">
        <v>3676</v>
      </c>
      <c r="AG16" t="s">
        <v>3676</v>
      </c>
      <c r="AH16" t="s">
        <v>3676</v>
      </c>
      <c r="AI16" t="s">
        <v>3676</v>
      </c>
      <c r="AJ16" t="s">
        <v>3676</v>
      </c>
      <c r="AK16" t="s">
        <v>3676</v>
      </c>
      <c r="AL16" t="s">
        <v>3667</v>
      </c>
      <c r="AM16" t="s">
        <v>3667</v>
      </c>
      <c r="AN16" t="s">
        <v>3667</v>
      </c>
      <c r="AO16" t="s">
        <v>1715</v>
      </c>
      <c r="AP16" t="s">
        <v>3676</v>
      </c>
      <c r="AQ16" t="s">
        <v>3676</v>
      </c>
      <c r="AR16" t="s">
        <v>1715</v>
      </c>
      <c r="AS16" t="s">
        <v>3676</v>
      </c>
      <c r="AT16" t="s">
        <v>3676</v>
      </c>
      <c r="AU16" t="s">
        <v>3676</v>
      </c>
      <c r="AV16" t="s">
        <v>3676</v>
      </c>
      <c r="AW16" t="s">
        <v>3676</v>
      </c>
      <c r="AX16" t="s">
        <v>3767</v>
      </c>
    </row>
    <row r="17" spans="1:50" x14ac:dyDescent="0.25">
      <c r="A17" t="s">
        <v>3662</v>
      </c>
      <c r="B17" t="s">
        <v>3768</v>
      </c>
      <c r="C17" t="s">
        <v>3664</v>
      </c>
      <c r="D17" t="s">
        <v>3665</v>
      </c>
      <c r="E17" t="s">
        <v>3666</v>
      </c>
      <c r="F17" t="s">
        <v>3667</v>
      </c>
      <c r="G17" t="s">
        <v>3685</v>
      </c>
      <c r="H17" t="s">
        <v>3669</v>
      </c>
      <c r="I17" t="s">
        <v>3670</v>
      </c>
      <c r="J17" t="s">
        <v>3769</v>
      </c>
      <c r="K17" t="s">
        <v>3769</v>
      </c>
      <c r="L17" t="s">
        <v>3667</v>
      </c>
      <c r="M17" t="s">
        <v>3667</v>
      </c>
      <c r="N17" t="s">
        <v>3667</v>
      </c>
      <c r="O17" t="s">
        <v>3770</v>
      </c>
      <c r="P17" t="s">
        <v>3771</v>
      </c>
      <c r="Q17" t="s">
        <v>3772</v>
      </c>
      <c r="R17" t="s">
        <v>3668</v>
      </c>
      <c r="S17" t="s">
        <v>3667</v>
      </c>
      <c r="T17" t="s">
        <v>3667</v>
      </c>
      <c r="U17" t="s">
        <v>3667</v>
      </c>
      <c r="V17" t="s">
        <v>3667</v>
      </c>
      <c r="W17" t="s">
        <v>336</v>
      </c>
      <c r="X17" t="s">
        <v>3676</v>
      </c>
      <c r="Y17" t="s">
        <v>3676</v>
      </c>
      <c r="Z17" t="s">
        <v>3676</v>
      </c>
      <c r="AA17" t="s">
        <v>3676</v>
      </c>
      <c r="AB17" t="s">
        <v>3676</v>
      </c>
      <c r="AC17" t="s">
        <v>3676</v>
      </c>
      <c r="AD17" t="s">
        <v>3676</v>
      </c>
      <c r="AE17" t="s">
        <v>3676</v>
      </c>
      <c r="AF17" t="s">
        <v>3676</v>
      </c>
      <c r="AG17" t="s">
        <v>3676</v>
      </c>
      <c r="AH17" t="s">
        <v>3676</v>
      </c>
      <c r="AI17" t="s">
        <v>3676</v>
      </c>
      <c r="AJ17" t="s">
        <v>3676</v>
      </c>
      <c r="AK17" t="s">
        <v>3676</v>
      </c>
      <c r="AL17" t="s">
        <v>3667</v>
      </c>
      <c r="AM17" t="s">
        <v>3667</v>
      </c>
      <c r="AN17" t="s">
        <v>3667</v>
      </c>
      <c r="AO17" t="s">
        <v>336</v>
      </c>
      <c r="AP17" t="s">
        <v>3676</v>
      </c>
      <c r="AQ17" t="s">
        <v>3676</v>
      </c>
      <c r="AR17" t="s">
        <v>336</v>
      </c>
      <c r="AS17" t="s">
        <v>3676</v>
      </c>
      <c r="AT17" t="s">
        <v>3676</v>
      </c>
      <c r="AU17" t="s">
        <v>3676</v>
      </c>
      <c r="AV17" t="s">
        <v>3676</v>
      </c>
      <c r="AW17" t="s">
        <v>3676</v>
      </c>
      <c r="AX17" t="s">
        <v>3773</v>
      </c>
    </row>
    <row r="18" spans="1:50" x14ac:dyDescent="0.25">
      <c r="A18" t="s">
        <v>3662</v>
      </c>
      <c r="B18" t="s">
        <v>3774</v>
      </c>
      <c r="C18" t="s">
        <v>3664</v>
      </c>
      <c r="D18" t="s">
        <v>3665</v>
      </c>
      <c r="E18" t="s">
        <v>3734</v>
      </c>
      <c r="F18" t="s">
        <v>3667</v>
      </c>
      <c r="G18" t="s">
        <v>3668</v>
      </c>
      <c r="H18" t="s">
        <v>3669</v>
      </c>
      <c r="I18" t="s">
        <v>3670</v>
      </c>
      <c r="J18" t="s">
        <v>3775</v>
      </c>
      <c r="K18" t="s">
        <v>3775</v>
      </c>
      <c r="L18" t="s">
        <v>3667</v>
      </c>
      <c r="M18" t="s">
        <v>3667</v>
      </c>
      <c r="N18" t="s">
        <v>3667</v>
      </c>
      <c r="O18" t="s">
        <v>3776</v>
      </c>
      <c r="P18" t="s">
        <v>3777</v>
      </c>
      <c r="Q18" t="s">
        <v>3772</v>
      </c>
      <c r="R18" t="s">
        <v>3668</v>
      </c>
      <c r="S18" t="s">
        <v>3667</v>
      </c>
      <c r="T18" t="s">
        <v>3667</v>
      </c>
      <c r="U18" t="s">
        <v>3667</v>
      </c>
      <c r="V18" t="s">
        <v>3667</v>
      </c>
      <c r="W18" t="s">
        <v>2336</v>
      </c>
      <c r="X18" t="s">
        <v>3676</v>
      </c>
      <c r="Y18" t="s">
        <v>3676</v>
      </c>
      <c r="Z18" t="s">
        <v>3676</v>
      </c>
      <c r="AA18" t="s">
        <v>3676</v>
      </c>
      <c r="AB18" t="s">
        <v>3274</v>
      </c>
      <c r="AC18" t="s">
        <v>3676</v>
      </c>
      <c r="AD18" t="s">
        <v>3676</v>
      </c>
      <c r="AE18" t="s">
        <v>3676</v>
      </c>
      <c r="AF18" t="s">
        <v>3676</v>
      </c>
      <c r="AG18" t="s">
        <v>3676</v>
      </c>
      <c r="AH18" t="s">
        <v>3676</v>
      </c>
      <c r="AI18" t="s">
        <v>3676</v>
      </c>
      <c r="AJ18" t="s">
        <v>3676</v>
      </c>
      <c r="AK18" t="s">
        <v>3676</v>
      </c>
      <c r="AL18" t="s">
        <v>3667</v>
      </c>
      <c r="AM18" t="s">
        <v>3667</v>
      </c>
      <c r="AN18" t="s">
        <v>3667</v>
      </c>
      <c r="AO18" t="s">
        <v>3778</v>
      </c>
      <c r="AP18" t="s">
        <v>2336</v>
      </c>
      <c r="AQ18" t="s">
        <v>3676</v>
      </c>
      <c r="AR18" t="s">
        <v>3779</v>
      </c>
      <c r="AS18" t="s">
        <v>3676</v>
      </c>
      <c r="AT18" t="s">
        <v>3676</v>
      </c>
      <c r="AU18" t="s">
        <v>3676</v>
      </c>
      <c r="AV18" t="s">
        <v>3676</v>
      </c>
      <c r="AW18" t="s">
        <v>3676</v>
      </c>
      <c r="AX18" t="s">
        <v>3780</v>
      </c>
    </row>
    <row r="19" spans="1:50" x14ac:dyDescent="0.25">
      <c r="A19" t="s">
        <v>3662</v>
      </c>
      <c r="B19" t="s">
        <v>3781</v>
      </c>
      <c r="C19" t="s">
        <v>3664</v>
      </c>
      <c r="D19" t="s">
        <v>3665</v>
      </c>
      <c r="E19" t="s">
        <v>3666</v>
      </c>
      <c r="F19" t="s">
        <v>3667</v>
      </c>
      <c r="G19" t="s">
        <v>3685</v>
      </c>
      <c r="H19" t="s">
        <v>3669</v>
      </c>
      <c r="I19" t="s">
        <v>3670</v>
      </c>
      <c r="J19" t="s">
        <v>3782</v>
      </c>
      <c r="K19" t="s">
        <v>3782</v>
      </c>
      <c r="L19" t="s">
        <v>3667</v>
      </c>
      <c r="M19" t="s">
        <v>3667</v>
      </c>
      <c r="N19" t="s">
        <v>3667</v>
      </c>
      <c r="O19" t="s">
        <v>3783</v>
      </c>
      <c r="P19" t="s">
        <v>3784</v>
      </c>
      <c r="Q19" t="s">
        <v>3785</v>
      </c>
      <c r="R19" t="s">
        <v>3668</v>
      </c>
      <c r="S19" t="s">
        <v>3667</v>
      </c>
      <c r="T19" t="s">
        <v>3667</v>
      </c>
      <c r="U19" t="s">
        <v>3667</v>
      </c>
      <c r="V19" t="s">
        <v>3667</v>
      </c>
      <c r="W19" t="s">
        <v>1039</v>
      </c>
      <c r="X19" t="s">
        <v>3676</v>
      </c>
      <c r="Y19" t="s">
        <v>3676</v>
      </c>
      <c r="Z19" t="s">
        <v>3676</v>
      </c>
      <c r="AA19" t="s">
        <v>3676</v>
      </c>
      <c r="AB19" t="s">
        <v>3676</v>
      </c>
      <c r="AC19" t="s">
        <v>3676</v>
      </c>
      <c r="AD19" t="s">
        <v>3676</v>
      </c>
      <c r="AE19" t="s">
        <v>3676</v>
      </c>
      <c r="AF19" t="s">
        <v>3676</v>
      </c>
      <c r="AG19" t="s">
        <v>3676</v>
      </c>
      <c r="AH19" t="s">
        <v>3676</v>
      </c>
      <c r="AI19" t="s">
        <v>3676</v>
      </c>
      <c r="AJ19" t="s">
        <v>3676</v>
      </c>
      <c r="AK19" t="s">
        <v>3676</v>
      </c>
      <c r="AL19" t="s">
        <v>3667</v>
      </c>
      <c r="AM19" t="s">
        <v>3667</v>
      </c>
      <c r="AN19" t="s">
        <v>3667</v>
      </c>
      <c r="AO19" t="s">
        <v>1039</v>
      </c>
      <c r="AP19" t="s">
        <v>3676</v>
      </c>
      <c r="AQ19" t="s">
        <v>3676</v>
      </c>
      <c r="AR19" t="s">
        <v>1039</v>
      </c>
      <c r="AS19" t="s">
        <v>3676</v>
      </c>
      <c r="AT19" t="s">
        <v>3676</v>
      </c>
      <c r="AU19" t="s">
        <v>3676</v>
      </c>
      <c r="AV19" t="s">
        <v>3676</v>
      </c>
      <c r="AW19" t="s">
        <v>3676</v>
      </c>
      <c r="AX19" t="s">
        <v>3786</v>
      </c>
    </row>
    <row r="20" spans="1:50" x14ac:dyDescent="0.25">
      <c r="A20" t="s">
        <v>3787</v>
      </c>
      <c r="B20" t="s">
        <v>3788</v>
      </c>
      <c r="C20" t="s">
        <v>3789</v>
      </c>
      <c r="D20" t="s">
        <v>3665</v>
      </c>
      <c r="E20" t="s">
        <v>3666</v>
      </c>
      <c r="F20" t="s">
        <v>3667</v>
      </c>
      <c r="G20" t="s">
        <v>3685</v>
      </c>
      <c r="H20" t="s">
        <v>3790</v>
      </c>
      <c r="I20" t="s">
        <v>3791</v>
      </c>
      <c r="J20" t="s">
        <v>3792</v>
      </c>
      <c r="K20" t="s">
        <v>3792</v>
      </c>
      <c r="L20" t="s">
        <v>3667</v>
      </c>
      <c r="M20" t="s">
        <v>3667</v>
      </c>
      <c r="N20" t="s">
        <v>3667</v>
      </c>
      <c r="O20" t="s">
        <v>3667</v>
      </c>
      <c r="P20" t="s">
        <v>3793</v>
      </c>
      <c r="Q20" t="s">
        <v>3667</v>
      </c>
      <c r="R20" t="s">
        <v>3668</v>
      </c>
      <c r="S20" t="s">
        <v>3667</v>
      </c>
      <c r="T20" t="s">
        <v>3794</v>
      </c>
      <c r="U20" t="s">
        <v>3795</v>
      </c>
      <c r="V20" t="s">
        <v>3796</v>
      </c>
      <c r="W20" t="s">
        <v>2026</v>
      </c>
      <c r="X20" t="s">
        <v>3676</v>
      </c>
      <c r="Y20" t="s">
        <v>3676</v>
      </c>
      <c r="Z20" t="s">
        <v>3676</v>
      </c>
      <c r="AA20" t="s">
        <v>3676</v>
      </c>
      <c r="AB20" t="s">
        <v>3676</v>
      </c>
      <c r="AC20" t="s">
        <v>2026</v>
      </c>
      <c r="AD20" t="s">
        <v>3676</v>
      </c>
      <c r="AE20" t="s">
        <v>3676</v>
      </c>
      <c r="AF20" t="s">
        <v>3676</v>
      </c>
      <c r="AG20" t="s">
        <v>3676</v>
      </c>
      <c r="AH20" t="s">
        <v>3676</v>
      </c>
      <c r="AI20" t="s">
        <v>3676</v>
      </c>
      <c r="AJ20" t="s">
        <v>3676</v>
      </c>
      <c r="AK20" t="s">
        <v>3676</v>
      </c>
      <c r="AL20" t="s">
        <v>3667</v>
      </c>
      <c r="AM20" t="s">
        <v>3797</v>
      </c>
      <c r="AN20" t="s">
        <v>3667</v>
      </c>
      <c r="AO20" t="s">
        <v>2026</v>
      </c>
      <c r="AP20" t="s">
        <v>3676</v>
      </c>
      <c r="AQ20" t="s">
        <v>3676</v>
      </c>
      <c r="AR20" t="s">
        <v>2026</v>
      </c>
      <c r="AS20" t="s">
        <v>3676</v>
      </c>
      <c r="AT20" t="s">
        <v>3676</v>
      </c>
      <c r="AU20" t="s">
        <v>3676</v>
      </c>
      <c r="AV20" t="s">
        <v>3676</v>
      </c>
      <c r="AW20" t="s">
        <v>3676</v>
      </c>
      <c r="AX20" t="s">
        <v>3798</v>
      </c>
    </row>
    <row r="21" spans="1:50" x14ac:dyDescent="0.25">
      <c r="A21" t="s">
        <v>3787</v>
      </c>
      <c r="B21" t="s">
        <v>3799</v>
      </c>
      <c r="C21" t="s">
        <v>3789</v>
      </c>
      <c r="D21" t="s">
        <v>3665</v>
      </c>
      <c r="E21" t="s">
        <v>3666</v>
      </c>
      <c r="F21" t="s">
        <v>3667</v>
      </c>
      <c r="G21" t="s">
        <v>3685</v>
      </c>
      <c r="H21" t="s">
        <v>3790</v>
      </c>
      <c r="I21" t="s">
        <v>3670</v>
      </c>
      <c r="J21" t="s">
        <v>3800</v>
      </c>
      <c r="K21" t="s">
        <v>3800</v>
      </c>
      <c r="L21" t="s">
        <v>3667</v>
      </c>
      <c r="M21" t="s">
        <v>3667</v>
      </c>
      <c r="N21" t="s">
        <v>3667</v>
      </c>
      <c r="O21" t="s">
        <v>3801</v>
      </c>
      <c r="P21" t="s">
        <v>3802</v>
      </c>
      <c r="Q21" t="s">
        <v>3803</v>
      </c>
      <c r="R21" t="s">
        <v>3668</v>
      </c>
      <c r="S21" t="s">
        <v>3667</v>
      </c>
      <c r="T21" t="s">
        <v>3667</v>
      </c>
      <c r="U21" t="s">
        <v>3667</v>
      </c>
      <c r="V21" t="s">
        <v>3667</v>
      </c>
      <c r="W21" t="s">
        <v>2026</v>
      </c>
      <c r="X21" t="s">
        <v>3676</v>
      </c>
      <c r="Y21" t="s">
        <v>3676</v>
      </c>
      <c r="Z21" t="s">
        <v>3676</v>
      </c>
      <c r="AA21" t="s">
        <v>3676</v>
      </c>
      <c r="AB21" t="s">
        <v>3676</v>
      </c>
      <c r="AC21" t="s">
        <v>3676</v>
      </c>
      <c r="AD21" t="s">
        <v>3676</v>
      </c>
      <c r="AE21" t="s">
        <v>3676</v>
      </c>
      <c r="AF21" t="s">
        <v>3676</v>
      </c>
      <c r="AG21" t="s">
        <v>3676</v>
      </c>
      <c r="AH21" t="s">
        <v>3676</v>
      </c>
      <c r="AI21" t="s">
        <v>3676</v>
      </c>
      <c r="AJ21" t="s">
        <v>3676</v>
      </c>
      <c r="AK21" t="s">
        <v>3676</v>
      </c>
      <c r="AL21" t="s">
        <v>3667</v>
      </c>
      <c r="AM21" t="s">
        <v>3667</v>
      </c>
      <c r="AN21" t="s">
        <v>3667</v>
      </c>
      <c r="AO21" t="s">
        <v>2026</v>
      </c>
      <c r="AP21" t="s">
        <v>3676</v>
      </c>
      <c r="AQ21" t="s">
        <v>3676</v>
      </c>
      <c r="AR21" t="s">
        <v>2026</v>
      </c>
      <c r="AS21" t="s">
        <v>3676</v>
      </c>
      <c r="AT21" t="s">
        <v>3676</v>
      </c>
      <c r="AU21" t="s">
        <v>3676</v>
      </c>
      <c r="AV21" t="s">
        <v>3676</v>
      </c>
      <c r="AW21" t="s">
        <v>3676</v>
      </c>
      <c r="AX21" t="s">
        <v>3798</v>
      </c>
    </row>
    <row r="22" spans="1:50" x14ac:dyDescent="0.25">
      <c r="A22" t="s">
        <v>3787</v>
      </c>
      <c r="B22" t="s">
        <v>3804</v>
      </c>
      <c r="C22" t="s">
        <v>3789</v>
      </c>
      <c r="D22" t="s">
        <v>3665</v>
      </c>
      <c r="E22" t="s">
        <v>3666</v>
      </c>
      <c r="F22" t="s">
        <v>3667</v>
      </c>
      <c r="G22" t="s">
        <v>3685</v>
      </c>
      <c r="H22" t="s">
        <v>3790</v>
      </c>
      <c r="I22" t="s">
        <v>3670</v>
      </c>
      <c r="J22" t="s">
        <v>3805</v>
      </c>
      <c r="K22" t="s">
        <v>3806</v>
      </c>
      <c r="L22" t="s">
        <v>3667</v>
      </c>
      <c r="M22" t="s">
        <v>3667</v>
      </c>
      <c r="N22" t="s">
        <v>3667</v>
      </c>
      <c r="O22" t="s">
        <v>3807</v>
      </c>
      <c r="P22" t="s">
        <v>3808</v>
      </c>
      <c r="Q22" t="s">
        <v>3809</v>
      </c>
      <c r="R22" t="s">
        <v>3668</v>
      </c>
      <c r="S22" t="s">
        <v>3667</v>
      </c>
      <c r="T22" t="s">
        <v>3667</v>
      </c>
      <c r="U22" t="s">
        <v>3667</v>
      </c>
      <c r="V22" t="s">
        <v>3667</v>
      </c>
      <c r="W22" t="s">
        <v>84</v>
      </c>
      <c r="X22" t="s">
        <v>3676</v>
      </c>
      <c r="Y22" t="s">
        <v>3676</v>
      </c>
      <c r="Z22" t="s">
        <v>3676</v>
      </c>
      <c r="AA22" t="s">
        <v>3676</v>
      </c>
      <c r="AB22" t="s">
        <v>3676</v>
      </c>
      <c r="AC22" t="s">
        <v>3676</v>
      </c>
      <c r="AD22" t="s">
        <v>3676</v>
      </c>
      <c r="AE22" t="s">
        <v>3676</v>
      </c>
      <c r="AF22" t="s">
        <v>3676</v>
      </c>
      <c r="AG22" t="s">
        <v>3676</v>
      </c>
      <c r="AH22" t="s">
        <v>3676</v>
      </c>
      <c r="AI22" t="s">
        <v>3676</v>
      </c>
      <c r="AJ22" t="s">
        <v>3676</v>
      </c>
      <c r="AK22" t="s">
        <v>3676</v>
      </c>
      <c r="AL22" t="s">
        <v>3667</v>
      </c>
      <c r="AM22" t="s">
        <v>3667</v>
      </c>
      <c r="AN22" t="s">
        <v>3667</v>
      </c>
      <c r="AO22" t="s">
        <v>84</v>
      </c>
      <c r="AP22" t="s">
        <v>3676</v>
      </c>
      <c r="AQ22" t="s">
        <v>3676</v>
      </c>
      <c r="AR22" t="s">
        <v>84</v>
      </c>
      <c r="AS22" t="s">
        <v>3676</v>
      </c>
      <c r="AT22" t="s">
        <v>3676</v>
      </c>
      <c r="AU22" t="s">
        <v>3676</v>
      </c>
      <c r="AV22" t="s">
        <v>3676</v>
      </c>
      <c r="AW22" t="s">
        <v>3676</v>
      </c>
      <c r="AX22" t="s">
        <v>3810</v>
      </c>
    </row>
    <row r="23" spans="1:50" x14ac:dyDescent="0.25">
      <c r="A23" t="s">
        <v>3787</v>
      </c>
      <c r="B23" t="s">
        <v>3811</v>
      </c>
      <c r="C23" t="s">
        <v>3789</v>
      </c>
      <c r="D23" t="s">
        <v>3665</v>
      </c>
      <c r="E23" t="s">
        <v>3666</v>
      </c>
      <c r="F23" t="s">
        <v>3667</v>
      </c>
      <c r="G23" t="s">
        <v>3668</v>
      </c>
      <c r="H23" t="s">
        <v>3790</v>
      </c>
      <c r="I23" t="s">
        <v>3670</v>
      </c>
      <c r="J23" t="s">
        <v>3812</v>
      </c>
      <c r="K23" t="s">
        <v>3812</v>
      </c>
      <c r="L23" t="s">
        <v>3667</v>
      </c>
      <c r="M23" t="s">
        <v>3667</v>
      </c>
      <c r="N23" t="s">
        <v>3667</v>
      </c>
      <c r="O23" t="s">
        <v>3813</v>
      </c>
      <c r="P23" t="s">
        <v>3814</v>
      </c>
      <c r="Q23" t="s">
        <v>3719</v>
      </c>
      <c r="R23" t="s">
        <v>3668</v>
      </c>
      <c r="S23" t="s">
        <v>3667</v>
      </c>
      <c r="T23" t="s">
        <v>3667</v>
      </c>
      <c r="U23" t="s">
        <v>3667</v>
      </c>
      <c r="V23" t="s">
        <v>3667</v>
      </c>
      <c r="W23" t="s">
        <v>707</v>
      </c>
      <c r="X23" t="s">
        <v>3676</v>
      </c>
      <c r="Y23" t="s">
        <v>3676</v>
      </c>
      <c r="Z23" t="s">
        <v>3676</v>
      </c>
      <c r="AA23" t="s">
        <v>3676</v>
      </c>
      <c r="AB23" t="s">
        <v>3274</v>
      </c>
      <c r="AC23" t="s">
        <v>3676</v>
      </c>
      <c r="AD23" t="s">
        <v>3676</v>
      </c>
      <c r="AE23" t="s">
        <v>3676</v>
      </c>
      <c r="AF23" t="s">
        <v>3676</v>
      </c>
      <c r="AG23" t="s">
        <v>3676</v>
      </c>
      <c r="AH23" t="s">
        <v>3676</v>
      </c>
      <c r="AI23" t="s">
        <v>3676</v>
      </c>
      <c r="AJ23" t="s">
        <v>3676</v>
      </c>
      <c r="AK23" t="s">
        <v>3676</v>
      </c>
      <c r="AL23" t="s">
        <v>3667</v>
      </c>
      <c r="AM23" t="s">
        <v>3667</v>
      </c>
      <c r="AN23" t="s">
        <v>3667</v>
      </c>
      <c r="AO23" t="s">
        <v>378</v>
      </c>
      <c r="AP23" t="s">
        <v>3676</v>
      </c>
      <c r="AQ23" t="s">
        <v>3676</v>
      </c>
      <c r="AR23" t="s">
        <v>378</v>
      </c>
      <c r="AS23" t="s">
        <v>3676</v>
      </c>
      <c r="AT23" t="s">
        <v>3676</v>
      </c>
      <c r="AU23" t="s">
        <v>3676</v>
      </c>
      <c r="AV23" t="s">
        <v>3676</v>
      </c>
      <c r="AW23" t="s">
        <v>3676</v>
      </c>
      <c r="AX23" t="s">
        <v>3815</v>
      </c>
    </row>
    <row r="24" spans="1:50" x14ac:dyDescent="0.25">
      <c r="A24" t="s">
        <v>3787</v>
      </c>
      <c r="B24" t="s">
        <v>3816</v>
      </c>
      <c r="C24" t="s">
        <v>3789</v>
      </c>
      <c r="D24" t="s">
        <v>3665</v>
      </c>
      <c r="E24" t="s">
        <v>3666</v>
      </c>
      <c r="F24" t="s">
        <v>3667</v>
      </c>
      <c r="G24" t="s">
        <v>3668</v>
      </c>
      <c r="H24" t="s">
        <v>3790</v>
      </c>
      <c r="I24" t="s">
        <v>3670</v>
      </c>
      <c r="J24" t="s">
        <v>3817</v>
      </c>
      <c r="K24" t="s">
        <v>3814</v>
      </c>
      <c r="L24" t="s">
        <v>3667</v>
      </c>
      <c r="M24" t="s">
        <v>3667</v>
      </c>
      <c r="N24" t="s">
        <v>3667</v>
      </c>
      <c r="O24" t="s">
        <v>3818</v>
      </c>
      <c r="P24" t="s">
        <v>3819</v>
      </c>
      <c r="Q24" t="s">
        <v>3721</v>
      </c>
      <c r="R24" t="s">
        <v>3668</v>
      </c>
      <c r="S24" t="s">
        <v>3667</v>
      </c>
      <c r="T24" t="s">
        <v>3667</v>
      </c>
      <c r="U24" t="s">
        <v>3667</v>
      </c>
      <c r="V24" t="s">
        <v>3667</v>
      </c>
      <c r="W24" t="s">
        <v>57</v>
      </c>
      <c r="X24" t="s">
        <v>3676</v>
      </c>
      <c r="Y24" t="s">
        <v>3676</v>
      </c>
      <c r="Z24" t="s">
        <v>3676</v>
      </c>
      <c r="AA24" t="s">
        <v>3676</v>
      </c>
      <c r="AB24" t="s">
        <v>3274</v>
      </c>
      <c r="AC24" t="s">
        <v>3676</v>
      </c>
      <c r="AD24" t="s">
        <v>3676</v>
      </c>
      <c r="AE24" t="s">
        <v>3676</v>
      </c>
      <c r="AF24" t="s">
        <v>3676</v>
      </c>
      <c r="AG24" t="s">
        <v>3676</v>
      </c>
      <c r="AH24" t="s">
        <v>3676</v>
      </c>
      <c r="AI24" t="s">
        <v>3676</v>
      </c>
      <c r="AJ24" t="s">
        <v>3676</v>
      </c>
      <c r="AK24" t="s">
        <v>3676</v>
      </c>
      <c r="AL24" t="s">
        <v>3667</v>
      </c>
      <c r="AM24" t="s">
        <v>3667</v>
      </c>
      <c r="AN24" t="s">
        <v>3667</v>
      </c>
      <c r="AO24" t="s">
        <v>1523</v>
      </c>
      <c r="AP24" t="s">
        <v>3676</v>
      </c>
      <c r="AQ24" t="s">
        <v>3676</v>
      </c>
      <c r="AR24" t="s">
        <v>1523</v>
      </c>
      <c r="AS24" t="s">
        <v>3676</v>
      </c>
      <c r="AT24" t="s">
        <v>3676</v>
      </c>
      <c r="AU24" t="s">
        <v>3676</v>
      </c>
      <c r="AV24" t="s">
        <v>3676</v>
      </c>
      <c r="AW24" t="s">
        <v>3676</v>
      </c>
      <c r="AX24" t="s">
        <v>3820</v>
      </c>
    </row>
    <row r="25" spans="1:50" x14ac:dyDescent="0.25">
      <c r="A25" t="s">
        <v>3787</v>
      </c>
      <c r="B25" t="s">
        <v>3821</v>
      </c>
      <c r="C25" t="s">
        <v>3789</v>
      </c>
      <c r="D25" t="s">
        <v>3665</v>
      </c>
      <c r="E25" t="s">
        <v>3666</v>
      </c>
      <c r="F25" t="s">
        <v>3667</v>
      </c>
      <c r="G25" t="s">
        <v>3668</v>
      </c>
      <c r="H25" t="s">
        <v>3790</v>
      </c>
      <c r="I25" t="s">
        <v>3822</v>
      </c>
      <c r="J25" t="s">
        <v>3823</v>
      </c>
      <c r="K25" t="s">
        <v>3823</v>
      </c>
      <c r="L25" t="s">
        <v>3667</v>
      </c>
      <c r="M25" t="s">
        <v>3667</v>
      </c>
      <c r="N25" t="s">
        <v>3667</v>
      </c>
      <c r="O25" t="s">
        <v>3824</v>
      </c>
      <c r="P25" t="s">
        <v>3825</v>
      </c>
      <c r="Q25" t="s">
        <v>3826</v>
      </c>
      <c r="R25" t="s">
        <v>3668</v>
      </c>
      <c r="S25" t="s">
        <v>3667</v>
      </c>
      <c r="T25" t="s">
        <v>3667</v>
      </c>
      <c r="U25" t="s">
        <v>3667</v>
      </c>
      <c r="V25" t="s">
        <v>3667</v>
      </c>
      <c r="W25" t="s">
        <v>352</v>
      </c>
      <c r="X25" t="s">
        <v>3676</v>
      </c>
      <c r="Y25" t="s">
        <v>3676</v>
      </c>
      <c r="Z25" t="s">
        <v>3676</v>
      </c>
      <c r="AA25" t="s">
        <v>3676</v>
      </c>
      <c r="AB25" t="s">
        <v>3274</v>
      </c>
      <c r="AC25" t="s">
        <v>3676</v>
      </c>
      <c r="AD25" t="s">
        <v>3676</v>
      </c>
      <c r="AE25" t="s">
        <v>3676</v>
      </c>
      <c r="AF25" t="s">
        <v>3676</v>
      </c>
      <c r="AG25" t="s">
        <v>3676</v>
      </c>
      <c r="AH25" t="s">
        <v>3676</v>
      </c>
      <c r="AI25" t="s">
        <v>3676</v>
      </c>
      <c r="AJ25" t="s">
        <v>3676</v>
      </c>
      <c r="AK25" t="s">
        <v>3676</v>
      </c>
      <c r="AL25" t="s">
        <v>3667</v>
      </c>
      <c r="AM25" t="s">
        <v>3667</v>
      </c>
      <c r="AN25" t="s">
        <v>3667</v>
      </c>
      <c r="AO25" t="s">
        <v>1147</v>
      </c>
      <c r="AP25" t="s">
        <v>3676</v>
      </c>
      <c r="AQ25" t="s">
        <v>3676</v>
      </c>
      <c r="AR25" t="s">
        <v>1147</v>
      </c>
      <c r="AS25" t="s">
        <v>3676</v>
      </c>
      <c r="AT25" t="s">
        <v>3676</v>
      </c>
      <c r="AU25" t="s">
        <v>3676</v>
      </c>
      <c r="AV25" t="s">
        <v>3676</v>
      </c>
      <c r="AW25" t="s">
        <v>3676</v>
      </c>
      <c r="AX25" t="s">
        <v>3827</v>
      </c>
    </row>
    <row r="26" spans="1:50" x14ac:dyDescent="0.25">
      <c r="A26" t="s">
        <v>3787</v>
      </c>
      <c r="B26" t="s">
        <v>3828</v>
      </c>
      <c r="C26" t="s">
        <v>3789</v>
      </c>
      <c r="D26" t="s">
        <v>3665</v>
      </c>
      <c r="E26" t="s">
        <v>3734</v>
      </c>
      <c r="F26" t="s">
        <v>3667</v>
      </c>
      <c r="G26" t="s">
        <v>3668</v>
      </c>
      <c r="H26" t="s">
        <v>3790</v>
      </c>
      <c r="I26" t="s">
        <v>3670</v>
      </c>
      <c r="J26" t="s">
        <v>3829</v>
      </c>
      <c r="K26" t="s">
        <v>3830</v>
      </c>
      <c r="L26" t="s">
        <v>3667</v>
      </c>
      <c r="M26" t="s">
        <v>3667</v>
      </c>
      <c r="N26" t="s">
        <v>3667</v>
      </c>
      <c r="O26" t="s">
        <v>3831</v>
      </c>
      <c r="P26" t="s">
        <v>3832</v>
      </c>
      <c r="Q26" t="s">
        <v>3833</v>
      </c>
      <c r="R26" t="s">
        <v>3668</v>
      </c>
      <c r="S26" t="s">
        <v>3667</v>
      </c>
      <c r="T26" t="s">
        <v>3667</v>
      </c>
      <c r="U26" t="s">
        <v>3667</v>
      </c>
      <c r="V26" t="s">
        <v>3667</v>
      </c>
      <c r="W26" t="s">
        <v>413</v>
      </c>
      <c r="X26" t="s">
        <v>3676</v>
      </c>
      <c r="Y26" t="s">
        <v>3676</v>
      </c>
      <c r="Z26" t="s">
        <v>3676</v>
      </c>
      <c r="AA26" t="s">
        <v>3676</v>
      </c>
      <c r="AB26" t="s">
        <v>3274</v>
      </c>
      <c r="AC26" t="s">
        <v>3676</v>
      </c>
      <c r="AD26" t="s">
        <v>3676</v>
      </c>
      <c r="AE26" t="s">
        <v>3676</v>
      </c>
      <c r="AF26" t="s">
        <v>3676</v>
      </c>
      <c r="AG26" t="s">
        <v>3676</v>
      </c>
      <c r="AH26" t="s">
        <v>3676</v>
      </c>
      <c r="AI26" t="s">
        <v>3676</v>
      </c>
      <c r="AJ26" t="s">
        <v>3676</v>
      </c>
      <c r="AK26" t="s">
        <v>3676</v>
      </c>
      <c r="AL26" t="s">
        <v>3667</v>
      </c>
      <c r="AM26" t="s">
        <v>3667</v>
      </c>
      <c r="AN26" t="s">
        <v>3667</v>
      </c>
      <c r="AO26" t="s">
        <v>3834</v>
      </c>
      <c r="AP26" t="s">
        <v>3676</v>
      </c>
      <c r="AQ26" t="s">
        <v>3676</v>
      </c>
      <c r="AR26" t="s">
        <v>3834</v>
      </c>
      <c r="AS26" t="s">
        <v>3676</v>
      </c>
      <c r="AT26" t="s">
        <v>3676</v>
      </c>
      <c r="AU26" t="s">
        <v>3676</v>
      </c>
      <c r="AV26" t="s">
        <v>3676</v>
      </c>
      <c r="AW26" t="s">
        <v>3676</v>
      </c>
      <c r="AX26" t="s">
        <v>3835</v>
      </c>
    </row>
    <row r="27" spans="1:50" x14ac:dyDescent="0.25">
      <c r="A27" t="s">
        <v>3787</v>
      </c>
      <c r="B27" t="s">
        <v>3836</v>
      </c>
      <c r="C27" t="s">
        <v>3789</v>
      </c>
      <c r="D27" t="s">
        <v>3665</v>
      </c>
      <c r="E27" t="s">
        <v>3666</v>
      </c>
      <c r="F27" t="s">
        <v>3667</v>
      </c>
      <c r="G27" t="s">
        <v>3668</v>
      </c>
      <c r="H27" t="s">
        <v>3790</v>
      </c>
      <c r="I27" t="s">
        <v>3670</v>
      </c>
      <c r="J27" t="s">
        <v>3837</v>
      </c>
      <c r="K27" t="s">
        <v>3838</v>
      </c>
      <c r="L27" t="s">
        <v>3667</v>
      </c>
      <c r="M27" t="s">
        <v>3667</v>
      </c>
      <c r="N27" t="s">
        <v>3667</v>
      </c>
      <c r="O27" t="s">
        <v>3839</v>
      </c>
      <c r="P27" t="s">
        <v>3840</v>
      </c>
      <c r="Q27" t="s">
        <v>3841</v>
      </c>
      <c r="R27" t="s">
        <v>3668</v>
      </c>
      <c r="S27" t="s">
        <v>3667</v>
      </c>
      <c r="T27" t="s">
        <v>3667</v>
      </c>
      <c r="U27" t="s">
        <v>3667</v>
      </c>
      <c r="V27" t="s">
        <v>3667</v>
      </c>
      <c r="W27" t="s">
        <v>68</v>
      </c>
      <c r="X27" t="s">
        <v>3676</v>
      </c>
      <c r="Y27" t="s">
        <v>3676</v>
      </c>
      <c r="Z27" t="s">
        <v>3676</v>
      </c>
      <c r="AA27" t="s">
        <v>3676</v>
      </c>
      <c r="AB27" t="s">
        <v>3274</v>
      </c>
      <c r="AC27" t="s">
        <v>3676</v>
      </c>
      <c r="AD27" t="s">
        <v>3676</v>
      </c>
      <c r="AE27" t="s">
        <v>3676</v>
      </c>
      <c r="AF27" t="s">
        <v>3676</v>
      </c>
      <c r="AG27" t="s">
        <v>3676</v>
      </c>
      <c r="AH27" t="s">
        <v>3676</v>
      </c>
      <c r="AI27" t="s">
        <v>3676</v>
      </c>
      <c r="AJ27" t="s">
        <v>3676</v>
      </c>
      <c r="AK27" t="s">
        <v>3676</v>
      </c>
      <c r="AL27" t="s">
        <v>3667</v>
      </c>
      <c r="AM27" t="s">
        <v>3667</v>
      </c>
      <c r="AN27" t="s">
        <v>3667</v>
      </c>
      <c r="AO27" t="s">
        <v>509</v>
      </c>
      <c r="AP27" t="s">
        <v>3676</v>
      </c>
      <c r="AQ27" t="s">
        <v>3676</v>
      </c>
      <c r="AR27" t="s">
        <v>509</v>
      </c>
      <c r="AS27" t="s">
        <v>3676</v>
      </c>
      <c r="AT27" t="s">
        <v>3676</v>
      </c>
      <c r="AU27" t="s">
        <v>3676</v>
      </c>
      <c r="AV27" t="s">
        <v>3676</v>
      </c>
      <c r="AW27" t="s">
        <v>3676</v>
      </c>
      <c r="AX27" t="s">
        <v>3842</v>
      </c>
    </row>
    <row r="28" spans="1:50" x14ac:dyDescent="0.25">
      <c r="A28" t="s">
        <v>3787</v>
      </c>
      <c r="B28" t="s">
        <v>3843</v>
      </c>
      <c r="C28" t="s">
        <v>3789</v>
      </c>
      <c r="D28" t="s">
        <v>3665</v>
      </c>
      <c r="E28" t="s">
        <v>3666</v>
      </c>
      <c r="F28" t="s">
        <v>3667</v>
      </c>
      <c r="G28" t="s">
        <v>3685</v>
      </c>
      <c r="H28" t="s">
        <v>3790</v>
      </c>
      <c r="I28" t="s">
        <v>3670</v>
      </c>
      <c r="J28" t="s">
        <v>3844</v>
      </c>
      <c r="K28" t="s">
        <v>3844</v>
      </c>
      <c r="L28" t="s">
        <v>3667</v>
      </c>
      <c r="M28" t="s">
        <v>3667</v>
      </c>
      <c r="N28" t="s">
        <v>3667</v>
      </c>
      <c r="O28" t="s">
        <v>3839</v>
      </c>
      <c r="P28" t="s">
        <v>3845</v>
      </c>
      <c r="Q28" t="s">
        <v>3747</v>
      </c>
      <c r="R28" t="s">
        <v>3668</v>
      </c>
      <c r="S28" t="s">
        <v>3667</v>
      </c>
      <c r="T28" t="s">
        <v>3667</v>
      </c>
      <c r="U28" t="s">
        <v>3667</v>
      </c>
      <c r="V28" t="s">
        <v>3667</v>
      </c>
      <c r="W28" t="s">
        <v>506</v>
      </c>
      <c r="X28" t="s">
        <v>3676</v>
      </c>
      <c r="Y28" t="s">
        <v>3676</v>
      </c>
      <c r="Z28" t="s">
        <v>3676</v>
      </c>
      <c r="AA28" t="s">
        <v>3676</v>
      </c>
      <c r="AB28" t="s">
        <v>3676</v>
      </c>
      <c r="AC28" t="s">
        <v>3676</v>
      </c>
      <c r="AD28" t="s">
        <v>3676</v>
      </c>
      <c r="AE28" t="s">
        <v>3676</v>
      </c>
      <c r="AF28" t="s">
        <v>3676</v>
      </c>
      <c r="AG28" t="s">
        <v>3676</v>
      </c>
      <c r="AH28" t="s">
        <v>3676</v>
      </c>
      <c r="AI28" t="s">
        <v>3676</v>
      </c>
      <c r="AJ28" t="s">
        <v>3676</v>
      </c>
      <c r="AK28" t="s">
        <v>3676</v>
      </c>
      <c r="AL28" t="s">
        <v>3667</v>
      </c>
      <c r="AM28" t="s">
        <v>3667</v>
      </c>
      <c r="AN28" t="s">
        <v>3667</v>
      </c>
      <c r="AO28" t="s">
        <v>506</v>
      </c>
      <c r="AP28" t="s">
        <v>3676</v>
      </c>
      <c r="AQ28" t="s">
        <v>3676</v>
      </c>
      <c r="AR28" t="s">
        <v>506</v>
      </c>
      <c r="AS28" t="s">
        <v>3676</v>
      </c>
      <c r="AT28" t="s">
        <v>3676</v>
      </c>
      <c r="AU28" t="s">
        <v>3676</v>
      </c>
      <c r="AV28" t="s">
        <v>3676</v>
      </c>
      <c r="AW28" t="s">
        <v>3676</v>
      </c>
      <c r="AX28" t="s">
        <v>3846</v>
      </c>
    </row>
    <row r="29" spans="1:50" x14ac:dyDescent="0.25">
      <c r="A29" t="s">
        <v>3787</v>
      </c>
      <c r="B29" t="s">
        <v>3847</v>
      </c>
      <c r="C29" t="s">
        <v>3789</v>
      </c>
      <c r="D29" t="s">
        <v>3665</v>
      </c>
      <c r="E29" t="s">
        <v>3666</v>
      </c>
      <c r="F29" t="s">
        <v>3667</v>
      </c>
      <c r="G29" t="s">
        <v>3668</v>
      </c>
      <c r="H29" t="s">
        <v>3790</v>
      </c>
      <c r="I29" t="s">
        <v>3670</v>
      </c>
      <c r="J29" t="s">
        <v>3848</v>
      </c>
      <c r="K29" t="s">
        <v>3848</v>
      </c>
      <c r="L29" t="s">
        <v>3667</v>
      </c>
      <c r="M29" t="s">
        <v>3667</v>
      </c>
      <c r="N29" t="s">
        <v>3667</v>
      </c>
      <c r="O29" t="s">
        <v>3849</v>
      </c>
      <c r="P29" t="s">
        <v>3850</v>
      </c>
      <c r="Q29" t="s">
        <v>3851</v>
      </c>
      <c r="R29" t="s">
        <v>3668</v>
      </c>
      <c r="S29" t="s">
        <v>3667</v>
      </c>
      <c r="T29" t="s">
        <v>3667</v>
      </c>
      <c r="U29" t="s">
        <v>3667</v>
      </c>
      <c r="V29" t="s">
        <v>3667</v>
      </c>
      <c r="W29" t="s">
        <v>707</v>
      </c>
      <c r="X29" t="s">
        <v>3676</v>
      </c>
      <c r="Y29" t="s">
        <v>3676</v>
      </c>
      <c r="Z29" t="s">
        <v>3676</v>
      </c>
      <c r="AA29" t="s">
        <v>3676</v>
      </c>
      <c r="AB29" t="s">
        <v>3274</v>
      </c>
      <c r="AC29" t="s">
        <v>3676</v>
      </c>
      <c r="AD29" t="s">
        <v>3676</v>
      </c>
      <c r="AE29" t="s">
        <v>3676</v>
      </c>
      <c r="AF29" t="s">
        <v>3676</v>
      </c>
      <c r="AG29" t="s">
        <v>3676</v>
      </c>
      <c r="AH29" t="s">
        <v>3676</v>
      </c>
      <c r="AI29" t="s">
        <v>3676</v>
      </c>
      <c r="AJ29" t="s">
        <v>3676</v>
      </c>
      <c r="AK29" t="s">
        <v>3676</v>
      </c>
      <c r="AL29" t="s">
        <v>3667</v>
      </c>
      <c r="AM29" t="s">
        <v>3667</v>
      </c>
      <c r="AN29" t="s">
        <v>3667</v>
      </c>
      <c r="AO29" t="s">
        <v>378</v>
      </c>
      <c r="AP29" t="s">
        <v>3676</v>
      </c>
      <c r="AQ29" t="s">
        <v>3676</v>
      </c>
      <c r="AR29" t="s">
        <v>378</v>
      </c>
      <c r="AS29" t="s">
        <v>3676</v>
      </c>
      <c r="AT29" t="s">
        <v>3676</v>
      </c>
      <c r="AU29" t="s">
        <v>3676</v>
      </c>
      <c r="AV29" t="s">
        <v>3676</v>
      </c>
      <c r="AW29" t="s">
        <v>3676</v>
      </c>
      <c r="AX29" t="s">
        <v>3852</v>
      </c>
    </row>
    <row r="30" spans="1:50" x14ac:dyDescent="0.25">
      <c r="A30" t="s">
        <v>3787</v>
      </c>
      <c r="B30" t="s">
        <v>3853</v>
      </c>
      <c r="C30" t="s">
        <v>3789</v>
      </c>
      <c r="D30" t="s">
        <v>3665</v>
      </c>
      <c r="E30" t="s">
        <v>3666</v>
      </c>
      <c r="F30" t="s">
        <v>3667</v>
      </c>
      <c r="G30" t="s">
        <v>3668</v>
      </c>
      <c r="H30" t="s">
        <v>3790</v>
      </c>
      <c r="I30" t="s">
        <v>3670</v>
      </c>
      <c r="J30" t="s">
        <v>3854</v>
      </c>
      <c r="K30" t="s">
        <v>3854</v>
      </c>
      <c r="L30" t="s">
        <v>3667</v>
      </c>
      <c r="M30" t="s">
        <v>3667</v>
      </c>
      <c r="N30" t="s">
        <v>3667</v>
      </c>
      <c r="O30" t="s">
        <v>3849</v>
      </c>
      <c r="P30" t="s">
        <v>3855</v>
      </c>
      <c r="Q30" t="s">
        <v>3856</v>
      </c>
      <c r="R30" t="s">
        <v>3668</v>
      </c>
      <c r="S30" t="s">
        <v>3667</v>
      </c>
      <c r="T30" t="s">
        <v>3667</v>
      </c>
      <c r="U30" t="s">
        <v>3667</v>
      </c>
      <c r="V30" t="s">
        <v>3667</v>
      </c>
      <c r="W30" t="s">
        <v>739</v>
      </c>
      <c r="X30" t="s">
        <v>3676</v>
      </c>
      <c r="Y30" t="s">
        <v>3676</v>
      </c>
      <c r="Z30" t="s">
        <v>3676</v>
      </c>
      <c r="AA30" t="s">
        <v>3676</v>
      </c>
      <c r="AB30" t="s">
        <v>3274</v>
      </c>
      <c r="AC30" t="s">
        <v>3676</v>
      </c>
      <c r="AD30" t="s">
        <v>3676</v>
      </c>
      <c r="AE30" t="s">
        <v>3676</v>
      </c>
      <c r="AF30" t="s">
        <v>3676</v>
      </c>
      <c r="AG30" t="s">
        <v>3676</v>
      </c>
      <c r="AH30" t="s">
        <v>3676</v>
      </c>
      <c r="AI30" t="s">
        <v>3676</v>
      </c>
      <c r="AJ30" t="s">
        <v>3676</v>
      </c>
      <c r="AK30" t="s">
        <v>3676</v>
      </c>
      <c r="AL30" t="s">
        <v>3667</v>
      </c>
      <c r="AM30" t="s">
        <v>3667</v>
      </c>
      <c r="AN30" t="s">
        <v>3667</v>
      </c>
      <c r="AO30" t="s">
        <v>446</v>
      </c>
      <c r="AP30" t="s">
        <v>3676</v>
      </c>
      <c r="AQ30" t="s">
        <v>3676</v>
      </c>
      <c r="AR30" t="s">
        <v>446</v>
      </c>
      <c r="AS30" t="s">
        <v>3676</v>
      </c>
      <c r="AT30" t="s">
        <v>3676</v>
      </c>
      <c r="AU30" t="s">
        <v>3676</v>
      </c>
      <c r="AV30" t="s">
        <v>3676</v>
      </c>
      <c r="AW30" t="s">
        <v>3676</v>
      </c>
      <c r="AX30" t="s">
        <v>3857</v>
      </c>
    </row>
    <row r="31" spans="1:50" x14ac:dyDescent="0.25">
      <c r="A31" t="s">
        <v>3787</v>
      </c>
      <c r="B31" t="s">
        <v>3858</v>
      </c>
      <c r="C31" t="s">
        <v>3789</v>
      </c>
      <c r="D31" t="s">
        <v>3665</v>
      </c>
      <c r="E31" t="s">
        <v>3666</v>
      </c>
      <c r="F31" t="s">
        <v>3667</v>
      </c>
      <c r="G31" t="s">
        <v>3685</v>
      </c>
      <c r="H31" t="s">
        <v>3790</v>
      </c>
      <c r="I31" t="s">
        <v>3670</v>
      </c>
      <c r="J31" t="s">
        <v>3859</v>
      </c>
      <c r="K31" t="s">
        <v>3860</v>
      </c>
      <c r="L31" t="s">
        <v>3667</v>
      </c>
      <c r="M31" t="s">
        <v>3667</v>
      </c>
      <c r="N31" t="s">
        <v>3667</v>
      </c>
      <c r="O31" t="s">
        <v>3861</v>
      </c>
      <c r="P31" t="s">
        <v>3862</v>
      </c>
      <c r="Q31" t="s">
        <v>3863</v>
      </c>
      <c r="R31" t="s">
        <v>3668</v>
      </c>
      <c r="S31" t="s">
        <v>3667</v>
      </c>
      <c r="T31" t="s">
        <v>3667</v>
      </c>
      <c r="U31" t="s">
        <v>3667</v>
      </c>
      <c r="V31" t="s">
        <v>3667</v>
      </c>
      <c r="W31" t="s">
        <v>707</v>
      </c>
      <c r="X31" t="s">
        <v>3676</v>
      </c>
      <c r="Y31" t="s">
        <v>3676</v>
      </c>
      <c r="Z31" t="s">
        <v>3676</v>
      </c>
      <c r="AA31" t="s">
        <v>3676</v>
      </c>
      <c r="AB31" t="s">
        <v>3676</v>
      </c>
      <c r="AC31" t="s">
        <v>3676</v>
      </c>
      <c r="AD31" t="s">
        <v>3676</v>
      </c>
      <c r="AE31" t="s">
        <v>3676</v>
      </c>
      <c r="AF31" t="s">
        <v>3676</v>
      </c>
      <c r="AG31" t="s">
        <v>3676</v>
      </c>
      <c r="AH31" t="s">
        <v>3676</v>
      </c>
      <c r="AI31" t="s">
        <v>3676</v>
      </c>
      <c r="AJ31" t="s">
        <v>3676</v>
      </c>
      <c r="AK31" t="s">
        <v>3676</v>
      </c>
      <c r="AL31" t="s">
        <v>3667</v>
      </c>
      <c r="AM31" t="s">
        <v>3667</v>
      </c>
      <c r="AN31" t="s">
        <v>3667</v>
      </c>
      <c r="AO31" t="s">
        <v>707</v>
      </c>
      <c r="AP31" t="s">
        <v>3676</v>
      </c>
      <c r="AQ31" t="s">
        <v>3676</v>
      </c>
      <c r="AR31" t="s">
        <v>707</v>
      </c>
      <c r="AS31" t="s">
        <v>3676</v>
      </c>
      <c r="AT31" t="s">
        <v>3676</v>
      </c>
      <c r="AU31" t="s">
        <v>3676</v>
      </c>
      <c r="AV31" t="s">
        <v>3676</v>
      </c>
      <c r="AW31" t="s">
        <v>3676</v>
      </c>
      <c r="AX31" t="s">
        <v>3852</v>
      </c>
    </row>
    <row r="32" spans="1:50" x14ac:dyDescent="0.25">
      <c r="A32" t="s">
        <v>3787</v>
      </c>
      <c r="B32" t="s">
        <v>3864</v>
      </c>
      <c r="C32" t="s">
        <v>3789</v>
      </c>
      <c r="D32" t="s">
        <v>3665</v>
      </c>
      <c r="E32" t="s">
        <v>3666</v>
      </c>
      <c r="F32" t="s">
        <v>3667</v>
      </c>
      <c r="G32" t="s">
        <v>3668</v>
      </c>
      <c r="H32" t="s">
        <v>3790</v>
      </c>
      <c r="I32" t="s">
        <v>3670</v>
      </c>
      <c r="J32" t="s">
        <v>3865</v>
      </c>
      <c r="K32" t="s">
        <v>3866</v>
      </c>
      <c r="L32" t="s">
        <v>3667</v>
      </c>
      <c r="M32" t="s">
        <v>3667</v>
      </c>
      <c r="N32" t="s">
        <v>3667</v>
      </c>
      <c r="O32" t="s">
        <v>3867</v>
      </c>
      <c r="P32" t="s">
        <v>3868</v>
      </c>
      <c r="Q32" t="s">
        <v>3869</v>
      </c>
      <c r="R32" t="s">
        <v>3668</v>
      </c>
      <c r="S32" t="s">
        <v>3667</v>
      </c>
      <c r="T32" t="s">
        <v>3667</v>
      </c>
      <c r="U32" t="s">
        <v>3667</v>
      </c>
      <c r="V32" t="s">
        <v>3667</v>
      </c>
      <c r="W32" t="s">
        <v>3870</v>
      </c>
      <c r="X32" t="s">
        <v>3676</v>
      </c>
      <c r="Y32" t="s">
        <v>3676</v>
      </c>
      <c r="Z32" t="s">
        <v>3676</v>
      </c>
      <c r="AA32" t="s">
        <v>3676</v>
      </c>
      <c r="AB32" t="s">
        <v>3274</v>
      </c>
      <c r="AC32" t="s">
        <v>3676</v>
      </c>
      <c r="AD32" t="s">
        <v>3676</v>
      </c>
      <c r="AE32" t="s">
        <v>3676</v>
      </c>
      <c r="AF32" t="s">
        <v>3676</v>
      </c>
      <c r="AG32" t="s">
        <v>3676</v>
      </c>
      <c r="AH32" t="s">
        <v>3676</v>
      </c>
      <c r="AI32" t="s">
        <v>3676</v>
      </c>
      <c r="AJ32" t="s">
        <v>3676</v>
      </c>
      <c r="AK32" t="s">
        <v>3676</v>
      </c>
      <c r="AL32" t="s">
        <v>3667</v>
      </c>
      <c r="AM32" t="s">
        <v>3667</v>
      </c>
      <c r="AN32" t="s">
        <v>3667</v>
      </c>
      <c r="AO32" t="s">
        <v>464</v>
      </c>
      <c r="AP32" t="s">
        <v>3676</v>
      </c>
      <c r="AQ32" t="s">
        <v>3676</v>
      </c>
      <c r="AR32" t="s">
        <v>464</v>
      </c>
      <c r="AS32" t="s">
        <v>3676</v>
      </c>
      <c r="AT32" t="s">
        <v>3676</v>
      </c>
      <c r="AU32" t="s">
        <v>3676</v>
      </c>
      <c r="AV32" t="s">
        <v>3676</v>
      </c>
      <c r="AW32" t="s">
        <v>3676</v>
      </c>
      <c r="AX32" t="s">
        <v>3871</v>
      </c>
    </row>
    <row r="33" spans="1:50" x14ac:dyDescent="0.25">
      <c r="A33" t="s">
        <v>3787</v>
      </c>
      <c r="B33" t="s">
        <v>3872</v>
      </c>
      <c r="C33" t="s">
        <v>3789</v>
      </c>
      <c r="D33" t="s">
        <v>3665</v>
      </c>
      <c r="E33" t="s">
        <v>3666</v>
      </c>
      <c r="F33" t="s">
        <v>3667</v>
      </c>
      <c r="G33" t="s">
        <v>3668</v>
      </c>
      <c r="H33" t="s">
        <v>3790</v>
      </c>
      <c r="I33" t="s">
        <v>3670</v>
      </c>
      <c r="J33" t="s">
        <v>3873</v>
      </c>
      <c r="K33" t="s">
        <v>3873</v>
      </c>
      <c r="L33" t="s">
        <v>3667</v>
      </c>
      <c r="M33" t="s">
        <v>3667</v>
      </c>
      <c r="N33" t="s">
        <v>3667</v>
      </c>
      <c r="O33" t="s">
        <v>3874</v>
      </c>
      <c r="P33" t="s">
        <v>3875</v>
      </c>
      <c r="Q33" t="s">
        <v>3876</v>
      </c>
      <c r="R33" t="s">
        <v>3668</v>
      </c>
      <c r="S33" t="s">
        <v>3667</v>
      </c>
      <c r="T33" t="s">
        <v>3667</v>
      </c>
      <c r="U33" t="s">
        <v>3667</v>
      </c>
      <c r="V33" t="s">
        <v>3667</v>
      </c>
      <c r="W33" t="s">
        <v>231</v>
      </c>
      <c r="X33" t="s">
        <v>3676</v>
      </c>
      <c r="Y33" t="s">
        <v>3676</v>
      </c>
      <c r="Z33" t="s">
        <v>3676</v>
      </c>
      <c r="AA33" t="s">
        <v>3676</v>
      </c>
      <c r="AB33" t="s">
        <v>3274</v>
      </c>
      <c r="AC33" t="s">
        <v>3676</v>
      </c>
      <c r="AD33" t="s">
        <v>3676</v>
      </c>
      <c r="AE33" t="s">
        <v>3676</v>
      </c>
      <c r="AF33" t="s">
        <v>3676</v>
      </c>
      <c r="AG33" t="s">
        <v>3676</v>
      </c>
      <c r="AH33" t="s">
        <v>3676</v>
      </c>
      <c r="AI33" t="s">
        <v>3676</v>
      </c>
      <c r="AJ33" t="s">
        <v>3676</v>
      </c>
      <c r="AK33" t="s">
        <v>3676</v>
      </c>
      <c r="AL33" t="s">
        <v>3667</v>
      </c>
      <c r="AM33" t="s">
        <v>3667</v>
      </c>
      <c r="AN33" t="s">
        <v>3667</v>
      </c>
      <c r="AO33" t="s">
        <v>979</v>
      </c>
      <c r="AP33" t="s">
        <v>3676</v>
      </c>
      <c r="AQ33" t="s">
        <v>3676</v>
      </c>
      <c r="AR33" t="s">
        <v>979</v>
      </c>
      <c r="AS33" t="s">
        <v>3676</v>
      </c>
      <c r="AT33" t="s">
        <v>3676</v>
      </c>
      <c r="AU33" t="s">
        <v>3676</v>
      </c>
      <c r="AV33" t="s">
        <v>3676</v>
      </c>
      <c r="AW33" t="s">
        <v>3676</v>
      </c>
      <c r="AX33" t="s">
        <v>3877</v>
      </c>
    </row>
    <row r="34" spans="1:50" x14ac:dyDescent="0.25">
      <c r="A34" t="s">
        <v>3787</v>
      </c>
      <c r="B34" t="s">
        <v>3878</v>
      </c>
      <c r="C34" t="s">
        <v>3789</v>
      </c>
      <c r="D34" t="s">
        <v>3665</v>
      </c>
      <c r="E34" t="s">
        <v>3666</v>
      </c>
      <c r="F34" t="s">
        <v>3667</v>
      </c>
      <c r="G34" t="s">
        <v>3685</v>
      </c>
      <c r="H34" t="s">
        <v>3790</v>
      </c>
      <c r="I34" t="s">
        <v>3670</v>
      </c>
      <c r="J34" t="s">
        <v>3784</v>
      </c>
      <c r="K34" t="s">
        <v>3879</v>
      </c>
      <c r="L34" t="s">
        <v>3667</v>
      </c>
      <c r="M34" t="s">
        <v>3667</v>
      </c>
      <c r="N34" t="s">
        <v>3667</v>
      </c>
      <c r="O34" t="s">
        <v>3880</v>
      </c>
      <c r="P34" t="s">
        <v>3881</v>
      </c>
      <c r="Q34" t="s">
        <v>3882</v>
      </c>
      <c r="R34" t="s">
        <v>3668</v>
      </c>
      <c r="S34" t="s">
        <v>3667</v>
      </c>
      <c r="T34" t="s">
        <v>3667</v>
      </c>
      <c r="U34" t="s">
        <v>3667</v>
      </c>
      <c r="V34" t="s">
        <v>3667</v>
      </c>
      <c r="W34" t="s">
        <v>707</v>
      </c>
      <c r="X34" t="s">
        <v>3676</v>
      </c>
      <c r="Y34" t="s">
        <v>3676</v>
      </c>
      <c r="Z34" t="s">
        <v>3676</v>
      </c>
      <c r="AA34" t="s">
        <v>3676</v>
      </c>
      <c r="AB34" t="s">
        <v>3676</v>
      </c>
      <c r="AC34" t="s">
        <v>3676</v>
      </c>
      <c r="AD34" t="s">
        <v>3676</v>
      </c>
      <c r="AE34" t="s">
        <v>3676</v>
      </c>
      <c r="AF34" t="s">
        <v>3676</v>
      </c>
      <c r="AG34" t="s">
        <v>3676</v>
      </c>
      <c r="AH34" t="s">
        <v>3676</v>
      </c>
      <c r="AI34" t="s">
        <v>3676</v>
      </c>
      <c r="AJ34" t="s">
        <v>3676</v>
      </c>
      <c r="AK34" t="s">
        <v>3676</v>
      </c>
      <c r="AL34" t="s">
        <v>3667</v>
      </c>
      <c r="AM34" t="s">
        <v>3667</v>
      </c>
      <c r="AN34" t="s">
        <v>3667</v>
      </c>
      <c r="AO34" t="s">
        <v>707</v>
      </c>
      <c r="AP34" t="s">
        <v>3676</v>
      </c>
      <c r="AQ34" t="s">
        <v>3676</v>
      </c>
      <c r="AR34" t="s">
        <v>707</v>
      </c>
      <c r="AS34" t="s">
        <v>3676</v>
      </c>
      <c r="AT34" t="s">
        <v>3676</v>
      </c>
      <c r="AU34" t="s">
        <v>3676</v>
      </c>
      <c r="AV34" t="s">
        <v>3676</v>
      </c>
      <c r="AW34" t="s">
        <v>3676</v>
      </c>
      <c r="AX34" t="s">
        <v>3815</v>
      </c>
    </row>
    <row r="35" spans="1:50" x14ac:dyDescent="0.25">
      <c r="A35" t="s">
        <v>3883</v>
      </c>
      <c r="B35" t="s">
        <v>3884</v>
      </c>
      <c r="C35" t="s">
        <v>3885</v>
      </c>
      <c r="D35" t="s">
        <v>3665</v>
      </c>
      <c r="E35" t="s">
        <v>3666</v>
      </c>
      <c r="F35" t="s">
        <v>3667</v>
      </c>
      <c r="G35" t="s">
        <v>3685</v>
      </c>
      <c r="H35" t="s">
        <v>3790</v>
      </c>
      <c r="I35" t="s">
        <v>3670</v>
      </c>
      <c r="J35" t="s">
        <v>3886</v>
      </c>
      <c r="K35" t="s">
        <v>3886</v>
      </c>
      <c r="L35" t="s">
        <v>3667</v>
      </c>
      <c r="M35" t="s">
        <v>3667</v>
      </c>
      <c r="N35" t="s">
        <v>3667</v>
      </c>
      <c r="O35" t="s">
        <v>3674</v>
      </c>
      <c r="P35" t="s">
        <v>3887</v>
      </c>
      <c r="Q35" t="s">
        <v>3679</v>
      </c>
      <c r="R35" t="s">
        <v>3668</v>
      </c>
      <c r="S35" t="s">
        <v>3667</v>
      </c>
      <c r="T35" t="s">
        <v>3667</v>
      </c>
      <c r="U35" t="s">
        <v>3667</v>
      </c>
      <c r="V35" t="s">
        <v>3667</v>
      </c>
      <c r="W35" t="s">
        <v>84</v>
      </c>
      <c r="X35" t="s">
        <v>3676</v>
      </c>
      <c r="Y35" t="s">
        <v>3676</v>
      </c>
      <c r="Z35" t="s">
        <v>3676</v>
      </c>
      <c r="AA35" t="s">
        <v>3676</v>
      </c>
      <c r="AB35" t="s">
        <v>3676</v>
      </c>
      <c r="AC35" t="s">
        <v>3676</v>
      </c>
      <c r="AD35" t="s">
        <v>3676</v>
      </c>
      <c r="AE35" t="s">
        <v>3676</v>
      </c>
      <c r="AF35" t="s">
        <v>3676</v>
      </c>
      <c r="AG35" t="s">
        <v>3676</v>
      </c>
      <c r="AH35" t="s">
        <v>3676</v>
      </c>
      <c r="AI35" t="s">
        <v>3676</v>
      </c>
      <c r="AJ35" t="s">
        <v>3676</v>
      </c>
      <c r="AK35" t="s">
        <v>3676</v>
      </c>
      <c r="AL35" t="s">
        <v>3667</v>
      </c>
      <c r="AM35" t="s">
        <v>3667</v>
      </c>
      <c r="AN35" t="s">
        <v>3667</v>
      </c>
      <c r="AO35" t="s">
        <v>84</v>
      </c>
      <c r="AP35" t="s">
        <v>3676</v>
      </c>
      <c r="AQ35" t="s">
        <v>3676</v>
      </c>
      <c r="AR35" t="s">
        <v>84</v>
      </c>
      <c r="AS35" t="s">
        <v>3676</v>
      </c>
      <c r="AT35" t="s">
        <v>3676</v>
      </c>
      <c r="AU35" t="s">
        <v>3676</v>
      </c>
      <c r="AV35" t="s">
        <v>3676</v>
      </c>
      <c r="AW35" t="s">
        <v>3676</v>
      </c>
      <c r="AX35" t="s">
        <v>3888</v>
      </c>
    </row>
    <row r="36" spans="1:50" x14ac:dyDescent="0.25">
      <c r="A36" t="s">
        <v>3883</v>
      </c>
      <c r="B36" t="s">
        <v>3889</v>
      </c>
      <c r="C36" t="s">
        <v>3885</v>
      </c>
      <c r="D36" t="s">
        <v>3665</v>
      </c>
      <c r="E36" t="s">
        <v>3734</v>
      </c>
      <c r="F36" t="s">
        <v>3667</v>
      </c>
      <c r="G36" t="s">
        <v>3668</v>
      </c>
      <c r="H36" t="s">
        <v>3790</v>
      </c>
      <c r="I36" t="s">
        <v>3670</v>
      </c>
      <c r="J36" t="s">
        <v>3890</v>
      </c>
      <c r="K36" t="s">
        <v>3890</v>
      </c>
      <c r="L36" t="s">
        <v>3667</v>
      </c>
      <c r="M36" t="s">
        <v>3667</v>
      </c>
      <c r="N36" t="s">
        <v>3667</v>
      </c>
      <c r="O36" t="s">
        <v>3891</v>
      </c>
      <c r="P36" t="s">
        <v>3892</v>
      </c>
      <c r="Q36" t="s">
        <v>3893</v>
      </c>
      <c r="R36" t="s">
        <v>3668</v>
      </c>
      <c r="S36" t="s">
        <v>3667</v>
      </c>
      <c r="T36" t="s">
        <v>3667</v>
      </c>
      <c r="U36" t="s">
        <v>3667</v>
      </c>
      <c r="V36" t="s">
        <v>3667</v>
      </c>
      <c r="W36" t="s">
        <v>84</v>
      </c>
      <c r="X36" t="s">
        <v>3676</v>
      </c>
      <c r="Y36" t="s">
        <v>3676</v>
      </c>
      <c r="Z36" t="s">
        <v>3676</v>
      </c>
      <c r="AA36" t="s">
        <v>3676</v>
      </c>
      <c r="AB36" t="s">
        <v>3274</v>
      </c>
      <c r="AC36" t="s">
        <v>3676</v>
      </c>
      <c r="AD36" t="s">
        <v>3676</v>
      </c>
      <c r="AE36" t="s">
        <v>3676</v>
      </c>
      <c r="AF36" t="s">
        <v>3676</v>
      </c>
      <c r="AG36" t="s">
        <v>3676</v>
      </c>
      <c r="AH36" t="s">
        <v>3676</v>
      </c>
      <c r="AI36" t="s">
        <v>3676</v>
      </c>
      <c r="AJ36" t="s">
        <v>3676</v>
      </c>
      <c r="AK36" t="s">
        <v>3676</v>
      </c>
      <c r="AL36" t="s">
        <v>3667</v>
      </c>
      <c r="AM36" t="s">
        <v>3667</v>
      </c>
      <c r="AN36" t="s">
        <v>3667</v>
      </c>
      <c r="AO36" t="s">
        <v>3894</v>
      </c>
      <c r="AP36" t="s">
        <v>84</v>
      </c>
      <c r="AQ36" t="s">
        <v>3676</v>
      </c>
      <c r="AR36" t="s">
        <v>3895</v>
      </c>
      <c r="AS36" t="s">
        <v>3676</v>
      </c>
      <c r="AT36" t="s">
        <v>3676</v>
      </c>
      <c r="AU36" t="s">
        <v>3676</v>
      </c>
      <c r="AV36" t="s">
        <v>3676</v>
      </c>
      <c r="AW36" t="s">
        <v>3676</v>
      </c>
      <c r="AX36" t="s">
        <v>3896</v>
      </c>
    </row>
    <row r="37" spans="1:50" x14ac:dyDescent="0.25">
      <c r="A37" t="s">
        <v>3883</v>
      </c>
      <c r="B37" t="s">
        <v>3897</v>
      </c>
      <c r="C37" t="s">
        <v>3885</v>
      </c>
      <c r="D37" t="s">
        <v>3665</v>
      </c>
      <c r="E37" t="s">
        <v>3666</v>
      </c>
      <c r="F37" t="s">
        <v>3667</v>
      </c>
      <c r="G37" t="s">
        <v>3668</v>
      </c>
      <c r="H37" t="s">
        <v>3790</v>
      </c>
      <c r="I37" t="s">
        <v>3670</v>
      </c>
      <c r="J37" t="s">
        <v>3898</v>
      </c>
      <c r="K37" t="s">
        <v>3899</v>
      </c>
      <c r="L37" t="s">
        <v>3667</v>
      </c>
      <c r="M37" t="s">
        <v>3667</v>
      </c>
      <c r="N37" t="s">
        <v>3667</v>
      </c>
      <c r="O37" t="s">
        <v>3900</v>
      </c>
      <c r="P37" t="s">
        <v>3901</v>
      </c>
      <c r="Q37" t="s">
        <v>3902</v>
      </c>
      <c r="R37" t="s">
        <v>3668</v>
      </c>
      <c r="S37" t="s">
        <v>3667</v>
      </c>
      <c r="T37" t="s">
        <v>3667</v>
      </c>
      <c r="U37" t="s">
        <v>3667</v>
      </c>
      <c r="V37" t="s">
        <v>3667</v>
      </c>
      <c r="W37" t="s">
        <v>1590</v>
      </c>
      <c r="X37" t="s">
        <v>3676</v>
      </c>
      <c r="Y37" t="s">
        <v>3676</v>
      </c>
      <c r="Z37" t="s">
        <v>3676</v>
      </c>
      <c r="AA37" t="s">
        <v>3676</v>
      </c>
      <c r="AB37" t="s">
        <v>3274</v>
      </c>
      <c r="AC37" t="s">
        <v>3676</v>
      </c>
      <c r="AD37" t="s">
        <v>3676</v>
      </c>
      <c r="AE37" t="s">
        <v>3676</v>
      </c>
      <c r="AF37" t="s">
        <v>3676</v>
      </c>
      <c r="AG37" t="s">
        <v>3676</v>
      </c>
      <c r="AH37" t="s">
        <v>3676</v>
      </c>
      <c r="AI37" t="s">
        <v>3676</v>
      </c>
      <c r="AJ37" t="s">
        <v>3676</v>
      </c>
      <c r="AK37" t="s">
        <v>3676</v>
      </c>
      <c r="AL37" t="s">
        <v>3667</v>
      </c>
      <c r="AM37" t="s">
        <v>3667</v>
      </c>
      <c r="AN37" t="s">
        <v>3667</v>
      </c>
      <c r="AO37" t="s">
        <v>1997</v>
      </c>
      <c r="AP37" t="s">
        <v>3676</v>
      </c>
      <c r="AQ37" t="s">
        <v>3676</v>
      </c>
      <c r="AR37" t="s">
        <v>1997</v>
      </c>
      <c r="AS37" t="s">
        <v>3676</v>
      </c>
      <c r="AT37" t="s">
        <v>3676</v>
      </c>
      <c r="AU37" t="s">
        <v>3676</v>
      </c>
      <c r="AV37" t="s">
        <v>3676</v>
      </c>
      <c r="AW37" t="s">
        <v>3676</v>
      </c>
      <c r="AX37" t="s">
        <v>3903</v>
      </c>
    </row>
    <row r="38" spans="1:50" x14ac:dyDescent="0.25">
      <c r="A38" t="s">
        <v>3883</v>
      </c>
      <c r="B38" t="s">
        <v>3904</v>
      </c>
      <c r="C38" t="s">
        <v>3885</v>
      </c>
      <c r="D38" t="s">
        <v>3665</v>
      </c>
      <c r="E38" t="s">
        <v>3666</v>
      </c>
      <c r="F38" t="s">
        <v>3667</v>
      </c>
      <c r="G38" t="s">
        <v>3668</v>
      </c>
      <c r="H38" t="s">
        <v>3790</v>
      </c>
      <c r="I38" t="s">
        <v>3670</v>
      </c>
      <c r="J38" t="s">
        <v>3824</v>
      </c>
      <c r="K38" t="s">
        <v>3824</v>
      </c>
      <c r="L38" t="s">
        <v>3667</v>
      </c>
      <c r="M38" t="s">
        <v>3667</v>
      </c>
      <c r="N38" t="s">
        <v>3667</v>
      </c>
      <c r="O38" t="s">
        <v>3905</v>
      </c>
      <c r="P38" t="s">
        <v>3906</v>
      </c>
      <c r="Q38" t="s">
        <v>3907</v>
      </c>
      <c r="R38" t="s">
        <v>3668</v>
      </c>
      <c r="S38" t="s">
        <v>3667</v>
      </c>
      <c r="T38" t="s">
        <v>3667</v>
      </c>
      <c r="U38" t="s">
        <v>3667</v>
      </c>
      <c r="V38" t="s">
        <v>3667</v>
      </c>
      <c r="W38" t="s">
        <v>342</v>
      </c>
      <c r="X38" t="s">
        <v>3676</v>
      </c>
      <c r="Y38" t="s">
        <v>3676</v>
      </c>
      <c r="Z38" t="s">
        <v>3676</v>
      </c>
      <c r="AA38" t="s">
        <v>3676</v>
      </c>
      <c r="AB38" t="s">
        <v>3274</v>
      </c>
      <c r="AC38" t="s">
        <v>3676</v>
      </c>
      <c r="AD38" t="s">
        <v>3676</v>
      </c>
      <c r="AE38" t="s">
        <v>3676</v>
      </c>
      <c r="AF38" t="s">
        <v>3676</v>
      </c>
      <c r="AG38" t="s">
        <v>3676</v>
      </c>
      <c r="AH38" t="s">
        <v>3676</v>
      </c>
      <c r="AI38" t="s">
        <v>3676</v>
      </c>
      <c r="AJ38" t="s">
        <v>3676</v>
      </c>
      <c r="AK38" t="s">
        <v>3676</v>
      </c>
      <c r="AL38" t="s">
        <v>3667</v>
      </c>
      <c r="AM38" t="s">
        <v>3667</v>
      </c>
      <c r="AN38" t="s">
        <v>3667</v>
      </c>
      <c r="AO38" t="s">
        <v>990</v>
      </c>
      <c r="AP38" t="s">
        <v>3676</v>
      </c>
      <c r="AQ38" t="s">
        <v>3676</v>
      </c>
      <c r="AR38" t="s">
        <v>990</v>
      </c>
      <c r="AS38" t="s">
        <v>3676</v>
      </c>
      <c r="AT38" t="s">
        <v>3676</v>
      </c>
      <c r="AU38" t="s">
        <v>3676</v>
      </c>
      <c r="AV38" t="s">
        <v>3676</v>
      </c>
      <c r="AW38" t="s">
        <v>3676</v>
      </c>
      <c r="AX38" t="s">
        <v>3908</v>
      </c>
    </row>
    <row r="39" spans="1:50" x14ac:dyDescent="0.25">
      <c r="A39" t="s">
        <v>3883</v>
      </c>
      <c r="B39" t="s">
        <v>3909</v>
      </c>
      <c r="C39" t="s">
        <v>3885</v>
      </c>
      <c r="D39" t="s">
        <v>3665</v>
      </c>
      <c r="E39" t="s">
        <v>3666</v>
      </c>
      <c r="F39" t="s">
        <v>3667</v>
      </c>
      <c r="G39" t="s">
        <v>3668</v>
      </c>
      <c r="H39" t="s">
        <v>3790</v>
      </c>
      <c r="I39" t="s">
        <v>3670</v>
      </c>
      <c r="J39" t="s">
        <v>3910</v>
      </c>
      <c r="K39" t="s">
        <v>3911</v>
      </c>
      <c r="L39" t="s">
        <v>3667</v>
      </c>
      <c r="M39" t="s">
        <v>3667</v>
      </c>
      <c r="N39" t="s">
        <v>3667</v>
      </c>
      <c r="O39" t="s">
        <v>3905</v>
      </c>
      <c r="P39" t="s">
        <v>3912</v>
      </c>
      <c r="Q39" t="s">
        <v>3913</v>
      </c>
      <c r="R39" t="s">
        <v>3668</v>
      </c>
      <c r="S39" t="s">
        <v>3667</v>
      </c>
      <c r="T39" t="s">
        <v>3667</v>
      </c>
      <c r="U39" t="s">
        <v>3667</v>
      </c>
      <c r="V39" t="s">
        <v>3667</v>
      </c>
      <c r="W39" t="s">
        <v>217</v>
      </c>
      <c r="X39" t="s">
        <v>3676</v>
      </c>
      <c r="Y39" t="s">
        <v>3676</v>
      </c>
      <c r="Z39" t="s">
        <v>3676</v>
      </c>
      <c r="AA39" t="s">
        <v>3676</v>
      </c>
      <c r="AB39" t="s">
        <v>3676</v>
      </c>
      <c r="AC39" t="s">
        <v>3676</v>
      </c>
      <c r="AD39" t="s">
        <v>3676</v>
      </c>
      <c r="AE39" t="s">
        <v>3676</v>
      </c>
      <c r="AF39" t="s">
        <v>3676</v>
      </c>
      <c r="AG39" t="s">
        <v>3676</v>
      </c>
      <c r="AH39" t="s">
        <v>3676</v>
      </c>
      <c r="AI39" t="s">
        <v>3676</v>
      </c>
      <c r="AJ39" t="s">
        <v>3676</v>
      </c>
      <c r="AK39" t="s">
        <v>3676</v>
      </c>
      <c r="AL39" t="s">
        <v>3667</v>
      </c>
      <c r="AM39" t="s">
        <v>3667</v>
      </c>
      <c r="AN39" t="s">
        <v>3667</v>
      </c>
      <c r="AO39" t="s">
        <v>217</v>
      </c>
      <c r="AP39" t="s">
        <v>3676</v>
      </c>
      <c r="AQ39" t="s">
        <v>3676</v>
      </c>
      <c r="AR39" t="s">
        <v>217</v>
      </c>
      <c r="AS39" t="s">
        <v>3676</v>
      </c>
      <c r="AT39" t="s">
        <v>3676</v>
      </c>
      <c r="AU39" t="s">
        <v>3676</v>
      </c>
      <c r="AV39" t="s">
        <v>3676</v>
      </c>
      <c r="AW39" t="s">
        <v>3676</v>
      </c>
      <c r="AX39" t="s">
        <v>3914</v>
      </c>
    </row>
    <row r="40" spans="1:50" x14ac:dyDescent="0.25">
      <c r="A40" t="s">
        <v>3883</v>
      </c>
      <c r="B40" t="s">
        <v>3915</v>
      </c>
      <c r="C40" t="s">
        <v>3885</v>
      </c>
      <c r="D40" t="s">
        <v>3665</v>
      </c>
      <c r="E40" t="s">
        <v>3666</v>
      </c>
      <c r="F40" t="s">
        <v>3667</v>
      </c>
      <c r="G40" t="s">
        <v>3668</v>
      </c>
      <c r="H40" t="s">
        <v>3790</v>
      </c>
      <c r="I40" t="s">
        <v>3670</v>
      </c>
      <c r="J40" t="s">
        <v>3916</v>
      </c>
      <c r="K40" t="s">
        <v>3917</v>
      </c>
      <c r="L40" t="s">
        <v>3667</v>
      </c>
      <c r="M40" t="s">
        <v>3667</v>
      </c>
      <c r="N40" t="s">
        <v>3667</v>
      </c>
      <c r="O40" t="s">
        <v>3839</v>
      </c>
      <c r="P40" t="s">
        <v>3918</v>
      </c>
      <c r="Q40" t="s">
        <v>3919</v>
      </c>
      <c r="R40" t="s">
        <v>3668</v>
      </c>
      <c r="S40" t="s">
        <v>3667</v>
      </c>
      <c r="T40" t="s">
        <v>3667</v>
      </c>
      <c r="U40" t="s">
        <v>3667</v>
      </c>
      <c r="V40" t="s">
        <v>3667</v>
      </c>
      <c r="W40" t="s">
        <v>264</v>
      </c>
      <c r="X40" t="s">
        <v>3676</v>
      </c>
      <c r="Y40" t="s">
        <v>3676</v>
      </c>
      <c r="Z40" t="s">
        <v>3676</v>
      </c>
      <c r="AA40" t="s">
        <v>3676</v>
      </c>
      <c r="AB40" t="s">
        <v>3274</v>
      </c>
      <c r="AC40" t="s">
        <v>3676</v>
      </c>
      <c r="AD40" t="s">
        <v>3676</v>
      </c>
      <c r="AE40" t="s">
        <v>3676</v>
      </c>
      <c r="AF40" t="s">
        <v>3676</v>
      </c>
      <c r="AG40" t="s">
        <v>3676</v>
      </c>
      <c r="AH40" t="s">
        <v>3676</v>
      </c>
      <c r="AI40" t="s">
        <v>3676</v>
      </c>
      <c r="AJ40" t="s">
        <v>3676</v>
      </c>
      <c r="AK40" t="s">
        <v>3676</v>
      </c>
      <c r="AL40" t="s">
        <v>3667</v>
      </c>
      <c r="AM40" t="s">
        <v>3667</v>
      </c>
      <c r="AN40" t="s">
        <v>3667</v>
      </c>
      <c r="AO40" t="s">
        <v>131</v>
      </c>
      <c r="AP40" t="s">
        <v>3676</v>
      </c>
      <c r="AQ40" t="s">
        <v>3676</v>
      </c>
      <c r="AR40" t="s">
        <v>131</v>
      </c>
      <c r="AS40" t="s">
        <v>3676</v>
      </c>
      <c r="AT40" t="s">
        <v>3676</v>
      </c>
      <c r="AU40" t="s">
        <v>3676</v>
      </c>
      <c r="AV40" t="s">
        <v>3676</v>
      </c>
      <c r="AW40" t="s">
        <v>3676</v>
      </c>
      <c r="AX40" t="s">
        <v>3920</v>
      </c>
    </row>
    <row r="41" spans="1:50" x14ac:dyDescent="0.25">
      <c r="A41" t="s">
        <v>3921</v>
      </c>
      <c r="B41" t="s">
        <v>3922</v>
      </c>
      <c r="C41" t="s">
        <v>3923</v>
      </c>
      <c r="D41" t="s">
        <v>3665</v>
      </c>
      <c r="E41" t="s">
        <v>3666</v>
      </c>
      <c r="F41" t="s">
        <v>3667</v>
      </c>
      <c r="G41" t="s">
        <v>3668</v>
      </c>
      <c r="H41" t="s">
        <v>3924</v>
      </c>
      <c r="I41" t="s">
        <v>3670</v>
      </c>
      <c r="J41" t="s">
        <v>3702</v>
      </c>
      <c r="K41" t="s">
        <v>3702</v>
      </c>
      <c r="L41" t="s">
        <v>3667</v>
      </c>
      <c r="M41" t="s">
        <v>3667</v>
      </c>
      <c r="N41" t="s">
        <v>3667</v>
      </c>
      <c r="O41" t="s">
        <v>3925</v>
      </c>
      <c r="P41" t="s">
        <v>3714</v>
      </c>
      <c r="Q41" t="s">
        <v>3926</v>
      </c>
      <c r="R41" t="s">
        <v>3668</v>
      </c>
      <c r="S41" t="s">
        <v>3667</v>
      </c>
      <c r="T41" t="s">
        <v>3667</v>
      </c>
      <c r="U41" t="s">
        <v>3667</v>
      </c>
      <c r="V41" t="s">
        <v>3667</v>
      </c>
      <c r="W41" t="s">
        <v>707</v>
      </c>
      <c r="X41" t="s">
        <v>3676</v>
      </c>
      <c r="Y41" t="s">
        <v>3676</v>
      </c>
      <c r="Z41" t="s">
        <v>3676</v>
      </c>
      <c r="AA41" t="s">
        <v>3676</v>
      </c>
      <c r="AB41" t="s">
        <v>3274</v>
      </c>
      <c r="AC41" t="s">
        <v>3676</v>
      </c>
      <c r="AD41" t="s">
        <v>3676</v>
      </c>
      <c r="AE41" t="s">
        <v>3676</v>
      </c>
      <c r="AF41" t="s">
        <v>3676</v>
      </c>
      <c r="AG41" t="s">
        <v>3676</v>
      </c>
      <c r="AH41" t="s">
        <v>3676</v>
      </c>
      <c r="AI41" t="s">
        <v>3676</v>
      </c>
      <c r="AJ41" t="s">
        <v>3676</v>
      </c>
      <c r="AK41" t="s">
        <v>3676</v>
      </c>
      <c r="AL41" t="s">
        <v>3667</v>
      </c>
      <c r="AM41" t="s">
        <v>3667</v>
      </c>
      <c r="AN41" t="s">
        <v>3667</v>
      </c>
      <c r="AO41" t="s">
        <v>378</v>
      </c>
      <c r="AP41" t="s">
        <v>3676</v>
      </c>
      <c r="AQ41" t="s">
        <v>3676</v>
      </c>
      <c r="AR41" t="s">
        <v>378</v>
      </c>
      <c r="AS41" t="s">
        <v>3676</v>
      </c>
      <c r="AT41" t="s">
        <v>3676</v>
      </c>
      <c r="AU41" t="s">
        <v>3676</v>
      </c>
      <c r="AV41" t="s">
        <v>3676</v>
      </c>
      <c r="AW41" t="s">
        <v>3676</v>
      </c>
      <c r="AX41" t="s">
        <v>3815</v>
      </c>
    </row>
    <row r="42" spans="1:50" x14ac:dyDescent="0.25">
      <c r="A42" t="s">
        <v>3921</v>
      </c>
      <c r="B42" t="s">
        <v>3927</v>
      </c>
      <c r="C42" t="s">
        <v>3923</v>
      </c>
      <c r="D42" t="s">
        <v>3665</v>
      </c>
      <c r="E42" t="s">
        <v>3734</v>
      </c>
      <c r="F42" t="s">
        <v>3667</v>
      </c>
      <c r="G42" t="s">
        <v>3668</v>
      </c>
      <c r="H42" t="s">
        <v>3924</v>
      </c>
      <c r="I42" t="s">
        <v>3670</v>
      </c>
      <c r="J42" t="s">
        <v>3928</v>
      </c>
      <c r="K42" t="s">
        <v>3928</v>
      </c>
      <c r="L42" t="s">
        <v>3667</v>
      </c>
      <c r="M42" t="s">
        <v>3667</v>
      </c>
      <c r="N42" t="s">
        <v>3667</v>
      </c>
      <c r="O42" t="s">
        <v>3929</v>
      </c>
      <c r="P42" t="s">
        <v>3930</v>
      </c>
      <c r="Q42" t="s">
        <v>3931</v>
      </c>
      <c r="R42" t="s">
        <v>3668</v>
      </c>
      <c r="S42" t="s">
        <v>3667</v>
      </c>
      <c r="T42" t="s">
        <v>3667</v>
      </c>
      <c r="U42" t="s">
        <v>3667</v>
      </c>
      <c r="V42" t="s">
        <v>3667</v>
      </c>
      <c r="W42" t="s">
        <v>707</v>
      </c>
      <c r="X42" t="s">
        <v>3676</v>
      </c>
      <c r="Y42" t="s">
        <v>3676</v>
      </c>
      <c r="Z42" t="s">
        <v>3676</v>
      </c>
      <c r="AA42" t="s">
        <v>3676</v>
      </c>
      <c r="AB42" t="s">
        <v>3676</v>
      </c>
      <c r="AC42" t="s">
        <v>3676</v>
      </c>
      <c r="AD42" t="s">
        <v>3676</v>
      </c>
      <c r="AE42" t="s">
        <v>3676</v>
      </c>
      <c r="AF42" t="s">
        <v>3676</v>
      </c>
      <c r="AG42" t="s">
        <v>3676</v>
      </c>
      <c r="AH42" t="s">
        <v>3676</v>
      </c>
      <c r="AI42" t="s">
        <v>3676</v>
      </c>
      <c r="AJ42" t="s">
        <v>3676</v>
      </c>
      <c r="AK42" t="s">
        <v>3676</v>
      </c>
      <c r="AL42" t="s">
        <v>3667</v>
      </c>
      <c r="AM42" t="s">
        <v>3667</v>
      </c>
      <c r="AN42" t="s">
        <v>3667</v>
      </c>
      <c r="AO42" t="s">
        <v>3932</v>
      </c>
      <c r="AP42" t="s">
        <v>3676</v>
      </c>
      <c r="AQ42" t="s">
        <v>3676</v>
      </c>
      <c r="AR42" t="s">
        <v>3932</v>
      </c>
      <c r="AS42" t="s">
        <v>3676</v>
      </c>
      <c r="AT42" t="s">
        <v>3676</v>
      </c>
      <c r="AU42" t="s">
        <v>3676</v>
      </c>
      <c r="AV42" t="s">
        <v>3676</v>
      </c>
      <c r="AW42" t="s">
        <v>3676</v>
      </c>
      <c r="AX42" t="s">
        <v>3933</v>
      </c>
    </row>
    <row r="43" spans="1:50" x14ac:dyDescent="0.25">
      <c r="A43" t="s">
        <v>3934</v>
      </c>
      <c r="B43" t="s">
        <v>3935</v>
      </c>
      <c r="C43" t="s">
        <v>3936</v>
      </c>
      <c r="D43" t="s">
        <v>3937</v>
      </c>
      <c r="E43" t="s">
        <v>3666</v>
      </c>
      <c r="F43" t="s">
        <v>3667</v>
      </c>
      <c r="G43" t="s">
        <v>3668</v>
      </c>
      <c r="H43" t="s">
        <v>3924</v>
      </c>
      <c r="I43" t="s">
        <v>3670</v>
      </c>
      <c r="J43" t="s">
        <v>3938</v>
      </c>
      <c r="K43" t="s">
        <v>3938</v>
      </c>
      <c r="L43" t="s">
        <v>3939</v>
      </c>
      <c r="M43" t="s">
        <v>3939</v>
      </c>
      <c r="N43" t="s">
        <v>3700</v>
      </c>
      <c r="O43" t="s">
        <v>3939</v>
      </c>
      <c r="P43" t="s">
        <v>3940</v>
      </c>
      <c r="Q43" t="s">
        <v>3941</v>
      </c>
      <c r="R43" t="s">
        <v>3668</v>
      </c>
      <c r="S43" t="s">
        <v>3667</v>
      </c>
      <c r="T43" t="s">
        <v>3667</v>
      </c>
      <c r="U43" t="s">
        <v>3667</v>
      </c>
      <c r="V43" t="s">
        <v>3667</v>
      </c>
      <c r="W43" t="s">
        <v>576</v>
      </c>
      <c r="X43" t="s">
        <v>3676</v>
      </c>
      <c r="Y43" t="s">
        <v>3676</v>
      </c>
      <c r="Z43" t="s">
        <v>3676</v>
      </c>
      <c r="AA43" t="s">
        <v>3676</v>
      </c>
      <c r="AB43" t="s">
        <v>3676</v>
      </c>
      <c r="AC43" t="s">
        <v>3676</v>
      </c>
      <c r="AD43" t="s">
        <v>3676</v>
      </c>
      <c r="AE43" t="s">
        <v>3676</v>
      </c>
      <c r="AF43" t="s">
        <v>3676</v>
      </c>
      <c r="AG43" t="s">
        <v>3676</v>
      </c>
      <c r="AH43" t="s">
        <v>3676</v>
      </c>
      <c r="AI43" t="s">
        <v>3676</v>
      </c>
      <c r="AJ43" t="s">
        <v>3676</v>
      </c>
      <c r="AK43" t="s">
        <v>3676</v>
      </c>
      <c r="AL43" t="s">
        <v>3667</v>
      </c>
      <c r="AM43" t="s">
        <v>3667</v>
      </c>
      <c r="AN43" t="s">
        <v>3667</v>
      </c>
      <c r="AO43" t="s">
        <v>576</v>
      </c>
      <c r="AP43" t="s">
        <v>3676</v>
      </c>
      <c r="AQ43" t="s">
        <v>3676</v>
      </c>
      <c r="AR43" t="s">
        <v>576</v>
      </c>
      <c r="AS43" t="s">
        <v>3676</v>
      </c>
      <c r="AT43" t="s">
        <v>3676</v>
      </c>
      <c r="AU43" t="s">
        <v>3676</v>
      </c>
      <c r="AV43" t="s">
        <v>3676</v>
      </c>
      <c r="AW43" t="s">
        <v>3676</v>
      </c>
      <c r="AX43" t="s">
        <v>3942</v>
      </c>
    </row>
    <row r="44" spans="1:50" x14ac:dyDescent="0.25">
      <c r="A44" t="s">
        <v>3934</v>
      </c>
      <c r="B44" t="s">
        <v>3943</v>
      </c>
      <c r="C44" t="s">
        <v>3936</v>
      </c>
      <c r="D44" t="s">
        <v>3937</v>
      </c>
      <c r="E44" t="s">
        <v>3666</v>
      </c>
      <c r="F44" t="s">
        <v>3667</v>
      </c>
      <c r="G44" t="s">
        <v>3668</v>
      </c>
      <c r="H44" t="s">
        <v>3924</v>
      </c>
      <c r="I44" t="s">
        <v>3670</v>
      </c>
      <c r="J44" t="s">
        <v>3944</v>
      </c>
      <c r="K44" t="s">
        <v>3944</v>
      </c>
      <c r="L44" t="s">
        <v>3945</v>
      </c>
      <c r="M44" t="s">
        <v>3667</v>
      </c>
      <c r="N44" t="s">
        <v>3946</v>
      </c>
      <c r="O44" t="s">
        <v>3947</v>
      </c>
      <c r="P44" t="s">
        <v>3948</v>
      </c>
      <c r="Q44" t="s">
        <v>3949</v>
      </c>
      <c r="R44" t="s">
        <v>3668</v>
      </c>
      <c r="S44" t="s">
        <v>3667</v>
      </c>
      <c r="T44" t="s">
        <v>3667</v>
      </c>
      <c r="U44" t="s">
        <v>3667</v>
      </c>
      <c r="V44" t="s">
        <v>3667</v>
      </c>
      <c r="W44" t="s">
        <v>84</v>
      </c>
      <c r="X44" t="s">
        <v>3676</v>
      </c>
      <c r="Y44" t="s">
        <v>3676</v>
      </c>
      <c r="Z44" t="s">
        <v>3676</v>
      </c>
      <c r="AA44" t="s">
        <v>3676</v>
      </c>
      <c r="AB44" t="s">
        <v>3676</v>
      </c>
      <c r="AC44" t="s">
        <v>3676</v>
      </c>
      <c r="AD44" t="s">
        <v>3676</v>
      </c>
      <c r="AE44" t="s">
        <v>3676</v>
      </c>
      <c r="AF44" t="s">
        <v>3676</v>
      </c>
      <c r="AG44" t="s">
        <v>3676</v>
      </c>
      <c r="AH44" t="s">
        <v>3676</v>
      </c>
      <c r="AI44" t="s">
        <v>3676</v>
      </c>
      <c r="AJ44" t="s">
        <v>3676</v>
      </c>
      <c r="AK44" t="s">
        <v>3676</v>
      </c>
      <c r="AL44" t="s">
        <v>3667</v>
      </c>
      <c r="AM44" t="s">
        <v>3667</v>
      </c>
      <c r="AN44" t="s">
        <v>3667</v>
      </c>
      <c r="AO44" t="s">
        <v>84</v>
      </c>
      <c r="AP44" t="s">
        <v>3676</v>
      </c>
      <c r="AQ44" t="s">
        <v>3676</v>
      </c>
      <c r="AR44" t="s">
        <v>84</v>
      </c>
      <c r="AS44" t="s">
        <v>3676</v>
      </c>
      <c r="AT44" t="s">
        <v>3676</v>
      </c>
      <c r="AU44" t="s">
        <v>3676</v>
      </c>
      <c r="AV44" t="s">
        <v>3676</v>
      </c>
      <c r="AW44" t="s">
        <v>3676</v>
      </c>
      <c r="AX44" t="s">
        <v>3950</v>
      </c>
    </row>
    <row r="45" spans="1:50" x14ac:dyDescent="0.25">
      <c r="A45" t="s">
        <v>3934</v>
      </c>
      <c r="B45" t="s">
        <v>3951</v>
      </c>
      <c r="C45" t="s">
        <v>3936</v>
      </c>
      <c r="D45" t="s">
        <v>3937</v>
      </c>
      <c r="E45" t="s">
        <v>3666</v>
      </c>
      <c r="F45" t="s">
        <v>3667</v>
      </c>
      <c r="G45" t="s">
        <v>3668</v>
      </c>
      <c r="H45" t="s">
        <v>3924</v>
      </c>
      <c r="I45" t="s">
        <v>3670</v>
      </c>
      <c r="J45" t="s">
        <v>3873</v>
      </c>
      <c r="K45" t="s">
        <v>3873</v>
      </c>
      <c r="L45" t="s">
        <v>3948</v>
      </c>
      <c r="M45" t="s">
        <v>3667</v>
      </c>
      <c r="N45" t="s">
        <v>3952</v>
      </c>
      <c r="O45" t="s">
        <v>3948</v>
      </c>
      <c r="P45" t="s">
        <v>3953</v>
      </c>
      <c r="Q45" t="s">
        <v>3954</v>
      </c>
      <c r="R45" t="s">
        <v>3668</v>
      </c>
      <c r="S45" t="s">
        <v>3667</v>
      </c>
      <c r="T45" t="s">
        <v>3667</v>
      </c>
      <c r="U45" t="s">
        <v>3667</v>
      </c>
      <c r="V45" t="s">
        <v>3667</v>
      </c>
      <c r="W45" t="s">
        <v>576</v>
      </c>
      <c r="X45" t="s">
        <v>3676</v>
      </c>
      <c r="Y45" t="s">
        <v>3676</v>
      </c>
      <c r="Z45" t="s">
        <v>3676</v>
      </c>
      <c r="AA45" t="s">
        <v>3676</v>
      </c>
      <c r="AB45" t="s">
        <v>3676</v>
      </c>
      <c r="AC45" t="s">
        <v>3676</v>
      </c>
      <c r="AD45" t="s">
        <v>3676</v>
      </c>
      <c r="AE45" t="s">
        <v>3676</v>
      </c>
      <c r="AF45" t="s">
        <v>3676</v>
      </c>
      <c r="AG45" t="s">
        <v>3676</v>
      </c>
      <c r="AH45" t="s">
        <v>3676</v>
      </c>
      <c r="AI45" t="s">
        <v>3676</v>
      </c>
      <c r="AJ45" t="s">
        <v>3676</v>
      </c>
      <c r="AK45" t="s">
        <v>3676</v>
      </c>
      <c r="AL45" t="s">
        <v>3667</v>
      </c>
      <c r="AM45" t="s">
        <v>3667</v>
      </c>
      <c r="AN45" t="s">
        <v>3667</v>
      </c>
      <c r="AO45" t="s">
        <v>576</v>
      </c>
      <c r="AP45" t="s">
        <v>3676</v>
      </c>
      <c r="AQ45" t="s">
        <v>3676</v>
      </c>
      <c r="AR45" t="s">
        <v>576</v>
      </c>
      <c r="AS45" t="s">
        <v>3676</v>
      </c>
      <c r="AT45" t="s">
        <v>3676</v>
      </c>
      <c r="AU45" t="s">
        <v>3676</v>
      </c>
      <c r="AV45" t="s">
        <v>3676</v>
      </c>
      <c r="AW45" t="s">
        <v>3676</v>
      </c>
      <c r="AX45" t="s">
        <v>3955</v>
      </c>
    </row>
    <row r="46" spans="1:50" x14ac:dyDescent="0.25">
      <c r="A46" t="s">
        <v>3956</v>
      </c>
      <c r="B46" t="s">
        <v>3957</v>
      </c>
      <c r="C46" t="s">
        <v>3958</v>
      </c>
      <c r="D46" t="s">
        <v>3665</v>
      </c>
      <c r="E46" t="s">
        <v>3666</v>
      </c>
      <c r="F46" t="s">
        <v>3667</v>
      </c>
      <c r="G46" t="s">
        <v>3668</v>
      </c>
      <c r="H46" t="s">
        <v>3959</v>
      </c>
      <c r="I46" t="s">
        <v>3670</v>
      </c>
      <c r="J46" t="s">
        <v>3960</v>
      </c>
      <c r="K46" t="s">
        <v>3961</v>
      </c>
      <c r="L46" t="s">
        <v>3667</v>
      </c>
      <c r="M46" t="s">
        <v>3667</v>
      </c>
      <c r="N46" t="s">
        <v>3667</v>
      </c>
      <c r="O46" t="s">
        <v>3962</v>
      </c>
      <c r="P46" t="s">
        <v>3963</v>
      </c>
      <c r="Q46" t="s">
        <v>3964</v>
      </c>
      <c r="R46" t="s">
        <v>3668</v>
      </c>
      <c r="S46" t="s">
        <v>3667</v>
      </c>
      <c r="T46" t="s">
        <v>3667</v>
      </c>
      <c r="U46" t="s">
        <v>3667</v>
      </c>
      <c r="V46" t="s">
        <v>3667</v>
      </c>
      <c r="W46" t="s">
        <v>1670</v>
      </c>
      <c r="X46" t="s">
        <v>3676</v>
      </c>
      <c r="Y46" t="s">
        <v>3676</v>
      </c>
      <c r="Z46" t="s">
        <v>3676</v>
      </c>
      <c r="AA46" t="s">
        <v>3676</v>
      </c>
      <c r="AB46" t="s">
        <v>3274</v>
      </c>
      <c r="AC46" t="s">
        <v>3676</v>
      </c>
      <c r="AD46" t="s">
        <v>3676</v>
      </c>
      <c r="AE46" t="s">
        <v>3676</v>
      </c>
      <c r="AF46" t="s">
        <v>3676</v>
      </c>
      <c r="AG46" t="s">
        <v>3676</v>
      </c>
      <c r="AH46" t="s">
        <v>3676</v>
      </c>
      <c r="AI46" t="s">
        <v>3676</v>
      </c>
      <c r="AJ46" t="s">
        <v>3676</v>
      </c>
      <c r="AK46" t="s">
        <v>3676</v>
      </c>
      <c r="AL46" t="s">
        <v>3667</v>
      </c>
      <c r="AM46" t="s">
        <v>3667</v>
      </c>
      <c r="AN46" t="s">
        <v>3667</v>
      </c>
      <c r="AO46" t="s">
        <v>90</v>
      </c>
      <c r="AP46" t="s">
        <v>3676</v>
      </c>
      <c r="AQ46" t="s">
        <v>3676</v>
      </c>
      <c r="AR46" t="s">
        <v>90</v>
      </c>
      <c r="AS46" t="s">
        <v>3676</v>
      </c>
      <c r="AT46" t="s">
        <v>3676</v>
      </c>
      <c r="AU46" t="s">
        <v>3676</v>
      </c>
      <c r="AV46" t="s">
        <v>3676</v>
      </c>
      <c r="AW46" t="s">
        <v>3676</v>
      </c>
      <c r="AX46" t="s">
        <v>3965</v>
      </c>
    </row>
    <row r="47" spans="1:50" x14ac:dyDescent="0.25">
      <c r="A47" t="s">
        <v>3956</v>
      </c>
      <c r="B47" t="s">
        <v>3966</v>
      </c>
      <c r="C47" t="s">
        <v>3958</v>
      </c>
      <c r="D47" t="s">
        <v>3665</v>
      </c>
      <c r="E47" t="s">
        <v>3666</v>
      </c>
      <c r="F47" t="s">
        <v>3667</v>
      </c>
      <c r="G47" t="s">
        <v>3668</v>
      </c>
      <c r="H47" t="s">
        <v>3959</v>
      </c>
      <c r="I47" t="s">
        <v>3670</v>
      </c>
      <c r="J47" t="s">
        <v>3680</v>
      </c>
      <c r="K47" t="s">
        <v>3680</v>
      </c>
      <c r="L47" t="s">
        <v>3667</v>
      </c>
      <c r="M47" t="s">
        <v>3667</v>
      </c>
      <c r="N47" t="s">
        <v>3667</v>
      </c>
      <c r="O47" t="s">
        <v>3967</v>
      </c>
      <c r="P47" t="s">
        <v>3893</v>
      </c>
      <c r="Q47" t="s">
        <v>3968</v>
      </c>
      <c r="R47" t="s">
        <v>3668</v>
      </c>
      <c r="S47" t="s">
        <v>3667</v>
      </c>
      <c r="T47" t="s">
        <v>3667</v>
      </c>
      <c r="U47" t="s">
        <v>3667</v>
      </c>
      <c r="V47" t="s">
        <v>3667</v>
      </c>
      <c r="W47" t="s">
        <v>197</v>
      </c>
      <c r="X47" t="s">
        <v>3676</v>
      </c>
      <c r="Y47" t="s">
        <v>3676</v>
      </c>
      <c r="Z47" t="s">
        <v>3676</v>
      </c>
      <c r="AA47" t="s">
        <v>3676</v>
      </c>
      <c r="AB47" t="s">
        <v>3274</v>
      </c>
      <c r="AC47" t="s">
        <v>3676</v>
      </c>
      <c r="AD47" t="s">
        <v>3676</v>
      </c>
      <c r="AE47" t="s">
        <v>3676</v>
      </c>
      <c r="AF47" t="s">
        <v>3676</v>
      </c>
      <c r="AG47" t="s">
        <v>3676</v>
      </c>
      <c r="AH47" t="s">
        <v>3676</v>
      </c>
      <c r="AI47" t="s">
        <v>3676</v>
      </c>
      <c r="AJ47" t="s">
        <v>3676</v>
      </c>
      <c r="AK47" t="s">
        <v>3676</v>
      </c>
      <c r="AL47" t="s">
        <v>3667</v>
      </c>
      <c r="AM47" t="s">
        <v>3667</v>
      </c>
      <c r="AN47" t="s">
        <v>3667</v>
      </c>
      <c r="AO47" t="s">
        <v>473</v>
      </c>
      <c r="AP47" t="s">
        <v>3676</v>
      </c>
      <c r="AQ47" t="s">
        <v>3676</v>
      </c>
      <c r="AR47" t="s">
        <v>473</v>
      </c>
      <c r="AS47" t="s">
        <v>3676</v>
      </c>
      <c r="AT47" t="s">
        <v>3676</v>
      </c>
      <c r="AU47" t="s">
        <v>3676</v>
      </c>
      <c r="AV47" t="s">
        <v>3676</v>
      </c>
      <c r="AW47" t="s">
        <v>3676</v>
      </c>
      <c r="AX47" t="s">
        <v>3969</v>
      </c>
    </row>
    <row r="48" spans="1:50" x14ac:dyDescent="0.25">
      <c r="A48" t="s">
        <v>3956</v>
      </c>
      <c r="B48" t="s">
        <v>3970</v>
      </c>
      <c r="C48" t="s">
        <v>3958</v>
      </c>
      <c r="D48" t="s">
        <v>3665</v>
      </c>
      <c r="E48" t="s">
        <v>3734</v>
      </c>
      <c r="F48" t="s">
        <v>3667</v>
      </c>
      <c r="G48" t="s">
        <v>3668</v>
      </c>
      <c r="H48" t="s">
        <v>3959</v>
      </c>
      <c r="I48" t="s">
        <v>3670</v>
      </c>
      <c r="J48" t="s">
        <v>3971</v>
      </c>
      <c r="K48" t="s">
        <v>3971</v>
      </c>
      <c r="L48" t="s">
        <v>3667</v>
      </c>
      <c r="M48" t="s">
        <v>3667</v>
      </c>
      <c r="N48" t="s">
        <v>3667</v>
      </c>
      <c r="O48" t="s">
        <v>3972</v>
      </c>
      <c r="P48" t="s">
        <v>3973</v>
      </c>
      <c r="Q48" t="s">
        <v>3974</v>
      </c>
      <c r="R48" t="s">
        <v>3668</v>
      </c>
      <c r="S48" t="s">
        <v>3667</v>
      </c>
      <c r="T48" t="s">
        <v>3667</v>
      </c>
      <c r="U48" t="s">
        <v>3667</v>
      </c>
      <c r="V48" t="s">
        <v>3667</v>
      </c>
      <c r="W48" t="s">
        <v>200</v>
      </c>
      <c r="X48" t="s">
        <v>3676</v>
      </c>
      <c r="Y48" t="s">
        <v>3676</v>
      </c>
      <c r="Z48" t="s">
        <v>3676</v>
      </c>
      <c r="AA48" t="s">
        <v>3676</v>
      </c>
      <c r="AB48" t="s">
        <v>3274</v>
      </c>
      <c r="AC48" t="s">
        <v>3676</v>
      </c>
      <c r="AD48" t="s">
        <v>3676</v>
      </c>
      <c r="AE48" t="s">
        <v>3676</v>
      </c>
      <c r="AF48" t="s">
        <v>3676</v>
      </c>
      <c r="AG48" t="s">
        <v>3676</v>
      </c>
      <c r="AH48" t="s">
        <v>3676</v>
      </c>
      <c r="AI48" t="s">
        <v>3676</v>
      </c>
      <c r="AJ48" t="s">
        <v>3676</v>
      </c>
      <c r="AK48" t="s">
        <v>3676</v>
      </c>
      <c r="AL48" t="s">
        <v>3667</v>
      </c>
      <c r="AM48" t="s">
        <v>3667</v>
      </c>
      <c r="AN48" t="s">
        <v>3667</v>
      </c>
      <c r="AO48" t="s">
        <v>579</v>
      </c>
      <c r="AP48" t="s">
        <v>3676</v>
      </c>
      <c r="AQ48" t="s">
        <v>3676</v>
      </c>
      <c r="AR48" t="s">
        <v>579</v>
      </c>
      <c r="AS48" t="s">
        <v>3676</v>
      </c>
      <c r="AT48" t="s">
        <v>3676</v>
      </c>
      <c r="AU48" t="s">
        <v>3676</v>
      </c>
      <c r="AV48" t="s">
        <v>3676</v>
      </c>
      <c r="AW48" t="s">
        <v>3676</v>
      </c>
      <c r="AX48" t="s">
        <v>3975</v>
      </c>
    </row>
    <row r="49" spans="1:50" x14ac:dyDescent="0.25">
      <c r="A49" t="s">
        <v>3956</v>
      </c>
      <c r="B49" t="s">
        <v>3976</v>
      </c>
      <c r="C49" t="s">
        <v>3958</v>
      </c>
      <c r="D49" t="s">
        <v>3665</v>
      </c>
      <c r="E49" t="s">
        <v>3666</v>
      </c>
      <c r="F49" t="s">
        <v>3667</v>
      </c>
      <c r="G49" t="s">
        <v>3685</v>
      </c>
      <c r="H49" t="s">
        <v>3959</v>
      </c>
      <c r="I49" t="s">
        <v>3670</v>
      </c>
      <c r="J49" t="s">
        <v>3977</v>
      </c>
      <c r="K49" t="s">
        <v>3977</v>
      </c>
      <c r="L49" t="s">
        <v>3667</v>
      </c>
      <c r="M49" t="s">
        <v>3667</v>
      </c>
      <c r="N49" t="s">
        <v>3667</v>
      </c>
      <c r="O49" t="s">
        <v>3776</v>
      </c>
      <c r="P49" t="s">
        <v>3865</v>
      </c>
      <c r="Q49" t="s">
        <v>3875</v>
      </c>
      <c r="R49" t="s">
        <v>3668</v>
      </c>
      <c r="S49" t="s">
        <v>3667</v>
      </c>
      <c r="T49" t="s">
        <v>3667</v>
      </c>
      <c r="U49" t="s">
        <v>3667</v>
      </c>
      <c r="V49" t="s">
        <v>3667</v>
      </c>
      <c r="W49" t="s">
        <v>137</v>
      </c>
      <c r="X49" t="s">
        <v>3676</v>
      </c>
      <c r="Y49" t="s">
        <v>3676</v>
      </c>
      <c r="Z49" t="s">
        <v>3676</v>
      </c>
      <c r="AA49" t="s">
        <v>3676</v>
      </c>
      <c r="AB49" t="s">
        <v>3676</v>
      </c>
      <c r="AC49" t="s">
        <v>3676</v>
      </c>
      <c r="AD49" t="s">
        <v>3676</v>
      </c>
      <c r="AE49" t="s">
        <v>3676</v>
      </c>
      <c r="AF49" t="s">
        <v>3676</v>
      </c>
      <c r="AG49" t="s">
        <v>3676</v>
      </c>
      <c r="AH49" t="s">
        <v>3676</v>
      </c>
      <c r="AI49" t="s">
        <v>3676</v>
      </c>
      <c r="AJ49" t="s">
        <v>3676</v>
      </c>
      <c r="AK49" t="s">
        <v>3676</v>
      </c>
      <c r="AL49" t="s">
        <v>3667</v>
      </c>
      <c r="AM49" t="s">
        <v>3667</v>
      </c>
      <c r="AN49" t="s">
        <v>3667</v>
      </c>
      <c r="AO49" t="s">
        <v>137</v>
      </c>
      <c r="AP49" t="s">
        <v>3676</v>
      </c>
      <c r="AQ49" t="s">
        <v>3676</v>
      </c>
      <c r="AR49" t="s">
        <v>137</v>
      </c>
      <c r="AS49" t="s">
        <v>3676</v>
      </c>
      <c r="AT49" t="s">
        <v>3676</v>
      </c>
      <c r="AU49" t="s">
        <v>3676</v>
      </c>
      <c r="AV49" t="s">
        <v>3676</v>
      </c>
      <c r="AW49" t="s">
        <v>3676</v>
      </c>
      <c r="AX49" t="s">
        <v>3978</v>
      </c>
    </row>
    <row r="50" spans="1:50" x14ac:dyDescent="0.25">
      <c r="A50" t="s">
        <v>3979</v>
      </c>
      <c r="B50" t="s">
        <v>3980</v>
      </c>
      <c r="C50" t="s">
        <v>3981</v>
      </c>
      <c r="D50" t="s">
        <v>3665</v>
      </c>
      <c r="E50" t="s">
        <v>3734</v>
      </c>
      <c r="F50" t="s">
        <v>3667</v>
      </c>
      <c r="G50" t="s">
        <v>3668</v>
      </c>
      <c r="H50" t="s">
        <v>3982</v>
      </c>
      <c r="I50" t="s">
        <v>3670</v>
      </c>
      <c r="J50" t="s">
        <v>3983</v>
      </c>
      <c r="K50" t="s">
        <v>3984</v>
      </c>
      <c r="L50" t="s">
        <v>3667</v>
      </c>
      <c r="M50" t="s">
        <v>3667</v>
      </c>
      <c r="N50" t="s">
        <v>3667</v>
      </c>
      <c r="O50" t="s">
        <v>3880</v>
      </c>
      <c r="P50" t="s">
        <v>3985</v>
      </c>
      <c r="Q50" t="s">
        <v>3986</v>
      </c>
      <c r="R50" t="s">
        <v>3668</v>
      </c>
      <c r="S50" t="s">
        <v>3667</v>
      </c>
      <c r="T50" t="s">
        <v>3667</v>
      </c>
      <c r="U50" t="s">
        <v>3667</v>
      </c>
      <c r="V50" t="s">
        <v>3667</v>
      </c>
      <c r="W50" t="s">
        <v>458</v>
      </c>
      <c r="X50" t="s">
        <v>3676</v>
      </c>
      <c r="Y50" t="s">
        <v>3676</v>
      </c>
      <c r="Z50" t="s">
        <v>3676</v>
      </c>
      <c r="AA50" t="s">
        <v>3676</v>
      </c>
      <c r="AB50" t="s">
        <v>3676</v>
      </c>
      <c r="AC50" t="s">
        <v>3676</v>
      </c>
      <c r="AD50" t="s">
        <v>3676</v>
      </c>
      <c r="AE50" t="s">
        <v>3676</v>
      </c>
      <c r="AF50" t="s">
        <v>3676</v>
      </c>
      <c r="AG50" t="s">
        <v>3676</v>
      </c>
      <c r="AH50" t="s">
        <v>3676</v>
      </c>
      <c r="AI50" t="s">
        <v>3676</v>
      </c>
      <c r="AJ50" t="s">
        <v>3676</v>
      </c>
      <c r="AK50" t="s">
        <v>3676</v>
      </c>
      <c r="AL50" t="s">
        <v>3667</v>
      </c>
      <c r="AM50" t="s">
        <v>3667</v>
      </c>
      <c r="AN50" t="s">
        <v>3667</v>
      </c>
      <c r="AO50" t="s">
        <v>3987</v>
      </c>
      <c r="AP50" t="s">
        <v>3676</v>
      </c>
      <c r="AQ50" t="s">
        <v>3676</v>
      </c>
      <c r="AR50" t="s">
        <v>3987</v>
      </c>
      <c r="AS50" t="s">
        <v>3676</v>
      </c>
      <c r="AT50" t="s">
        <v>3676</v>
      </c>
      <c r="AU50" t="s">
        <v>3676</v>
      </c>
      <c r="AV50" t="s">
        <v>3676</v>
      </c>
      <c r="AW50" t="s">
        <v>3676</v>
      </c>
      <c r="AX50" t="s">
        <v>3988</v>
      </c>
    </row>
    <row r="51" spans="1:50" x14ac:dyDescent="0.25">
      <c r="A51" t="s">
        <v>3989</v>
      </c>
      <c r="B51" t="s">
        <v>3990</v>
      </c>
      <c r="C51" t="s">
        <v>3991</v>
      </c>
      <c r="D51" t="s">
        <v>3665</v>
      </c>
      <c r="E51" t="s">
        <v>3734</v>
      </c>
      <c r="F51" t="s">
        <v>3667</v>
      </c>
      <c r="G51" t="s">
        <v>3668</v>
      </c>
      <c r="H51" t="s">
        <v>3992</v>
      </c>
      <c r="I51" t="s">
        <v>3670</v>
      </c>
      <c r="J51" t="s">
        <v>3993</v>
      </c>
      <c r="K51" t="s">
        <v>3993</v>
      </c>
      <c r="L51" t="s">
        <v>3667</v>
      </c>
      <c r="M51" t="s">
        <v>3667</v>
      </c>
      <c r="N51" t="s">
        <v>3667</v>
      </c>
      <c r="O51" t="s">
        <v>3701</v>
      </c>
      <c r="P51" t="s">
        <v>3994</v>
      </c>
      <c r="Q51" t="s">
        <v>3995</v>
      </c>
      <c r="R51" t="s">
        <v>3668</v>
      </c>
      <c r="S51" t="s">
        <v>3667</v>
      </c>
      <c r="T51" t="s">
        <v>3667</v>
      </c>
      <c r="U51" t="s">
        <v>3667</v>
      </c>
      <c r="V51" t="s">
        <v>3667</v>
      </c>
      <c r="W51" t="s">
        <v>914</v>
      </c>
      <c r="X51" t="s">
        <v>3676</v>
      </c>
      <c r="Y51" t="s">
        <v>3676</v>
      </c>
      <c r="Z51" t="s">
        <v>3676</v>
      </c>
      <c r="AA51" t="s">
        <v>3676</v>
      </c>
      <c r="AB51" t="s">
        <v>3274</v>
      </c>
      <c r="AC51" t="s">
        <v>3676</v>
      </c>
      <c r="AD51" t="s">
        <v>3676</v>
      </c>
      <c r="AE51" t="s">
        <v>3676</v>
      </c>
      <c r="AF51" t="s">
        <v>3676</v>
      </c>
      <c r="AG51" t="s">
        <v>3676</v>
      </c>
      <c r="AH51" t="s">
        <v>3676</v>
      </c>
      <c r="AI51" t="s">
        <v>3676</v>
      </c>
      <c r="AJ51" t="s">
        <v>3676</v>
      </c>
      <c r="AK51" t="s">
        <v>3676</v>
      </c>
      <c r="AL51" t="s">
        <v>3667</v>
      </c>
      <c r="AM51" t="s">
        <v>3667</v>
      </c>
      <c r="AN51" t="s">
        <v>3667</v>
      </c>
      <c r="AO51" t="s">
        <v>3996</v>
      </c>
      <c r="AP51" t="s">
        <v>3676</v>
      </c>
      <c r="AQ51" t="s">
        <v>3676</v>
      </c>
      <c r="AR51" t="s">
        <v>3996</v>
      </c>
      <c r="AS51" t="s">
        <v>3676</v>
      </c>
      <c r="AT51" t="s">
        <v>3676</v>
      </c>
      <c r="AU51" t="s">
        <v>3676</v>
      </c>
      <c r="AV51" t="s">
        <v>3676</v>
      </c>
      <c r="AW51" t="s">
        <v>3676</v>
      </c>
      <c r="AX51" t="s">
        <v>3997</v>
      </c>
    </row>
    <row r="52" spans="1:50" x14ac:dyDescent="0.25">
      <c r="A52" t="s">
        <v>3989</v>
      </c>
      <c r="B52" t="s">
        <v>3998</v>
      </c>
      <c r="C52" t="s">
        <v>3991</v>
      </c>
      <c r="D52" t="s">
        <v>3665</v>
      </c>
      <c r="E52" t="s">
        <v>3734</v>
      </c>
      <c r="F52" t="s">
        <v>3667</v>
      </c>
      <c r="G52" t="s">
        <v>3668</v>
      </c>
      <c r="H52" t="s">
        <v>3992</v>
      </c>
      <c r="I52" t="s">
        <v>3670</v>
      </c>
      <c r="J52" t="s">
        <v>3999</v>
      </c>
      <c r="K52" t="s">
        <v>3999</v>
      </c>
      <c r="L52" t="s">
        <v>3667</v>
      </c>
      <c r="M52" t="s">
        <v>3667</v>
      </c>
      <c r="N52" t="s">
        <v>3667</v>
      </c>
      <c r="O52" t="s">
        <v>4000</v>
      </c>
      <c r="P52" t="s">
        <v>4001</v>
      </c>
      <c r="Q52" t="s">
        <v>4002</v>
      </c>
      <c r="R52" t="s">
        <v>3668</v>
      </c>
      <c r="S52" t="s">
        <v>3667</v>
      </c>
      <c r="T52" t="s">
        <v>3667</v>
      </c>
      <c r="U52" t="s">
        <v>3667</v>
      </c>
      <c r="V52" t="s">
        <v>3667</v>
      </c>
      <c r="W52" t="s">
        <v>20</v>
      </c>
      <c r="X52" t="s">
        <v>3676</v>
      </c>
      <c r="Y52" t="s">
        <v>3676</v>
      </c>
      <c r="Z52" t="s">
        <v>3676</v>
      </c>
      <c r="AA52" t="s">
        <v>3676</v>
      </c>
      <c r="AB52" t="s">
        <v>3274</v>
      </c>
      <c r="AC52" t="s">
        <v>3676</v>
      </c>
      <c r="AD52" t="s">
        <v>3676</v>
      </c>
      <c r="AE52" t="s">
        <v>3676</v>
      </c>
      <c r="AF52" t="s">
        <v>3676</v>
      </c>
      <c r="AG52" t="s">
        <v>3676</v>
      </c>
      <c r="AH52" t="s">
        <v>3676</v>
      </c>
      <c r="AI52" t="s">
        <v>3676</v>
      </c>
      <c r="AJ52" t="s">
        <v>3676</v>
      </c>
      <c r="AK52" t="s">
        <v>3676</v>
      </c>
      <c r="AL52" t="s">
        <v>3667</v>
      </c>
      <c r="AM52" t="s">
        <v>3667</v>
      </c>
      <c r="AN52" t="s">
        <v>3667</v>
      </c>
      <c r="AO52" t="s">
        <v>4003</v>
      </c>
      <c r="AP52" t="s">
        <v>3676</v>
      </c>
      <c r="AQ52" t="s">
        <v>3676</v>
      </c>
      <c r="AR52" t="s">
        <v>4003</v>
      </c>
      <c r="AS52" t="s">
        <v>3676</v>
      </c>
      <c r="AT52" t="s">
        <v>3676</v>
      </c>
      <c r="AU52" t="s">
        <v>3676</v>
      </c>
      <c r="AV52" t="s">
        <v>3676</v>
      </c>
      <c r="AW52" t="s">
        <v>3676</v>
      </c>
      <c r="AX52" t="s">
        <v>4004</v>
      </c>
    </row>
    <row r="53" spans="1:50" x14ac:dyDescent="0.25">
      <c r="A53" t="s">
        <v>3989</v>
      </c>
      <c r="B53" t="s">
        <v>4005</v>
      </c>
      <c r="C53" t="s">
        <v>3991</v>
      </c>
      <c r="D53" t="s">
        <v>3665</v>
      </c>
      <c r="E53" t="s">
        <v>3666</v>
      </c>
      <c r="F53" t="s">
        <v>3667</v>
      </c>
      <c r="G53" t="s">
        <v>3685</v>
      </c>
      <c r="H53" t="s">
        <v>3992</v>
      </c>
      <c r="I53" t="s">
        <v>3670</v>
      </c>
      <c r="J53" t="s">
        <v>4006</v>
      </c>
      <c r="K53" t="s">
        <v>4006</v>
      </c>
      <c r="L53" t="s">
        <v>3667</v>
      </c>
      <c r="M53" t="s">
        <v>3667</v>
      </c>
      <c r="N53" t="s">
        <v>3667</v>
      </c>
      <c r="O53" t="s">
        <v>3764</v>
      </c>
      <c r="P53" t="s">
        <v>4007</v>
      </c>
      <c r="Q53" t="s">
        <v>4008</v>
      </c>
      <c r="R53" t="s">
        <v>3668</v>
      </c>
      <c r="S53" t="s">
        <v>3667</v>
      </c>
      <c r="T53" t="s">
        <v>3667</v>
      </c>
      <c r="U53" t="s">
        <v>3667</v>
      </c>
      <c r="V53" t="s">
        <v>3667</v>
      </c>
      <c r="W53" t="s">
        <v>443</v>
      </c>
      <c r="X53" t="s">
        <v>3676</v>
      </c>
      <c r="Y53" t="s">
        <v>3676</v>
      </c>
      <c r="Z53" t="s">
        <v>3676</v>
      </c>
      <c r="AA53" t="s">
        <v>3676</v>
      </c>
      <c r="AB53" t="s">
        <v>3676</v>
      </c>
      <c r="AC53" t="s">
        <v>3676</v>
      </c>
      <c r="AD53" t="s">
        <v>3676</v>
      </c>
      <c r="AE53" t="s">
        <v>3676</v>
      </c>
      <c r="AF53" t="s">
        <v>3676</v>
      </c>
      <c r="AG53" t="s">
        <v>3676</v>
      </c>
      <c r="AH53" t="s">
        <v>3676</v>
      </c>
      <c r="AI53" t="s">
        <v>3676</v>
      </c>
      <c r="AJ53" t="s">
        <v>3676</v>
      </c>
      <c r="AK53" t="s">
        <v>3676</v>
      </c>
      <c r="AL53" t="s">
        <v>3667</v>
      </c>
      <c r="AM53" t="s">
        <v>3667</v>
      </c>
      <c r="AN53" t="s">
        <v>3667</v>
      </c>
      <c r="AO53" t="s">
        <v>443</v>
      </c>
      <c r="AP53" t="s">
        <v>3676</v>
      </c>
      <c r="AQ53" t="s">
        <v>3676</v>
      </c>
      <c r="AR53" t="s">
        <v>443</v>
      </c>
      <c r="AS53" t="s">
        <v>3676</v>
      </c>
      <c r="AT53" t="s">
        <v>3676</v>
      </c>
      <c r="AU53" t="s">
        <v>3676</v>
      </c>
      <c r="AV53" t="s">
        <v>3676</v>
      </c>
      <c r="AW53" t="s">
        <v>3676</v>
      </c>
      <c r="AX53" t="s">
        <v>4009</v>
      </c>
    </row>
    <row r="54" spans="1:50" x14ac:dyDescent="0.25">
      <c r="A54" t="s">
        <v>3989</v>
      </c>
      <c r="B54" t="s">
        <v>4010</v>
      </c>
      <c r="C54" t="s">
        <v>3991</v>
      </c>
      <c r="D54" t="s">
        <v>3665</v>
      </c>
      <c r="E54" t="s">
        <v>3666</v>
      </c>
      <c r="F54" t="s">
        <v>3667</v>
      </c>
      <c r="G54" t="s">
        <v>3668</v>
      </c>
      <c r="H54" t="s">
        <v>3992</v>
      </c>
      <c r="I54" t="s">
        <v>3670</v>
      </c>
      <c r="J54" t="s">
        <v>3860</v>
      </c>
      <c r="K54" t="s">
        <v>3860</v>
      </c>
      <c r="L54" t="s">
        <v>3667</v>
      </c>
      <c r="M54" t="s">
        <v>3667</v>
      </c>
      <c r="N54" t="s">
        <v>3667</v>
      </c>
      <c r="O54" t="s">
        <v>3783</v>
      </c>
      <c r="P54" t="s">
        <v>4011</v>
      </c>
      <c r="Q54" t="s">
        <v>3863</v>
      </c>
      <c r="R54" t="s">
        <v>3668</v>
      </c>
      <c r="S54" t="s">
        <v>3667</v>
      </c>
      <c r="T54" t="s">
        <v>3667</v>
      </c>
      <c r="U54" t="s">
        <v>3667</v>
      </c>
      <c r="V54" t="s">
        <v>3667</v>
      </c>
      <c r="W54" t="s">
        <v>1187</v>
      </c>
      <c r="X54" t="s">
        <v>3676</v>
      </c>
      <c r="Y54" t="s">
        <v>3676</v>
      </c>
      <c r="Z54" t="s">
        <v>3676</v>
      </c>
      <c r="AA54" t="s">
        <v>3676</v>
      </c>
      <c r="AB54" t="s">
        <v>3274</v>
      </c>
      <c r="AC54" t="s">
        <v>3676</v>
      </c>
      <c r="AD54" t="s">
        <v>3676</v>
      </c>
      <c r="AE54" t="s">
        <v>3676</v>
      </c>
      <c r="AF54" t="s">
        <v>3676</v>
      </c>
      <c r="AG54" t="s">
        <v>3676</v>
      </c>
      <c r="AH54" t="s">
        <v>3676</v>
      </c>
      <c r="AI54" t="s">
        <v>3676</v>
      </c>
      <c r="AJ54" t="s">
        <v>3676</v>
      </c>
      <c r="AK54" t="s">
        <v>3676</v>
      </c>
      <c r="AL54" t="s">
        <v>3667</v>
      </c>
      <c r="AM54" t="s">
        <v>3667</v>
      </c>
      <c r="AN54" t="s">
        <v>3667</v>
      </c>
      <c r="AO54" t="s">
        <v>4012</v>
      </c>
      <c r="AP54" t="s">
        <v>3676</v>
      </c>
      <c r="AQ54" t="s">
        <v>3676</v>
      </c>
      <c r="AR54" t="s">
        <v>4012</v>
      </c>
      <c r="AS54" t="s">
        <v>3676</v>
      </c>
      <c r="AT54" t="s">
        <v>3676</v>
      </c>
      <c r="AU54" t="s">
        <v>3676</v>
      </c>
      <c r="AV54" t="s">
        <v>3676</v>
      </c>
      <c r="AW54" t="s">
        <v>3676</v>
      </c>
      <c r="AX54" t="s">
        <v>4013</v>
      </c>
    </row>
    <row r="55" spans="1:50" x14ac:dyDescent="0.25">
      <c r="A55" t="s">
        <v>3989</v>
      </c>
      <c r="B55" t="s">
        <v>4014</v>
      </c>
      <c r="C55" t="s">
        <v>3991</v>
      </c>
      <c r="D55" t="s">
        <v>3665</v>
      </c>
      <c r="E55" t="s">
        <v>3734</v>
      </c>
      <c r="F55" t="s">
        <v>3667</v>
      </c>
      <c r="G55" t="s">
        <v>3685</v>
      </c>
      <c r="H55" t="s">
        <v>3992</v>
      </c>
      <c r="I55" t="s">
        <v>3670</v>
      </c>
      <c r="J55" t="s">
        <v>4015</v>
      </c>
      <c r="K55" t="s">
        <v>4016</v>
      </c>
      <c r="L55" t="s">
        <v>3667</v>
      </c>
      <c r="M55" t="s">
        <v>3667</v>
      </c>
      <c r="N55" t="s">
        <v>3667</v>
      </c>
      <c r="O55" t="s">
        <v>4017</v>
      </c>
      <c r="P55" t="s">
        <v>4018</v>
      </c>
      <c r="Q55" t="s">
        <v>3876</v>
      </c>
      <c r="R55" t="s">
        <v>3668</v>
      </c>
      <c r="S55" t="s">
        <v>3667</v>
      </c>
      <c r="T55" t="s">
        <v>3667</v>
      </c>
      <c r="U55" t="s">
        <v>3667</v>
      </c>
      <c r="V55" t="s">
        <v>3667</v>
      </c>
      <c r="W55" t="s">
        <v>1187</v>
      </c>
      <c r="X55" t="s">
        <v>3676</v>
      </c>
      <c r="Y55" t="s">
        <v>3676</v>
      </c>
      <c r="Z55" t="s">
        <v>3676</v>
      </c>
      <c r="AA55" t="s">
        <v>3676</v>
      </c>
      <c r="AB55" t="s">
        <v>3676</v>
      </c>
      <c r="AC55" t="s">
        <v>3676</v>
      </c>
      <c r="AD55" t="s">
        <v>3676</v>
      </c>
      <c r="AE55" t="s">
        <v>3676</v>
      </c>
      <c r="AF55" t="s">
        <v>3676</v>
      </c>
      <c r="AG55" t="s">
        <v>3676</v>
      </c>
      <c r="AH55" t="s">
        <v>3676</v>
      </c>
      <c r="AI55" t="s">
        <v>3676</v>
      </c>
      <c r="AJ55" t="s">
        <v>3676</v>
      </c>
      <c r="AK55" t="s">
        <v>3676</v>
      </c>
      <c r="AL55" t="s">
        <v>3667</v>
      </c>
      <c r="AM55" t="s">
        <v>3667</v>
      </c>
      <c r="AN55" t="s">
        <v>3667</v>
      </c>
      <c r="AO55" t="s">
        <v>1187</v>
      </c>
      <c r="AP55" t="s">
        <v>3676</v>
      </c>
      <c r="AQ55" t="s">
        <v>3676</v>
      </c>
      <c r="AR55" t="s">
        <v>1187</v>
      </c>
      <c r="AS55" t="s">
        <v>3676</v>
      </c>
      <c r="AT55" t="s">
        <v>3676</v>
      </c>
      <c r="AU55" t="s">
        <v>3676</v>
      </c>
      <c r="AV55" t="s">
        <v>3676</v>
      </c>
      <c r="AW55" t="s">
        <v>3676</v>
      </c>
      <c r="AX55" t="s">
        <v>4013</v>
      </c>
    </row>
    <row r="56" spans="1:50" x14ac:dyDescent="0.25">
      <c r="A56" t="s">
        <v>3989</v>
      </c>
      <c r="B56" t="s">
        <v>4019</v>
      </c>
      <c r="C56" t="s">
        <v>3991</v>
      </c>
      <c r="D56" t="s">
        <v>3665</v>
      </c>
      <c r="E56" t="s">
        <v>3666</v>
      </c>
      <c r="F56" t="s">
        <v>3667</v>
      </c>
      <c r="G56" t="s">
        <v>3668</v>
      </c>
      <c r="H56" t="s">
        <v>3992</v>
      </c>
      <c r="I56" t="s">
        <v>3822</v>
      </c>
      <c r="J56" t="s">
        <v>3783</v>
      </c>
      <c r="K56" t="s">
        <v>3783</v>
      </c>
      <c r="L56" t="s">
        <v>3667</v>
      </c>
      <c r="M56" t="s">
        <v>3667</v>
      </c>
      <c r="N56" t="s">
        <v>3667</v>
      </c>
      <c r="O56" t="s">
        <v>4020</v>
      </c>
      <c r="P56" t="s">
        <v>4021</v>
      </c>
      <c r="Q56" t="s">
        <v>4022</v>
      </c>
      <c r="R56" t="s">
        <v>3668</v>
      </c>
      <c r="S56" t="s">
        <v>3667</v>
      </c>
      <c r="T56" t="s">
        <v>3667</v>
      </c>
      <c r="U56" t="s">
        <v>3667</v>
      </c>
      <c r="V56" t="s">
        <v>3667</v>
      </c>
      <c r="W56" t="s">
        <v>707</v>
      </c>
      <c r="X56" t="s">
        <v>3676</v>
      </c>
      <c r="Y56" t="s">
        <v>3676</v>
      </c>
      <c r="Z56" t="s">
        <v>3676</v>
      </c>
      <c r="AA56" t="s">
        <v>3676</v>
      </c>
      <c r="AB56" t="s">
        <v>3274</v>
      </c>
      <c r="AC56" t="s">
        <v>3676</v>
      </c>
      <c r="AD56" t="s">
        <v>3676</v>
      </c>
      <c r="AE56" t="s">
        <v>3676</v>
      </c>
      <c r="AF56" t="s">
        <v>3676</v>
      </c>
      <c r="AG56" t="s">
        <v>3676</v>
      </c>
      <c r="AH56" t="s">
        <v>3676</v>
      </c>
      <c r="AI56" t="s">
        <v>3676</v>
      </c>
      <c r="AJ56" t="s">
        <v>3676</v>
      </c>
      <c r="AK56" t="s">
        <v>3676</v>
      </c>
      <c r="AL56" t="s">
        <v>3667</v>
      </c>
      <c r="AM56" t="s">
        <v>3667</v>
      </c>
      <c r="AN56" t="s">
        <v>3667</v>
      </c>
      <c r="AO56" t="s">
        <v>378</v>
      </c>
      <c r="AP56" t="s">
        <v>3676</v>
      </c>
      <c r="AQ56" t="s">
        <v>3676</v>
      </c>
      <c r="AR56" t="s">
        <v>378</v>
      </c>
      <c r="AS56" t="s">
        <v>3676</v>
      </c>
      <c r="AT56" t="s">
        <v>3676</v>
      </c>
      <c r="AU56" t="s">
        <v>3676</v>
      </c>
      <c r="AV56" t="s">
        <v>3676</v>
      </c>
      <c r="AW56" t="s">
        <v>3676</v>
      </c>
      <c r="AX56" t="s">
        <v>4023</v>
      </c>
    </row>
    <row r="57" spans="1:50" x14ac:dyDescent="0.25">
      <c r="A57" t="s">
        <v>4024</v>
      </c>
      <c r="B57" t="s">
        <v>4025</v>
      </c>
      <c r="C57" t="s">
        <v>4026</v>
      </c>
      <c r="D57" t="s">
        <v>3665</v>
      </c>
      <c r="E57" t="s">
        <v>3666</v>
      </c>
      <c r="F57" t="s">
        <v>3667</v>
      </c>
      <c r="G57" t="s">
        <v>3685</v>
      </c>
      <c r="H57" t="s">
        <v>4027</v>
      </c>
      <c r="I57" t="s">
        <v>3670</v>
      </c>
      <c r="J57" t="s">
        <v>3891</v>
      </c>
      <c r="K57" t="s">
        <v>3891</v>
      </c>
      <c r="L57" t="s">
        <v>3667</v>
      </c>
      <c r="M57" t="s">
        <v>3667</v>
      </c>
      <c r="N57" t="s">
        <v>3667</v>
      </c>
      <c r="O57" t="s">
        <v>3900</v>
      </c>
      <c r="P57" t="s">
        <v>4028</v>
      </c>
      <c r="Q57" t="s">
        <v>4029</v>
      </c>
      <c r="R57" t="s">
        <v>3668</v>
      </c>
      <c r="S57" t="s">
        <v>3667</v>
      </c>
      <c r="T57" t="s">
        <v>3667</v>
      </c>
      <c r="U57" t="s">
        <v>3667</v>
      </c>
      <c r="V57" t="s">
        <v>3667</v>
      </c>
      <c r="W57" t="s">
        <v>84</v>
      </c>
      <c r="X57" t="s">
        <v>3676</v>
      </c>
      <c r="Y57" t="s">
        <v>3676</v>
      </c>
      <c r="Z57" t="s">
        <v>3676</v>
      </c>
      <c r="AA57" t="s">
        <v>3676</v>
      </c>
      <c r="AB57" t="s">
        <v>3676</v>
      </c>
      <c r="AC57" t="s">
        <v>3676</v>
      </c>
      <c r="AD57" t="s">
        <v>3676</v>
      </c>
      <c r="AE57" t="s">
        <v>3676</v>
      </c>
      <c r="AF57" t="s">
        <v>3676</v>
      </c>
      <c r="AG57" t="s">
        <v>3676</v>
      </c>
      <c r="AH57" t="s">
        <v>3676</v>
      </c>
      <c r="AI57" t="s">
        <v>3676</v>
      </c>
      <c r="AJ57" t="s">
        <v>3676</v>
      </c>
      <c r="AK57" t="s">
        <v>3676</v>
      </c>
      <c r="AL57" t="s">
        <v>3667</v>
      </c>
      <c r="AM57" t="s">
        <v>3667</v>
      </c>
      <c r="AN57" t="s">
        <v>3667</v>
      </c>
      <c r="AO57" t="s">
        <v>84</v>
      </c>
      <c r="AP57" t="s">
        <v>3676</v>
      </c>
      <c r="AQ57" t="s">
        <v>3676</v>
      </c>
      <c r="AR57" t="s">
        <v>84</v>
      </c>
      <c r="AS57" t="s">
        <v>3676</v>
      </c>
      <c r="AT57" t="s">
        <v>3676</v>
      </c>
      <c r="AU57" t="s">
        <v>3676</v>
      </c>
      <c r="AV57" t="s">
        <v>3676</v>
      </c>
      <c r="AW57" t="s">
        <v>3676</v>
      </c>
      <c r="AX57" t="s">
        <v>4030</v>
      </c>
    </row>
    <row r="58" spans="1:50" x14ac:dyDescent="0.25">
      <c r="A58" t="s">
        <v>4024</v>
      </c>
      <c r="B58" t="s">
        <v>4031</v>
      </c>
      <c r="C58" t="s">
        <v>4026</v>
      </c>
      <c r="D58" t="s">
        <v>3665</v>
      </c>
      <c r="E58" t="s">
        <v>3666</v>
      </c>
      <c r="F58" t="s">
        <v>3667</v>
      </c>
      <c r="G58" t="s">
        <v>3668</v>
      </c>
      <c r="H58" t="s">
        <v>4027</v>
      </c>
      <c r="I58" t="s">
        <v>3670</v>
      </c>
      <c r="J58" t="s">
        <v>4032</v>
      </c>
      <c r="K58" t="s">
        <v>4032</v>
      </c>
      <c r="L58" t="s">
        <v>3667</v>
      </c>
      <c r="M58" t="s">
        <v>3667</v>
      </c>
      <c r="N58" t="s">
        <v>3667</v>
      </c>
      <c r="O58" t="s">
        <v>4033</v>
      </c>
      <c r="P58" t="s">
        <v>4034</v>
      </c>
      <c r="Q58" t="s">
        <v>4035</v>
      </c>
      <c r="R58" t="s">
        <v>3668</v>
      </c>
      <c r="S58" t="s">
        <v>3667</v>
      </c>
      <c r="T58" t="s">
        <v>3667</v>
      </c>
      <c r="U58" t="s">
        <v>3667</v>
      </c>
      <c r="V58" t="s">
        <v>3667</v>
      </c>
      <c r="W58" t="s">
        <v>4012</v>
      </c>
      <c r="X58" t="s">
        <v>3676</v>
      </c>
      <c r="Y58" t="s">
        <v>3676</v>
      </c>
      <c r="Z58" t="s">
        <v>3676</v>
      </c>
      <c r="AA58" t="s">
        <v>3676</v>
      </c>
      <c r="AB58" t="s">
        <v>3274</v>
      </c>
      <c r="AC58" t="s">
        <v>3676</v>
      </c>
      <c r="AD58" t="s">
        <v>3676</v>
      </c>
      <c r="AE58" t="s">
        <v>3676</v>
      </c>
      <c r="AF58" t="s">
        <v>3676</v>
      </c>
      <c r="AG58" t="s">
        <v>3676</v>
      </c>
      <c r="AH58" t="s">
        <v>3676</v>
      </c>
      <c r="AI58" t="s">
        <v>3676</v>
      </c>
      <c r="AJ58" t="s">
        <v>3676</v>
      </c>
      <c r="AK58" t="s">
        <v>3676</v>
      </c>
      <c r="AL58" t="s">
        <v>3667</v>
      </c>
      <c r="AM58" t="s">
        <v>3667</v>
      </c>
      <c r="AN58" t="s">
        <v>3667</v>
      </c>
      <c r="AO58" t="s">
        <v>25</v>
      </c>
      <c r="AP58" t="s">
        <v>3676</v>
      </c>
      <c r="AQ58" t="s">
        <v>3676</v>
      </c>
      <c r="AR58" t="s">
        <v>25</v>
      </c>
      <c r="AS58" t="s">
        <v>3676</v>
      </c>
      <c r="AT58" t="s">
        <v>3676</v>
      </c>
      <c r="AU58" t="s">
        <v>3676</v>
      </c>
      <c r="AV58" t="s">
        <v>3676</v>
      </c>
      <c r="AW58" t="s">
        <v>3676</v>
      </c>
      <c r="AX58" t="s">
        <v>4036</v>
      </c>
    </row>
    <row r="59" spans="1:50" x14ac:dyDescent="0.25">
      <c r="A59" t="s">
        <v>4024</v>
      </c>
      <c r="B59" t="s">
        <v>4037</v>
      </c>
      <c r="C59" t="s">
        <v>4026</v>
      </c>
      <c r="D59" t="s">
        <v>3665</v>
      </c>
      <c r="E59" t="s">
        <v>3666</v>
      </c>
      <c r="F59" t="s">
        <v>3667</v>
      </c>
      <c r="G59" t="s">
        <v>3685</v>
      </c>
      <c r="H59" t="s">
        <v>4027</v>
      </c>
      <c r="I59" t="s">
        <v>3822</v>
      </c>
      <c r="J59" t="s">
        <v>4038</v>
      </c>
      <c r="K59" t="s">
        <v>4039</v>
      </c>
      <c r="L59" t="s">
        <v>3667</v>
      </c>
      <c r="M59" t="s">
        <v>3667</v>
      </c>
      <c r="N59" t="s">
        <v>3667</v>
      </c>
      <c r="O59" t="s">
        <v>4040</v>
      </c>
      <c r="P59" t="s">
        <v>4041</v>
      </c>
      <c r="Q59" t="s">
        <v>4042</v>
      </c>
      <c r="R59" t="s">
        <v>3668</v>
      </c>
      <c r="S59" t="s">
        <v>3667</v>
      </c>
      <c r="T59" t="s">
        <v>3667</v>
      </c>
      <c r="U59" t="s">
        <v>3667</v>
      </c>
      <c r="V59" t="s">
        <v>3667</v>
      </c>
      <c r="W59" t="s">
        <v>81</v>
      </c>
      <c r="X59" t="s">
        <v>3676</v>
      </c>
      <c r="Y59" t="s">
        <v>3676</v>
      </c>
      <c r="Z59" t="s">
        <v>3676</v>
      </c>
      <c r="AA59" t="s">
        <v>3676</v>
      </c>
      <c r="AB59" t="s">
        <v>3676</v>
      </c>
      <c r="AC59" t="s">
        <v>3676</v>
      </c>
      <c r="AD59" t="s">
        <v>3676</v>
      </c>
      <c r="AE59" t="s">
        <v>3676</v>
      </c>
      <c r="AF59" t="s">
        <v>3676</v>
      </c>
      <c r="AG59" t="s">
        <v>3676</v>
      </c>
      <c r="AH59" t="s">
        <v>3676</v>
      </c>
      <c r="AI59" t="s">
        <v>3676</v>
      </c>
      <c r="AJ59" t="s">
        <v>3676</v>
      </c>
      <c r="AK59" t="s">
        <v>3676</v>
      </c>
      <c r="AL59" t="s">
        <v>3667</v>
      </c>
      <c r="AM59" t="s">
        <v>3667</v>
      </c>
      <c r="AN59" t="s">
        <v>3667</v>
      </c>
      <c r="AO59" t="s">
        <v>81</v>
      </c>
      <c r="AP59" t="s">
        <v>3676</v>
      </c>
      <c r="AQ59" t="s">
        <v>3676</v>
      </c>
      <c r="AR59" t="s">
        <v>81</v>
      </c>
      <c r="AS59" t="s">
        <v>3676</v>
      </c>
      <c r="AT59" t="s">
        <v>3676</v>
      </c>
      <c r="AU59" t="s">
        <v>3676</v>
      </c>
      <c r="AV59" t="s">
        <v>3676</v>
      </c>
      <c r="AW59" t="s">
        <v>3676</v>
      </c>
      <c r="AX59" t="s">
        <v>4043</v>
      </c>
    </row>
    <row r="60" spans="1:50" x14ac:dyDescent="0.25">
      <c r="A60" t="s">
        <v>4024</v>
      </c>
      <c r="B60" t="s">
        <v>4044</v>
      </c>
      <c r="C60" t="s">
        <v>4026</v>
      </c>
      <c r="D60" t="s">
        <v>3665</v>
      </c>
      <c r="E60" t="s">
        <v>3666</v>
      </c>
      <c r="F60" t="s">
        <v>3667</v>
      </c>
      <c r="G60" t="s">
        <v>3668</v>
      </c>
      <c r="H60" t="s">
        <v>4027</v>
      </c>
      <c r="I60" t="s">
        <v>3670</v>
      </c>
      <c r="J60" t="s">
        <v>4045</v>
      </c>
      <c r="K60" t="s">
        <v>3813</v>
      </c>
      <c r="L60" t="s">
        <v>3667</v>
      </c>
      <c r="M60" t="s">
        <v>3667</v>
      </c>
      <c r="N60" t="s">
        <v>3667</v>
      </c>
      <c r="O60" t="s">
        <v>4046</v>
      </c>
      <c r="P60" t="s">
        <v>4047</v>
      </c>
      <c r="Q60" t="s">
        <v>3720</v>
      </c>
      <c r="R60" t="s">
        <v>3668</v>
      </c>
      <c r="S60" t="s">
        <v>3667</v>
      </c>
      <c r="T60" t="s">
        <v>3667</v>
      </c>
      <c r="U60" t="s">
        <v>3667</v>
      </c>
      <c r="V60" t="s">
        <v>3667</v>
      </c>
      <c r="W60" t="s">
        <v>990</v>
      </c>
      <c r="X60" t="s">
        <v>3676</v>
      </c>
      <c r="Y60" t="s">
        <v>3676</v>
      </c>
      <c r="Z60" t="s">
        <v>3676</v>
      </c>
      <c r="AA60" t="s">
        <v>3676</v>
      </c>
      <c r="AB60" t="s">
        <v>3274</v>
      </c>
      <c r="AC60" t="s">
        <v>3676</v>
      </c>
      <c r="AD60" t="s">
        <v>3676</v>
      </c>
      <c r="AE60" t="s">
        <v>3676</v>
      </c>
      <c r="AF60" t="s">
        <v>3676</v>
      </c>
      <c r="AG60" t="s">
        <v>3676</v>
      </c>
      <c r="AH60" t="s">
        <v>3676</v>
      </c>
      <c r="AI60" t="s">
        <v>3676</v>
      </c>
      <c r="AJ60" t="s">
        <v>3676</v>
      </c>
      <c r="AK60" t="s">
        <v>3676</v>
      </c>
      <c r="AL60" t="s">
        <v>3667</v>
      </c>
      <c r="AM60" t="s">
        <v>3667</v>
      </c>
      <c r="AN60" t="s">
        <v>3667</v>
      </c>
      <c r="AO60" t="s">
        <v>476</v>
      </c>
      <c r="AP60" t="s">
        <v>3676</v>
      </c>
      <c r="AQ60" t="s">
        <v>3676</v>
      </c>
      <c r="AR60" t="s">
        <v>476</v>
      </c>
      <c r="AS60" t="s">
        <v>3676</v>
      </c>
      <c r="AT60" t="s">
        <v>3676</v>
      </c>
      <c r="AU60" t="s">
        <v>3676</v>
      </c>
      <c r="AV60" t="s">
        <v>3676</v>
      </c>
      <c r="AW60" t="s">
        <v>3676</v>
      </c>
      <c r="AX60" t="s">
        <v>4048</v>
      </c>
    </row>
    <row r="61" spans="1:50" x14ac:dyDescent="0.25">
      <c r="A61" t="s">
        <v>4024</v>
      </c>
      <c r="B61" t="s">
        <v>4049</v>
      </c>
      <c r="C61" t="s">
        <v>4026</v>
      </c>
      <c r="D61" t="s">
        <v>3665</v>
      </c>
      <c r="E61" t="s">
        <v>3734</v>
      </c>
      <c r="F61" t="s">
        <v>3667</v>
      </c>
      <c r="G61" t="s">
        <v>3668</v>
      </c>
      <c r="H61" t="s">
        <v>4027</v>
      </c>
      <c r="I61" t="s">
        <v>3670</v>
      </c>
      <c r="J61" t="s">
        <v>4050</v>
      </c>
      <c r="K61" t="s">
        <v>4050</v>
      </c>
      <c r="L61" t="s">
        <v>3667</v>
      </c>
      <c r="M61" t="s">
        <v>3667</v>
      </c>
      <c r="N61" t="s">
        <v>3667</v>
      </c>
      <c r="O61" t="s">
        <v>3818</v>
      </c>
      <c r="P61" t="s">
        <v>4051</v>
      </c>
      <c r="Q61" t="s">
        <v>4052</v>
      </c>
      <c r="R61" t="s">
        <v>3668</v>
      </c>
      <c r="S61" t="s">
        <v>3667</v>
      </c>
      <c r="T61" t="s">
        <v>3667</v>
      </c>
      <c r="U61" t="s">
        <v>3667</v>
      </c>
      <c r="V61" t="s">
        <v>3667</v>
      </c>
      <c r="W61" t="s">
        <v>1094</v>
      </c>
      <c r="X61" t="s">
        <v>3676</v>
      </c>
      <c r="Y61" t="s">
        <v>3676</v>
      </c>
      <c r="Z61" t="s">
        <v>3676</v>
      </c>
      <c r="AA61" t="s">
        <v>3676</v>
      </c>
      <c r="AB61" t="s">
        <v>3274</v>
      </c>
      <c r="AC61" t="s">
        <v>3676</v>
      </c>
      <c r="AD61" t="s">
        <v>3676</v>
      </c>
      <c r="AE61" t="s">
        <v>3676</v>
      </c>
      <c r="AF61" t="s">
        <v>3676</v>
      </c>
      <c r="AG61" t="s">
        <v>3676</v>
      </c>
      <c r="AH61" t="s">
        <v>3676</v>
      </c>
      <c r="AI61" t="s">
        <v>3676</v>
      </c>
      <c r="AJ61" t="s">
        <v>3676</v>
      </c>
      <c r="AK61" t="s">
        <v>3676</v>
      </c>
      <c r="AL61" t="s">
        <v>3667</v>
      </c>
      <c r="AM61" t="s">
        <v>3667</v>
      </c>
      <c r="AN61" t="s">
        <v>3667</v>
      </c>
      <c r="AO61" t="s">
        <v>4053</v>
      </c>
      <c r="AP61" t="s">
        <v>3676</v>
      </c>
      <c r="AQ61" t="s">
        <v>3676</v>
      </c>
      <c r="AR61" t="s">
        <v>4053</v>
      </c>
      <c r="AS61" t="s">
        <v>3676</v>
      </c>
      <c r="AT61" t="s">
        <v>3676</v>
      </c>
      <c r="AU61" t="s">
        <v>3676</v>
      </c>
      <c r="AV61" t="s">
        <v>3676</v>
      </c>
      <c r="AW61" t="s">
        <v>3676</v>
      </c>
      <c r="AX61" t="s">
        <v>4054</v>
      </c>
    </row>
    <row r="62" spans="1:50" x14ac:dyDescent="0.25">
      <c r="A62" t="s">
        <v>4024</v>
      </c>
      <c r="B62" t="s">
        <v>4055</v>
      </c>
      <c r="C62" t="s">
        <v>4026</v>
      </c>
      <c r="D62" t="s">
        <v>3665</v>
      </c>
      <c r="E62" t="s">
        <v>3666</v>
      </c>
      <c r="F62" t="s">
        <v>3667</v>
      </c>
      <c r="G62" t="s">
        <v>3668</v>
      </c>
      <c r="H62" t="s">
        <v>4027</v>
      </c>
      <c r="I62" t="s">
        <v>3670</v>
      </c>
      <c r="J62" t="s">
        <v>3861</v>
      </c>
      <c r="K62" t="s">
        <v>4056</v>
      </c>
      <c r="L62" t="s">
        <v>3667</v>
      </c>
      <c r="M62" t="s">
        <v>3667</v>
      </c>
      <c r="N62" t="s">
        <v>3667</v>
      </c>
      <c r="O62" t="s">
        <v>3880</v>
      </c>
      <c r="P62" t="s">
        <v>4057</v>
      </c>
      <c r="Q62" t="s">
        <v>4058</v>
      </c>
      <c r="R62" t="s">
        <v>3668</v>
      </c>
      <c r="S62" t="s">
        <v>3667</v>
      </c>
      <c r="T62" t="s">
        <v>3667</v>
      </c>
      <c r="U62" t="s">
        <v>3667</v>
      </c>
      <c r="V62" t="s">
        <v>3667</v>
      </c>
      <c r="W62" t="s">
        <v>1187</v>
      </c>
      <c r="X62" t="s">
        <v>3676</v>
      </c>
      <c r="Y62" t="s">
        <v>3676</v>
      </c>
      <c r="Z62" t="s">
        <v>3676</v>
      </c>
      <c r="AA62" t="s">
        <v>3676</v>
      </c>
      <c r="AB62" t="s">
        <v>3274</v>
      </c>
      <c r="AC62" t="s">
        <v>3676</v>
      </c>
      <c r="AD62" t="s">
        <v>3676</v>
      </c>
      <c r="AE62" t="s">
        <v>3676</v>
      </c>
      <c r="AF62" t="s">
        <v>3676</v>
      </c>
      <c r="AG62" t="s">
        <v>3676</v>
      </c>
      <c r="AH62" t="s">
        <v>3676</v>
      </c>
      <c r="AI62" t="s">
        <v>3676</v>
      </c>
      <c r="AJ62" t="s">
        <v>3676</v>
      </c>
      <c r="AK62" t="s">
        <v>3676</v>
      </c>
      <c r="AL62" t="s">
        <v>3667</v>
      </c>
      <c r="AM62" t="s">
        <v>3667</v>
      </c>
      <c r="AN62" t="s">
        <v>3667</v>
      </c>
      <c r="AO62" t="s">
        <v>4012</v>
      </c>
      <c r="AP62" t="s">
        <v>3676</v>
      </c>
      <c r="AQ62" t="s">
        <v>3676</v>
      </c>
      <c r="AR62" t="s">
        <v>4012</v>
      </c>
      <c r="AS62" t="s">
        <v>3676</v>
      </c>
      <c r="AT62" t="s">
        <v>3676</v>
      </c>
      <c r="AU62" t="s">
        <v>3676</v>
      </c>
      <c r="AV62" t="s">
        <v>3676</v>
      </c>
      <c r="AW62" t="s">
        <v>3676</v>
      </c>
      <c r="AX62" t="s">
        <v>4013</v>
      </c>
    </row>
    <row r="63" spans="1:50" x14ac:dyDescent="0.25">
      <c r="A63" t="s">
        <v>4024</v>
      </c>
      <c r="B63" t="s">
        <v>4059</v>
      </c>
      <c r="C63" t="s">
        <v>4026</v>
      </c>
      <c r="D63" t="s">
        <v>3665</v>
      </c>
      <c r="E63" t="s">
        <v>3666</v>
      </c>
      <c r="F63" t="s">
        <v>3667</v>
      </c>
      <c r="G63" t="s">
        <v>3668</v>
      </c>
      <c r="H63" t="s">
        <v>4027</v>
      </c>
      <c r="I63" t="s">
        <v>3670</v>
      </c>
      <c r="J63" t="s">
        <v>4060</v>
      </c>
      <c r="K63" t="s">
        <v>4060</v>
      </c>
      <c r="L63" t="s">
        <v>3667</v>
      </c>
      <c r="M63" t="s">
        <v>3667</v>
      </c>
      <c r="N63" t="s">
        <v>3667</v>
      </c>
      <c r="O63" t="s">
        <v>4061</v>
      </c>
      <c r="P63" t="s">
        <v>4062</v>
      </c>
      <c r="Q63" t="s">
        <v>4063</v>
      </c>
      <c r="R63" t="s">
        <v>3668</v>
      </c>
      <c r="S63" t="s">
        <v>3667</v>
      </c>
      <c r="T63" t="s">
        <v>3667</v>
      </c>
      <c r="U63" t="s">
        <v>3667</v>
      </c>
      <c r="V63" t="s">
        <v>3667</v>
      </c>
      <c r="W63" t="s">
        <v>137</v>
      </c>
      <c r="X63" t="s">
        <v>3676</v>
      </c>
      <c r="Y63" t="s">
        <v>3676</v>
      </c>
      <c r="Z63" t="s">
        <v>3676</v>
      </c>
      <c r="AA63" t="s">
        <v>3676</v>
      </c>
      <c r="AB63" t="s">
        <v>3274</v>
      </c>
      <c r="AC63" t="s">
        <v>3676</v>
      </c>
      <c r="AD63" t="s">
        <v>3676</v>
      </c>
      <c r="AE63" t="s">
        <v>3676</v>
      </c>
      <c r="AF63" t="s">
        <v>3676</v>
      </c>
      <c r="AG63" t="s">
        <v>3676</v>
      </c>
      <c r="AH63" t="s">
        <v>3676</v>
      </c>
      <c r="AI63" t="s">
        <v>3676</v>
      </c>
      <c r="AJ63" t="s">
        <v>3676</v>
      </c>
      <c r="AK63" t="s">
        <v>3676</v>
      </c>
      <c r="AL63" t="s">
        <v>3667</v>
      </c>
      <c r="AM63" t="s">
        <v>3667</v>
      </c>
      <c r="AN63" t="s">
        <v>3667</v>
      </c>
      <c r="AO63" t="s">
        <v>367</v>
      </c>
      <c r="AP63" t="s">
        <v>3676</v>
      </c>
      <c r="AQ63" t="s">
        <v>3676</v>
      </c>
      <c r="AR63" t="s">
        <v>367</v>
      </c>
      <c r="AS63" t="s">
        <v>3676</v>
      </c>
      <c r="AT63" t="s">
        <v>3676</v>
      </c>
      <c r="AU63" t="s">
        <v>3676</v>
      </c>
      <c r="AV63" t="s">
        <v>3676</v>
      </c>
      <c r="AW63" t="s">
        <v>3676</v>
      </c>
      <c r="AX63" t="s">
        <v>4064</v>
      </c>
    </row>
    <row r="64" spans="1:50" x14ac:dyDescent="0.25">
      <c r="A64" t="s">
        <v>4065</v>
      </c>
      <c r="B64" t="s">
        <v>4066</v>
      </c>
      <c r="C64" t="s">
        <v>4067</v>
      </c>
      <c r="D64" t="s">
        <v>3665</v>
      </c>
      <c r="E64" t="s">
        <v>3734</v>
      </c>
      <c r="F64" t="s">
        <v>3667</v>
      </c>
      <c r="G64" t="s">
        <v>3668</v>
      </c>
      <c r="H64" t="s">
        <v>3982</v>
      </c>
      <c r="I64" t="s">
        <v>3670</v>
      </c>
      <c r="J64" t="s">
        <v>4068</v>
      </c>
      <c r="K64" t="s">
        <v>4068</v>
      </c>
      <c r="L64" t="s">
        <v>3667</v>
      </c>
      <c r="M64" t="s">
        <v>3667</v>
      </c>
      <c r="N64" t="s">
        <v>3667</v>
      </c>
      <c r="O64" t="s">
        <v>4069</v>
      </c>
      <c r="P64" t="s">
        <v>4070</v>
      </c>
      <c r="Q64" t="s">
        <v>3721</v>
      </c>
      <c r="R64" t="s">
        <v>3668</v>
      </c>
      <c r="S64" t="s">
        <v>3667</v>
      </c>
      <c r="T64" t="s">
        <v>3667</v>
      </c>
      <c r="U64" t="s">
        <v>3667</v>
      </c>
      <c r="V64" t="s">
        <v>3667</v>
      </c>
      <c r="W64" t="s">
        <v>1094</v>
      </c>
      <c r="X64" t="s">
        <v>3676</v>
      </c>
      <c r="Y64" t="s">
        <v>3676</v>
      </c>
      <c r="Z64" t="s">
        <v>3676</v>
      </c>
      <c r="AA64" t="s">
        <v>3676</v>
      </c>
      <c r="AB64" t="s">
        <v>3274</v>
      </c>
      <c r="AC64" t="s">
        <v>3676</v>
      </c>
      <c r="AD64" t="s">
        <v>3676</v>
      </c>
      <c r="AE64" t="s">
        <v>3676</v>
      </c>
      <c r="AF64" t="s">
        <v>3676</v>
      </c>
      <c r="AG64" t="s">
        <v>3676</v>
      </c>
      <c r="AH64" t="s">
        <v>3676</v>
      </c>
      <c r="AI64" t="s">
        <v>3676</v>
      </c>
      <c r="AJ64" t="s">
        <v>3676</v>
      </c>
      <c r="AK64" t="s">
        <v>3676</v>
      </c>
      <c r="AL64" t="s">
        <v>3667</v>
      </c>
      <c r="AM64" t="s">
        <v>3667</v>
      </c>
      <c r="AN64" t="s">
        <v>3667</v>
      </c>
      <c r="AO64" t="s">
        <v>4053</v>
      </c>
      <c r="AP64" t="s">
        <v>1094</v>
      </c>
      <c r="AQ64" t="s">
        <v>3676</v>
      </c>
      <c r="AR64" t="s">
        <v>4071</v>
      </c>
      <c r="AS64" t="s">
        <v>3676</v>
      </c>
      <c r="AT64" t="s">
        <v>3676</v>
      </c>
      <c r="AU64" t="s">
        <v>3676</v>
      </c>
      <c r="AV64" t="s">
        <v>3676</v>
      </c>
      <c r="AW64" t="s">
        <v>3676</v>
      </c>
      <c r="AX64" t="s">
        <v>4072</v>
      </c>
    </row>
    <row r="65" spans="1:50" x14ac:dyDescent="0.25">
      <c r="A65" t="s">
        <v>4065</v>
      </c>
      <c r="B65" t="s">
        <v>4073</v>
      </c>
      <c r="C65" t="s">
        <v>4067</v>
      </c>
      <c r="D65" t="s">
        <v>3665</v>
      </c>
      <c r="E65" t="s">
        <v>3666</v>
      </c>
      <c r="F65" t="s">
        <v>3667</v>
      </c>
      <c r="G65" t="s">
        <v>3685</v>
      </c>
      <c r="H65" t="s">
        <v>3982</v>
      </c>
      <c r="I65" t="s">
        <v>3670</v>
      </c>
      <c r="J65" t="s">
        <v>4074</v>
      </c>
      <c r="K65" t="s">
        <v>4074</v>
      </c>
      <c r="L65" t="s">
        <v>3667</v>
      </c>
      <c r="M65" t="s">
        <v>3667</v>
      </c>
      <c r="N65" t="s">
        <v>3667</v>
      </c>
      <c r="O65" t="s">
        <v>4075</v>
      </c>
      <c r="P65" t="s">
        <v>3919</v>
      </c>
      <c r="Q65" t="s">
        <v>4076</v>
      </c>
      <c r="R65" t="s">
        <v>3668</v>
      </c>
      <c r="S65" t="s">
        <v>3667</v>
      </c>
      <c r="T65" t="s">
        <v>3667</v>
      </c>
      <c r="U65" t="s">
        <v>3667</v>
      </c>
      <c r="V65" t="s">
        <v>3667</v>
      </c>
      <c r="W65" t="s">
        <v>2269</v>
      </c>
      <c r="X65" t="s">
        <v>3676</v>
      </c>
      <c r="Y65" t="s">
        <v>3676</v>
      </c>
      <c r="Z65" t="s">
        <v>3676</v>
      </c>
      <c r="AA65" t="s">
        <v>3676</v>
      </c>
      <c r="AB65" t="s">
        <v>3676</v>
      </c>
      <c r="AC65" t="s">
        <v>3676</v>
      </c>
      <c r="AD65" t="s">
        <v>3676</v>
      </c>
      <c r="AE65" t="s">
        <v>3676</v>
      </c>
      <c r="AF65" t="s">
        <v>3676</v>
      </c>
      <c r="AG65" t="s">
        <v>3676</v>
      </c>
      <c r="AH65" t="s">
        <v>3676</v>
      </c>
      <c r="AI65" t="s">
        <v>3676</v>
      </c>
      <c r="AJ65" t="s">
        <v>3676</v>
      </c>
      <c r="AK65" t="s">
        <v>3676</v>
      </c>
      <c r="AL65" t="s">
        <v>3667</v>
      </c>
      <c r="AM65" t="s">
        <v>3667</v>
      </c>
      <c r="AN65" t="s">
        <v>3667</v>
      </c>
      <c r="AO65" t="s">
        <v>2269</v>
      </c>
      <c r="AP65" t="s">
        <v>3676</v>
      </c>
      <c r="AQ65" t="s">
        <v>3676</v>
      </c>
      <c r="AR65" t="s">
        <v>2269</v>
      </c>
      <c r="AS65" t="s">
        <v>3676</v>
      </c>
      <c r="AT65" t="s">
        <v>3676</v>
      </c>
      <c r="AU65" t="s">
        <v>3676</v>
      </c>
      <c r="AV65" t="s">
        <v>3676</v>
      </c>
      <c r="AW65" t="s">
        <v>3676</v>
      </c>
      <c r="AX65" t="s">
        <v>3737</v>
      </c>
    </row>
    <row r="66" spans="1:50" x14ac:dyDescent="0.25">
      <c r="A66" t="s">
        <v>4065</v>
      </c>
      <c r="B66" t="s">
        <v>4077</v>
      </c>
      <c r="C66" t="s">
        <v>4067</v>
      </c>
      <c r="D66" t="s">
        <v>3665</v>
      </c>
      <c r="E66" t="s">
        <v>3666</v>
      </c>
      <c r="F66" t="s">
        <v>3667</v>
      </c>
      <c r="G66" t="s">
        <v>3685</v>
      </c>
      <c r="H66" t="s">
        <v>3982</v>
      </c>
      <c r="I66" t="s">
        <v>3670</v>
      </c>
      <c r="J66" t="s">
        <v>4078</v>
      </c>
      <c r="K66" t="s">
        <v>4078</v>
      </c>
      <c r="L66" t="s">
        <v>3667</v>
      </c>
      <c r="M66" t="s">
        <v>3667</v>
      </c>
      <c r="N66" t="s">
        <v>3667</v>
      </c>
      <c r="O66" t="s">
        <v>4079</v>
      </c>
      <c r="P66" t="s">
        <v>4080</v>
      </c>
      <c r="Q66" t="s">
        <v>4081</v>
      </c>
      <c r="R66" t="s">
        <v>3668</v>
      </c>
      <c r="S66" t="s">
        <v>3667</v>
      </c>
      <c r="T66" t="s">
        <v>3667</v>
      </c>
      <c r="U66" t="s">
        <v>3667</v>
      </c>
      <c r="V66" t="s">
        <v>3667</v>
      </c>
      <c r="W66" t="s">
        <v>1523</v>
      </c>
      <c r="X66" t="s">
        <v>3676</v>
      </c>
      <c r="Y66" t="s">
        <v>3676</v>
      </c>
      <c r="Z66" t="s">
        <v>3676</v>
      </c>
      <c r="AA66" t="s">
        <v>3676</v>
      </c>
      <c r="AB66" t="s">
        <v>3676</v>
      </c>
      <c r="AC66" t="s">
        <v>3676</v>
      </c>
      <c r="AD66" t="s">
        <v>3676</v>
      </c>
      <c r="AE66" t="s">
        <v>3676</v>
      </c>
      <c r="AF66" t="s">
        <v>3676</v>
      </c>
      <c r="AG66" t="s">
        <v>3676</v>
      </c>
      <c r="AH66" t="s">
        <v>3676</v>
      </c>
      <c r="AI66" t="s">
        <v>3676</v>
      </c>
      <c r="AJ66" t="s">
        <v>3676</v>
      </c>
      <c r="AK66" t="s">
        <v>3676</v>
      </c>
      <c r="AL66" t="s">
        <v>3667</v>
      </c>
      <c r="AM66" t="s">
        <v>3667</v>
      </c>
      <c r="AN66" t="s">
        <v>3667</v>
      </c>
      <c r="AO66" t="s">
        <v>1523</v>
      </c>
      <c r="AP66" t="s">
        <v>3676</v>
      </c>
      <c r="AQ66" t="s">
        <v>3676</v>
      </c>
      <c r="AR66" t="s">
        <v>1523</v>
      </c>
      <c r="AS66" t="s">
        <v>3676</v>
      </c>
      <c r="AT66" t="s">
        <v>3676</v>
      </c>
      <c r="AU66" t="s">
        <v>3676</v>
      </c>
      <c r="AV66" t="s">
        <v>3676</v>
      </c>
      <c r="AW66" t="s">
        <v>3676</v>
      </c>
      <c r="AX66" t="s">
        <v>4082</v>
      </c>
    </row>
    <row r="67" spans="1:50" x14ac:dyDescent="0.25">
      <c r="A67" t="s">
        <v>4065</v>
      </c>
      <c r="B67" t="s">
        <v>4083</v>
      </c>
      <c r="C67" t="s">
        <v>4067</v>
      </c>
      <c r="D67" t="s">
        <v>3665</v>
      </c>
      <c r="E67" t="s">
        <v>3666</v>
      </c>
      <c r="F67" t="s">
        <v>3667</v>
      </c>
      <c r="G67" t="s">
        <v>3668</v>
      </c>
      <c r="H67" t="s">
        <v>3982</v>
      </c>
      <c r="I67" t="s">
        <v>3670</v>
      </c>
      <c r="J67" t="s">
        <v>4084</v>
      </c>
      <c r="K67" t="s">
        <v>4084</v>
      </c>
      <c r="L67" t="s">
        <v>3667</v>
      </c>
      <c r="M67" t="s">
        <v>3667</v>
      </c>
      <c r="N67" t="s">
        <v>3667</v>
      </c>
      <c r="O67" t="s">
        <v>4085</v>
      </c>
      <c r="P67" t="s">
        <v>4086</v>
      </c>
      <c r="Q67" t="s">
        <v>4087</v>
      </c>
      <c r="R67" t="s">
        <v>3668</v>
      </c>
      <c r="S67" t="s">
        <v>3667</v>
      </c>
      <c r="T67" t="s">
        <v>3667</v>
      </c>
      <c r="U67" t="s">
        <v>3667</v>
      </c>
      <c r="V67" t="s">
        <v>3667</v>
      </c>
      <c r="W67" t="s">
        <v>1039</v>
      </c>
      <c r="X67" t="s">
        <v>3676</v>
      </c>
      <c r="Y67" t="s">
        <v>3676</v>
      </c>
      <c r="Z67" t="s">
        <v>3676</v>
      </c>
      <c r="AA67" t="s">
        <v>3676</v>
      </c>
      <c r="AB67" t="s">
        <v>3274</v>
      </c>
      <c r="AC67" t="s">
        <v>3676</v>
      </c>
      <c r="AD67" t="s">
        <v>3676</v>
      </c>
      <c r="AE67" t="s">
        <v>3676</v>
      </c>
      <c r="AF67" t="s">
        <v>3676</v>
      </c>
      <c r="AG67" t="s">
        <v>3676</v>
      </c>
      <c r="AH67" t="s">
        <v>3676</v>
      </c>
      <c r="AI67" t="s">
        <v>3676</v>
      </c>
      <c r="AJ67" t="s">
        <v>3676</v>
      </c>
      <c r="AK67" t="s">
        <v>3676</v>
      </c>
      <c r="AL67" t="s">
        <v>3667</v>
      </c>
      <c r="AM67" t="s">
        <v>3667</v>
      </c>
      <c r="AN67" t="s">
        <v>3667</v>
      </c>
      <c r="AO67" t="s">
        <v>914</v>
      </c>
      <c r="AP67" t="s">
        <v>3676</v>
      </c>
      <c r="AQ67" t="s">
        <v>3676</v>
      </c>
      <c r="AR67" t="s">
        <v>914</v>
      </c>
      <c r="AS67" t="s">
        <v>3676</v>
      </c>
      <c r="AT67" t="s">
        <v>3676</v>
      </c>
      <c r="AU67" t="s">
        <v>3676</v>
      </c>
      <c r="AV67" t="s">
        <v>3676</v>
      </c>
      <c r="AW67" t="s">
        <v>3676</v>
      </c>
      <c r="AX67" t="s">
        <v>4088</v>
      </c>
    </row>
    <row r="68" spans="1:50" x14ac:dyDescent="0.25">
      <c r="A68" t="s">
        <v>4065</v>
      </c>
      <c r="B68" t="s">
        <v>4089</v>
      </c>
      <c r="C68" t="s">
        <v>4067</v>
      </c>
      <c r="D68" t="s">
        <v>3665</v>
      </c>
      <c r="E68" t="s">
        <v>3666</v>
      </c>
      <c r="F68" t="s">
        <v>3667</v>
      </c>
      <c r="G68" t="s">
        <v>3685</v>
      </c>
      <c r="H68" t="s">
        <v>3982</v>
      </c>
      <c r="I68" t="s">
        <v>3670</v>
      </c>
      <c r="J68" t="s">
        <v>4090</v>
      </c>
      <c r="K68" t="s">
        <v>4090</v>
      </c>
      <c r="L68" t="s">
        <v>3667</v>
      </c>
      <c r="M68" t="s">
        <v>3667</v>
      </c>
      <c r="N68" t="s">
        <v>3667</v>
      </c>
      <c r="O68" t="s">
        <v>4091</v>
      </c>
      <c r="P68" t="s">
        <v>3977</v>
      </c>
      <c r="Q68" t="s">
        <v>3873</v>
      </c>
      <c r="R68" t="s">
        <v>3668</v>
      </c>
      <c r="S68" t="s">
        <v>3667</v>
      </c>
      <c r="T68" t="s">
        <v>3667</v>
      </c>
      <c r="U68" t="s">
        <v>3667</v>
      </c>
      <c r="V68" t="s">
        <v>3667</v>
      </c>
      <c r="W68" t="s">
        <v>2255</v>
      </c>
      <c r="X68" t="s">
        <v>3676</v>
      </c>
      <c r="Y68" t="s">
        <v>3676</v>
      </c>
      <c r="Z68" t="s">
        <v>3676</v>
      </c>
      <c r="AA68" t="s">
        <v>3676</v>
      </c>
      <c r="AB68" t="s">
        <v>3676</v>
      </c>
      <c r="AC68" t="s">
        <v>3676</v>
      </c>
      <c r="AD68" t="s">
        <v>3676</v>
      </c>
      <c r="AE68" t="s">
        <v>3676</v>
      </c>
      <c r="AF68" t="s">
        <v>3676</v>
      </c>
      <c r="AG68" t="s">
        <v>3676</v>
      </c>
      <c r="AH68" t="s">
        <v>3676</v>
      </c>
      <c r="AI68" t="s">
        <v>3676</v>
      </c>
      <c r="AJ68" t="s">
        <v>3676</v>
      </c>
      <c r="AK68" t="s">
        <v>3676</v>
      </c>
      <c r="AL68" t="s">
        <v>3667</v>
      </c>
      <c r="AM68" t="s">
        <v>3667</v>
      </c>
      <c r="AN68" t="s">
        <v>3667</v>
      </c>
      <c r="AO68" t="s">
        <v>2255</v>
      </c>
      <c r="AP68" t="s">
        <v>3676</v>
      </c>
      <c r="AQ68" t="s">
        <v>3676</v>
      </c>
      <c r="AR68" t="s">
        <v>2255</v>
      </c>
      <c r="AS68" t="s">
        <v>3676</v>
      </c>
      <c r="AT68" t="s">
        <v>3676</v>
      </c>
      <c r="AU68" t="s">
        <v>3676</v>
      </c>
      <c r="AV68" t="s">
        <v>3676</v>
      </c>
      <c r="AW68" t="s">
        <v>3676</v>
      </c>
      <c r="AX68" t="s">
        <v>4092</v>
      </c>
    </row>
    <row r="69" spans="1:50" x14ac:dyDescent="0.25">
      <c r="A69" t="s">
        <v>4065</v>
      </c>
      <c r="B69" t="s">
        <v>4093</v>
      </c>
      <c r="C69" t="s">
        <v>4067</v>
      </c>
      <c r="D69" t="s">
        <v>3665</v>
      </c>
      <c r="E69" t="s">
        <v>3666</v>
      </c>
      <c r="F69" t="s">
        <v>3667</v>
      </c>
      <c r="G69" t="s">
        <v>3668</v>
      </c>
      <c r="H69" t="s">
        <v>3982</v>
      </c>
      <c r="I69" t="s">
        <v>3670</v>
      </c>
      <c r="J69" t="s">
        <v>4094</v>
      </c>
      <c r="K69" t="s">
        <v>4094</v>
      </c>
      <c r="L69" t="s">
        <v>3667</v>
      </c>
      <c r="M69" t="s">
        <v>3667</v>
      </c>
      <c r="N69" t="s">
        <v>3667</v>
      </c>
      <c r="O69" t="s">
        <v>4095</v>
      </c>
      <c r="P69" t="s">
        <v>4096</v>
      </c>
      <c r="Q69" t="s">
        <v>4097</v>
      </c>
      <c r="R69" t="s">
        <v>3668</v>
      </c>
      <c r="S69" t="s">
        <v>3667</v>
      </c>
      <c r="T69" t="s">
        <v>3667</v>
      </c>
      <c r="U69" t="s">
        <v>3667</v>
      </c>
      <c r="V69" t="s">
        <v>3667</v>
      </c>
      <c r="W69" t="s">
        <v>2269</v>
      </c>
      <c r="X69" t="s">
        <v>3676</v>
      </c>
      <c r="Y69" t="s">
        <v>3676</v>
      </c>
      <c r="Z69" t="s">
        <v>3676</v>
      </c>
      <c r="AA69" t="s">
        <v>3676</v>
      </c>
      <c r="AB69" t="s">
        <v>3274</v>
      </c>
      <c r="AC69" t="s">
        <v>3676</v>
      </c>
      <c r="AD69" t="s">
        <v>3676</v>
      </c>
      <c r="AE69" t="s">
        <v>3676</v>
      </c>
      <c r="AF69" t="s">
        <v>3676</v>
      </c>
      <c r="AG69" t="s">
        <v>3676</v>
      </c>
      <c r="AH69" t="s">
        <v>3676</v>
      </c>
      <c r="AI69" t="s">
        <v>3676</v>
      </c>
      <c r="AJ69" t="s">
        <v>3676</v>
      </c>
      <c r="AK69" t="s">
        <v>3676</v>
      </c>
      <c r="AL69" t="s">
        <v>3667</v>
      </c>
      <c r="AM69" t="s">
        <v>3667</v>
      </c>
      <c r="AN69" t="s">
        <v>3667</v>
      </c>
      <c r="AO69" t="s">
        <v>739</v>
      </c>
      <c r="AP69" t="s">
        <v>3676</v>
      </c>
      <c r="AQ69" t="s">
        <v>3676</v>
      </c>
      <c r="AR69" t="s">
        <v>739</v>
      </c>
      <c r="AS69" t="s">
        <v>3676</v>
      </c>
      <c r="AT69" t="s">
        <v>3676</v>
      </c>
      <c r="AU69" t="s">
        <v>3676</v>
      </c>
      <c r="AV69" t="s">
        <v>3676</v>
      </c>
      <c r="AW69" t="s">
        <v>3676</v>
      </c>
      <c r="AX69" t="s">
        <v>3737</v>
      </c>
    </row>
    <row r="70" spans="1:50" x14ac:dyDescent="0.25">
      <c r="A70" t="s">
        <v>4098</v>
      </c>
      <c r="B70" t="s">
        <v>4099</v>
      </c>
      <c r="C70" t="s">
        <v>4100</v>
      </c>
      <c r="D70" t="s">
        <v>3665</v>
      </c>
      <c r="E70" t="s">
        <v>3666</v>
      </c>
      <c r="F70" t="s">
        <v>3667</v>
      </c>
      <c r="G70" t="s">
        <v>3685</v>
      </c>
      <c r="H70" t="s">
        <v>3924</v>
      </c>
      <c r="I70" t="s">
        <v>3670</v>
      </c>
      <c r="J70" t="s">
        <v>4101</v>
      </c>
      <c r="K70" t="s">
        <v>4101</v>
      </c>
      <c r="L70" t="s">
        <v>3667</v>
      </c>
      <c r="M70" t="s">
        <v>3667</v>
      </c>
      <c r="N70" t="s">
        <v>3667</v>
      </c>
      <c r="O70" t="s">
        <v>4102</v>
      </c>
      <c r="P70" t="s">
        <v>4103</v>
      </c>
      <c r="Q70" t="s">
        <v>4104</v>
      </c>
      <c r="R70" t="s">
        <v>3668</v>
      </c>
      <c r="S70" t="s">
        <v>3667</v>
      </c>
      <c r="T70" t="s">
        <v>3667</v>
      </c>
      <c r="U70" t="s">
        <v>3667</v>
      </c>
      <c r="V70" t="s">
        <v>3667</v>
      </c>
      <c r="W70" t="s">
        <v>4105</v>
      </c>
      <c r="X70" t="s">
        <v>3676</v>
      </c>
      <c r="Y70" t="s">
        <v>3676</v>
      </c>
      <c r="Z70" t="s">
        <v>3676</v>
      </c>
      <c r="AA70" t="s">
        <v>3676</v>
      </c>
      <c r="AB70" t="s">
        <v>3676</v>
      </c>
      <c r="AC70" t="s">
        <v>3676</v>
      </c>
      <c r="AD70" t="s">
        <v>3676</v>
      </c>
      <c r="AE70" t="s">
        <v>3676</v>
      </c>
      <c r="AF70" t="s">
        <v>3676</v>
      </c>
      <c r="AG70" t="s">
        <v>3676</v>
      </c>
      <c r="AH70" t="s">
        <v>3676</v>
      </c>
      <c r="AI70" t="s">
        <v>3676</v>
      </c>
      <c r="AJ70" t="s">
        <v>3676</v>
      </c>
      <c r="AK70" t="s">
        <v>3676</v>
      </c>
      <c r="AL70" t="s">
        <v>3667</v>
      </c>
      <c r="AM70" t="s">
        <v>3667</v>
      </c>
      <c r="AN70" t="s">
        <v>3667</v>
      </c>
      <c r="AO70" t="s">
        <v>4105</v>
      </c>
      <c r="AP70" t="s">
        <v>3676</v>
      </c>
      <c r="AQ70" t="s">
        <v>3676</v>
      </c>
      <c r="AR70" t="s">
        <v>4105</v>
      </c>
      <c r="AS70" t="s">
        <v>3676</v>
      </c>
      <c r="AT70" t="s">
        <v>3676</v>
      </c>
      <c r="AU70" t="s">
        <v>3676</v>
      </c>
      <c r="AV70" t="s">
        <v>3676</v>
      </c>
      <c r="AW70" t="s">
        <v>3676</v>
      </c>
      <c r="AX70" t="s">
        <v>4106</v>
      </c>
    </row>
    <row r="71" spans="1:50" x14ac:dyDescent="0.25">
      <c r="A71" t="s">
        <v>4098</v>
      </c>
      <c r="B71" t="s">
        <v>4107</v>
      </c>
      <c r="C71" t="s">
        <v>4100</v>
      </c>
      <c r="D71" t="s">
        <v>3665</v>
      </c>
      <c r="E71" t="s">
        <v>3666</v>
      </c>
      <c r="F71" t="s">
        <v>3667</v>
      </c>
      <c r="G71" t="s">
        <v>3685</v>
      </c>
      <c r="H71" t="s">
        <v>3924</v>
      </c>
      <c r="I71" t="s">
        <v>3670</v>
      </c>
      <c r="J71" t="s">
        <v>4108</v>
      </c>
      <c r="K71" t="s">
        <v>4109</v>
      </c>
      <c r="L71" t="s">
        <v>3667</v>
      </c>
      <c r="M71" t="s">
        <v>3667</v>
      </c>
      <c r="N71" t="s">
        <v>3667</v>
      </c>
      <c r="O71" t="s">
        <v>4110</v>
      </c>
      <c r="P71" t="s">
        <v>4111</v>
      </c>
      <c r="Q71" t="s">
        <v>3686</v>
      </c>
      <c r="R71" t="s">
        <v>3668</v>
      </c>
      <c r="S71" t="s">
        <v>3667</v>
      </c>
      <c r="T71" t="s">
        <v>3667</v>
      </c>
      <c r="U71" t="s">
        <v>3667</v>
      </c>
      <c r="V71" t="s">
        <v>3667</v>
      </c>
      <c r="W71" t="s">
        <v>2269</v>
      </c>
      <c r="X71" t="s">
        <v>3676</v>
      </c>
      <c r="Y71" t="s">
        <v>3676</v>
      </c>
      <c r="Z71" t="s">
        <v>3676</v>
      </c>
      <c r="AA71" t="s">
        <v>3676</v>
      </c>
      <c r="AB71" t="s">
        <v>3676</v>
      </c>
      <c r="AC71" t="s">
        <v>3676</v>
      </c>
      <c r="AD71" t="s">
        <v>3676</v>
      </c>
      <c r="AE71" t="s">
        <v>3676</v>
      </c>
      <c r="AF71" t="s">
        <v>3676</v>
      </c>
      <c r="AG71" t="s">
        <v>3676</v>
      </c>
      <c r="AH71" t="s">
        <v>3676</v>
      </c>
      <c r="AI71" t="s">
        <v>3676</v>
      </c>
      <c r="AJ71" t="s">
        <v>3676</v>
      </c>
      <c r="AK71" t="s">
        <v>3676</v>
      </c>
      <c r="AL71" t="s">
        <v>3667</v>
      </c>
      <c r="AM71" t="s">
        <v>3667</v>
      </c>
      <c r="AN71" t="s">
        <v>3667</v>
      </c>
      <c r="AO71" t="s">
        <v>2269</v>
      </c>
      <c r="AP71" t="s">
        <v>3676</v>
      </c>
      <c r="AQ71" t="s">
        <v>3676</v>
      </c>
      <c r="AR71" t="s">
        <v>2269</v>
      </c>
      <c r="AS71" t="s">
        <v>3676</v>
      </c>
      <c r="AT71" t="s">
        <v>3676</v>
      </c>
      <c r="AU71" t="s">
        <v>3676</v>
      </c>
      <c r="AV71" t="s">
        <v>3676</v>
      </c>
      <c r="AW71" t="s">
        <v>3676</v>
      </c>
      <c r="AX71" t="s">
        <v>3737</v>
      </c>
    </row>
    <row r="72" spans="1:50" x14ac:dyDescent="0.25">
      <c r="A72" t="s">
        <v>4098</v>
      </c>
      <c r="B72" t="s">
        <v>4112</v>
      </c>
      <c r="C72" t="s">
        <v>4100</v>
      </c>
      <c r="D72" t="s">
        <v>3665</v>
      </c>
      <c r="E72" t="s">
        <v>3666</v>
      </c>
      <c r="F72" t="s">
        <v>3667</v>
      </c>
      <c r="G72" t="s">
        <v>3668</v>
      </c>
      <c r="H72" t="s">
        <v>3924</v>
      </c>
      <c r="I72" t="s">
        <v>3670</v>
      </c>
      <c r="J72" t="s">
        <v>4113</v>
      </c>
      <c r="K72" t="s">
        <v>4113</v>
      </c>
      <c r="L72" t="s">
        <v>3667</v>
      </c>
      <c r="M72" t="s">
        <v>3667</v>
      </c>
      <c r="N72" t="s">
        <v>3667</v>
      </c>
      <c r="O72" t="s">
        <v>4114</v>
      </c>
      <c r="P72" t="s">
        <v>4115</v>
      </c>
      <c r="Q72" t="s">
        <v>4116</v>
      </c>
      <c r="R72" t="s">
        <v>3668</v>
      </c>
      <c r="S72" t="s">
        <v>3667</v>
      </c>
      <c r="T72" t="s">
        <v>3667</v>
      </c>
      <c r="U72" t="s">
        <v>3667</v>
      </c>
      <c r="V72" t="s">
        <v>3667</v>
      </c>
      <c r="W72" t="s">
        <v>968</v>
      </c>
      <c r="X72" t="s">
        <v>3676</v>
      </c>
      <c r="Y72" t="s">
        <v>3676</v>
      </c>
      <c r="Z72" t="s">
        <v>3676</v>
      </c>
      <c r="AA72" t="s">
        <v>3676</v>
      </c>
      <c r="AB72" t="s">
        <v>3274</v>
      </c>
      <c r="AC72" t="s">
        <v>3676</v>
      </c>
      <c r="AD72" t="s">
        <v>3676</v>
      </c>
      <c r="AE72" t="s">
        <v>3676</v>
      </c>
      <c r="AF72" t="s">
        <v>3676</v>
      </c>
      <c r="AG72" t="s">
        <v>3676</v>
      </c>
      <c r="AH72" t="s">
        <v>3676</v>
      </c>
      <c r="AI72" t="s">
        <v>3676</v>
      </c>
      <c r="AJ72" t="s">
        <v>3676</v>
      </c>
      <c r="AK72" t="s">
        <v>3676</v>
      </c>
      <c r="AL72" t="s">
        <v>3667</v>
      </c>
      <c r="AM72" t="s">
        <v>3667</v>
      </c>
      <c r="AN72" t="s">
        <v>3667</v>
      </c>
      <c r="AO72" t="s">
        <v>408</v>
      </c>
      <c r="AP72" t="s">
        <v>3676</v>
      </c>
      <c r="AQ72" t="s">
        <v>3676</v>
      </c>
      <c r="AR72" t="s">
        <v>408</v>
      </c>
      <c r="AS72" t="s">
        <v>3676</v>
      </c>
      <c r="AT72" t="s">
        <v>3676</v>
      </c>
      <c r="AU72" t="s">
        <v>3676</v>
      </c>
      <c r="AV72" t="s">
        <v>3676</v>
      </c>
      <c r="AW72" t="s">
        <v>3676</v>
      </c>
      <c r="AX72" t="s">
        <v>4117</v>
      </c>
    </row>
    <row r="73" spans="1:50" x14ac:dyDescent="0.25">
      <c r="A73" t="s">
        <v>4098</v>
      </c>
      <c r="B73" t="s">
        <v>4118</v>
      </c>
      <c r="C73" t="s">
        <v>4100</v>
      </c>
      <c r="D73" t="s">
        <v>3665</v>
      </c>
      <c r="E73" t="s">
        <v>3666</v>
      </c>
      <c r="F73" t="s">
        <v>3667</v>
      </c>
      <c r="G73" t="s">
        <v>3685</v>
      </c>
      <c r="H73" t="s">
        <v>3924</v>
      </c>
      <c r="I73" t="s">
        <v>3670</v>
      </c>
      <c r="J73" t="s">
        <v>4119</v>
      </c>
      <c r="K73" t="s">
        <v>4119</v>
      </c>
      <c r="L73" t="s">
        <v>3667</v>
      </c>
      <c r="M73" t="s">
        <v>3667</v>
      </c>
      <c r="N73" t="s">
        <v>3667</v>
      </c>
      <c r="O73" t="s">
        <v>4120</v>
      </c>
      <c r="P73" t="s">
        <v>4121</v>
      </c>
      <c r="Q73" t="s">
        <v>4122</v>
      </c>
      <c r="R73" t="s">
        <v>3668</v>
      </c>
      <c r="S73" t="s">
        <v>3667</v>
      </c>
      <c r="T73" t="s">
        <v>3667</v>
      </c>
      <c r="U73" t="s">
        <v>3667</v>
      </c>
      <c r="V73" t="s">
        <v>3667</v>
      </c>
      <c r="W73" t="s">
        <v>1242</v>
      </c>
      <c r="X73" t="s">
        <v>3676</v>
      </c>
      <c r="Y73" t="s">
        <v>3676</v>
      </c>
      <c r="Z73" t="s">
        <v>3676</v>
      </c>
      <c r="AA73" t="s">
        <v>3676</v>
      </c>
      <c r="AB73" t="s">
        <v>3676</v>
      </c>
      <c r="AC73" t="s">
        <v>3676</v>
      </c>
      <c r="AD73" t="s">
        <v>3676</v>
      </c>
      <c r="AE73" t="s">
        <v>3676</v>
      </c>
      <c r="AF73" t="s">
        <v>3676</v>
      </c>
      <c r="AG73" t="s">
        <v>3676</v>
      </c>
      <c r="AH73" t="s">
        <v>3676</v>
      </c>
      <c r="AI73" t="s">
        <v>3676</v>
      </c>
      <c r="AJ73" t="s">
        <v>3676</v>
      </c>
      <c r="AK73" t="s">
        <v>3676</v>
      </c>
      <c r="AL73" t="s">
        <v>3667</v>
      </c>
      <c r="AM73" t="s">
        <v>3667</v>
      </c>
      <c r="AN73" t="s">
        <v>3667</v>
      </c>
      <c r="AO73" t="s">
        <v>1242</v>
      </c>
      <c r="AP73" t="s">
        <v>3676</v>
      </c>
      <c r="AQ73" t="s">
        <v>3676</v>
      </c>
      <c r="AR73" t="s">
        <v>1242</v>
      </c>
      <c r="AS73" t="s">
        <v>3676</v>
      </c>
      <c r="AT73" t="s">
        <v>3676</v>
      </c>
      <c r="AU73" t="s">
        <v>3676</v>
      </c>
      <c r="AV73" t="s">
        <v>3676</v>
      </c>
      <c r="AW73" t="s">
        <v>3676</v>
      </c>
      <c r="AX73" t="s">
        <v>4123</v>
      </c>
    </row>
    <row r="74" spans="1:50" x14ac:dyDescent="0.25">
      <c r="A74" t="s">
        <v>4098</v>
      </c>
      <c r="B74" t="s">
        <v>4124</v>
      </c>
      <c r="C74" t="s">
        <v>4100</v>
      </c>
      <c r="D74" t="s">
        <v>3665</v>
      </c>
      <c r="E74" t="s">
        <v>3734</v>
      </c>
      <c r="F74" t="s">
        <v>3667</v>
      </c>
      <c r="G74" t="s">
        <v>3668</v>
      </c>
      <c r="H74" t="s">
        <v>3924</v>
      </c>
      <c r="I74" t="s">
        <v>3670</v>
      </c>
      <c r="J74" t="s">
        <v>4125</v>
      </c>
      <c r="K74" t="s">
        <v>4125</v>
      </c>
      <c r="L74" t="s">
        <v>3667</v>
      </c>
      <c r="M74" t="s">
        <v>3667</v>
      </c>
      <c r="N74" t="s">
        <v>3667</v>
      </c>
      <c r="O74" t="s">
        <v>4126</v>
      </c>
      <c r="P74" t="s">
        <v>4127</v>
      </c>
      <c r="Q74" t="s">
        <v>4128</v>
      </c>
      <c r="R74" t="s">
        <v>3668</v>
      </c>
      <c r="S74" t="s">
        <v>3667</v>
      </c>
      <c r="T74" t="s">
        <v>3667</v>
      </c>
      <c r="U74" t="s">
        <v>3667</v>
      </c>
      <c r="V74" t="s">
        <v>3667</v>
      </c>
      <c r="W74" t="s">
        <v>1523</v>
      </c>
      <c r="X74" t="s">
        <v>3676</v>
      </c>
      <c r="Y74" t="s">
        <v>3676</v>
      </c>
      <c r="Z74" t="s">
        <v>3676</v>
      </c>
      <c r="AA74" t="s">
        <v>3676</v>
      </c>
      <c r="AB74" t="s">
        <v>3274</v>
      </c>
      <c r="AC74" t="s">
        <v>3676</v>
      </c>
      <c r="AD74" t="s">
        <v>3676</v>
      </c>
      <c r="AE74" t="s">
        <v>3676</v>
      </c>
      <c r="AF74" t="s">
        <v>3676</v>
      </c>
      <c r="AG74" t="s">
        <v>3676</v>
      </c>
      <c r="AH74" t="s">
        <v>3676</v>
      </c>
      <c r="AI74" t="s">
        <v>3676</v>
      </c>
      <c r="AJ74" t="s">
        <v>3676</v>
      </c>
      <c r="AK74" t="s">
        <v>3676</v>
      </c>
      <c r="AL74" t="s">
        <v>3667</v>
      </c>
      <c r="AM74" t="s">
        <v>3667</v>
      </c>
      <c r="AN74" t="s">
        <v>3667</v>
      </c>
      <c r="AO74" t="s">
        <v>4129</v>
      </c>
      <c r="AP74" t="s">
        <v>1523</v>
      </c>
      <c r="AQ74" t="s">
        <v>3676</v>
      </c>
      <c r="AR74" t="s">
        <v>4130</v>
      </c>
      <c r="AS74" t="s">
        <v>3676</v>
      </c>
      <c r="AT74" t="s">
        <v>3676</v>
      </c>
      <c r="AU74" t="s">
        <v>3676</v>
      </c>
      <c r="AV74" t="s">
        <v>3676</v>
      </c>
      <c r="AW74" t="s">
        <v>3676</v>
      </c>
      <c r="AX74" t="s">
        <v>4131</v>
      </c>
    </row>
    <row r="75" spans="1:50" x14ac:dyDescent="0.25">
      <c r="A75" t="s">
        <v>4132</v>
      </c>
      <c r="B75" t="s">
        <v>4133</v>
      </c>
      <c r="C75" t="s">
        <v>4134</v>
      </c>
      <c r="D75" t="s">
        <v>3937</v>
      </c>
      <c r="E75" t="s">
        <v>3666</v>
      </c>
      <c r="F75" t="s">
        <v>3667</v>
      </c>
      <c r="G75" t="s">
        <v>3668</v>
      </c>
      <c r="H75" t="s">
        <v>3924</v>
      </c>
      <c r="I75" t="s">
        <v>3670</v>
      </c>
      <c r="J75" t="s">
        <v>4135</v>
      </c>
      <c r="K75" t="s">
        <v>4135</v>
      </c>
      <c r="L75" t="s">
        <v>4136</v>
      </c>
      <c r="M75" t="s">
        <v>4136</v>
      </c>
      <c r="N75" t="s">
        <v>4137</v>
      </c>
      <c r="O75" t="s">
        <v>4138</v>
      </c>
      <c r="P75" t="s">
        <v>4139</v>
      </c>
      <c r="Q75" t="s">
        <v>4140</v>
      </c>
      <c r="R75" t="s">
        <v>3668</v>
      </c>
      <c r="S75" t="s">
        <v>3667</v>
      </c>
      <c r="T75" t="s">
        <v>3667</v>
      </c>
      <c r="U75" t="s">
        <v>3667</v>
      </c>
      <c r="V75" t="s">
        <v>3667</v>
      </c>
      <c r="W75" t="s">
        <v>137</v>
      </c>
      <c r="X75" t="s">
        <v>3676</v>
      </c>
      <c r="Y75" t="s">
        <v>3676</v>
      </c>
      <c r="Z75" t="s">
        <v>3676</v>
      </c>
      <c r="AA75" t="s">
        <v>3676</v>
      </c>
      <c r="AB75" t="s">
        <v>3676</v>
      </c>
      <c r="AC75" t="s">
        <v>3676</v>
      </c>
      <c r="AD75" t="s">
        <v>3676</v>
      </c>
      <c r="AE75" t="s">
        <v>3676</v>
      </c>
      <c r="AF75" t="s">
        <v>3676</v>
      </c>
      <c r="AG75" t="s">
        <v>3676</v>
      </c>
      <c r="AH75" t="s">
        <v>3676</v>
      </c>
      <c r="AI75" t="s">
        <v>3676</v>
      </c>
      <c r="AJ75" t="s">
        <v>3676</v>
      </c>
      <c r="AK75" t="s">
        <v>3676</v>
      </c>
      <c r="AL75" t="s">
        <v>3667</v>
      </c>
      <c r="AM75" t="s">
        <v>3667</v>
      </c>
      <c r="AN75" t="s">
        <v>3667</v>
      </c>
      <c r="AO75" t="s">
        <v>137</v>
      </c>
      <c r="AP75" t="s">
        <v>3676</v>
      </c>
      <c r="AQ75" t="s">
        <v>3676</v>
      </c>
      <c r="AR75" t="s">
        <v>137</v>
      </c>
      <c r="AS75" t="s">
        <v>3676</v>
      </c>
      <c r="AT75" t="s">
        <v>3676</v>
      </c>
      <c r="AU75" t="s">
        <v>3676</v>
      </c>
      <c r="AV75" t="s">
        <v>3676</v>
      </c>
      <c r="AW75" t="s">
        <v>3676</v>
      </c>
      <c r="AX75" t="s">
        <v>4064</v>
      </c>
    </row>
    <row r="76" spans="1:50" x14ac:dyDescent="0.25">
      <c r="A76" t="s">
        <v>4132</v>
      </c>
      <c r="B76" t="s">
        <v>4141</v>
      </c>
      <c r="C76" t="s">
        <v>4134</v>
      </c>
      <c r="D76" t="s">
        <v>3937</v>
      </c>
      <c r="E76" t="s">
        <v>3666</v>
      </c>
      <c r="F76" t="s">
        <v>3667</v>
      </c>
      <c r="G76" t="s">
        <v>3668</v>
      </c>
      <c r="H76" t="s">
        <v>3924</v>
      </c>
      <c r="I76" t="s">
        <v>3670</v>
      </c>
      <c r="J76" t="s">
        <v>4142</v>
      </c>
      <c r="K76" t="s">
        <v>4142</v>
      </c>
      <c r="L76" t="s">
        <v>4143</v>
      </c>
      <c r="M76" t="s">
        <v>4033</v>
      </c>
      <c r="N76" t="s">
        <v>4144</v>
      </c>
      <c r="O76" t="s">
        <v>4145</v>
      </c>
      <c r="P76" t="s">
        <v>4146</v>
      </c>
      <c r="Q76" t="s">
        <v>4147</v>
      </c>
      <c r="R76" t="s">
        <v>3668</v>
      </c>
      <c r="S76" t="s">
        <v>3667</v>
      </c>
      <c r="T76" t="s">
        <v>3667</v>
      </c>
      <c r="U76" t="s">
        <v>3667</v>
      </c>
      <c r="V76" t="s">
        <v>3667</v>
      </c>
      <c r="W76" t="s">
        <v>946</v>
      </c>
      <c r="X76" t="s">
        <v>3676</v>
      </c>
      <c r="Y76" t="s">
        <v>3676</v>
      </c>
      <c r="Z76" t="s">
        <v>3676</v>
      </c>
      <c r="AA76" t="s">
        <v>3676</v>
      </c>
      <c r="AB76" t="s">
        <v>3676</v>
      </c>
      <c r="AC76" t="s">
        <v>3676</v>
      </c>
      <c r="AD76" t="s">
        <v>3676</v>
      </c>
      <c r="AE76" t="s">
        <v>3676</v>
      </c>
      <c r="AF76" t="s">
        <v>3676</v>
      </c>
      <c r="AG76" t="s">
        <v>3676</v>
      </c>
      <c r="AH76" t="s">
        <v>3676</v>
      </c>
      <c r="AI76" t="s">
        <v>3676</v>
      </c>
      <c r="AJ76" t="s">
        <v>3676</v>
      </c>
      <c r="AK76" t="s">
        <v>3676</v>
      </c>
      <c r="AL76" t="s">
        <v>3667</v>
      </c>
      <c r="AM76" t="s">
        <v>3667</v>
      </c>
      <c r="AN76" t="s">
        <v>3667</v>
      </c>
      <c r="AO76" t="s">
        <v>946</v>
      </c>
      <c r="AP76" t="s">
        <v>3676</v>
      </c>
      <c r="AQ76" t="s">
        <v>3676</v>
      </c>
      <c r="AR76" t="s">
        <v>946</v>
      </c>
      <c r="AS76" t="s">
        <v>3676</v>
      </c>
      <c r="AT76" t="s">
        <v>3676</v>
      </c>
      <c r="AU76" t="s">
        <v>3676</v>
      </c>
      <c r="AV76" t="s">
        <v>3676</v>
      </c>
      <c r="AW76" t="s">
        <v>3676</v>
      </c>
      <c r="AX76" t="s">
        <v>4148</v>
      </c>
    </row>
    <row r="77" spans="1:50" x14ac:dyDescent="0.25">
      <c r="A77" t="s">
        <v>4132</v>
      </c>
      <c r="B77" t="s">
        <v>4149</v>
      </c>
      <c r="C77" t="s">
        <v>4134</v>
      </c>
      <c r="D77" t="s">
        <v>3937</v>
      </c>
      <c r="E77" t="s">
        <v>3666</v>
      </c>
      <c r="F77" t="s">
        <v>3667</v>
      </c>
      <c r="G77" t="s">
        <v>3685</v>
      </c>
      <c r="H77" t="s">
        <v>3924</v>
      </c>
      <c r="I77" t="s">
        <v>3670</v>
      </c>
      <c r="J77" t="s">
        <v>4150</v>
      </c>
      <c r="K77" t="s">
        <v>4150</v>
      </c>
      <c r="L77" t="s">
        <v>4151</v>
      </c>
      <c r="M77" t="s">
        <v>4152</v>
      </c>
      <c r="N77" t="s">
        <v>4152</v>
      </c>
      <c r="O77" t="s">
        <v>3689</v>
      </c>
      <c r="P77" t="s">
        <v>4153</v>
      </c>
      <c r="Q77" t="s">
        <v>4154</v>
      </c>
      <c r="R77" t="s">
        <v>3668</v>
      </c>
      <c r="S77" t="s">
        <v>3667</v>
      </c>
      <c r="T77" t="s">
        <v>3667</v>
      </c>
      <c r="U77" t="s">
        <v>3667</v>
      </c>
      <c r="V77" t="s">
        <v>3667</v>
      </c>
      <c r="W77" t="s">
        <v>788</v>
      </c>
      <c r="X77" t="s">
        <v>3676</v>
      </c>
      <c r="Y77" t="s">
        <v>3676</v>
      </c>
      <c r="Z77" t="s">
        <v>3676</v>
      </c>
      <c r="AA77" t="s">
        <v>3676</v>
      </c>
      <c r="AB77" t="s">
        <v>3676</v>
      </c>
      <c r="AC77" t="s">
        <v>3676</v>
      </c>
      <c r="AD77" t="s">
        <v>3676</v>
      </c>
      <c r="AE77" t="s">
        <v>3676</v>
      </c>
      <c r="AF77" t="s">
        <v>3676</v>
      </c>
      <c r="AG77" t="s">
        <v>3676</v>
      </c>
      <c r="AH77" t="s">
        <v>3676</v>
      </c>
      <c r="AI77" t="s">
        <v>3676</v>
      </c>
      <c r="AJ77" t="s">
        <v>3676</v>
      </c>
      <c r="AK77" t="s">
        <v>3676</v>
      </c>
      <c r="AL77" t="s">
        <v>3667</v>
      </c>
      <c r="AM77" t="s">
        <v>3667</v>
      </c>
      <c r="AN77" t="s">
        <v>3667</v>
      </c>
      <c r="AO77" t="s">
        <v>788</v>
      </c>
      <c r="AP77" t="s">
        <v>3676</v>
      </c>
      <c r="AQ77" t="s">
        <v>3676</v>
      </c>
      <c r="AR77" t="s">
        <v>788</v>
      </c>
      <c r="AS77" t="s">
        <v>3676</v>
      </c>
      <c r="AT77" t="s">
        <v>3676</v>
      </c>
      <c r="AU77" t="s">
        <v>3676</v>
      </c>
      <c r="AV77" t="s">
        <v>3676</v>
      </c>
      <c r="AW77" t="s">
        <v>3676</v>
      </c>
      <c r="AX77" t="s">
        <v>4155</v>
      </c>
    </row>
    <row r="78" spans="1:50" x14ac:dyDescent="0.25">
      <c r="A78" t="s">
        <v>4156</v>
      </c>
      <c r="B78" t="s">
        <v>4157</v>
      </c>
      <c r="C78" t="s">
        <v>4158</v>
      </c>
      <c r="D78" t="s">
        <v>3665</v>
      </c>
      <c r="E78" t="s">
        <v>3666</v>
      </c>
      <c r="F78" t="s">
        <v>3667</v>
      </c>
      <c r="G78" t="s">
        <v>3685</v>
      </c>
      <c r="H78" t="s">
        <v>3982</v>
      </c>
      <c r="I78" t="s">
        <v>3670</v>
      </c>
      <c r="J78" t="s">
        <v>4159</v>
      </c>
      <c r="K78" t="s">
        <v>4159</v>
      </c>
      <c r="L78" t="s">
        <v>3667</v>
      </c>
      <c r="M78" t="s">
        <v>3667</v>
      </c>
      <c r="N78" t="s">
        <v>3667</v>
      </c>
      <c r="O78" t="s">
        <v>4160</v>
      </c>
      <c r="P78" t="s">
        <v>4161</v>
      </c>
      <c r="Q78" t="s">
        <v>4162</v>
      </c>
      <c r="R78" t="s">
        <v>3668</v>
      </c>
      <c r="S78" t="s">
        <v>3667</v>
      </c>
      <c r="T78" t="s">
        <v>3667</v>
      </c>
      <c r="U78" t="s">
        <v>3667</v>
      </c>
      <c r="V78" t="s">
        <v>3667</v>
      </c>
      <c r="W78" t="s">
        <v>81</v>
      </c>
      <c r="X78" t="s">
        <v>3676</v>
      </c>
      <c r="Y78" t="s">
        <v>3676</v>
      </c>
      <c r="Z78" t="s">
        <v>3676</v>
      </c>
      <c r="AA78" t="s">
        <v>3676</v>
      </c>
      <c r="AB78" t="s">
        <v>3676</v>
      </c>
      <c r="AC78" t="s">
        <v>3676</v>
      </c>
      <c r="AD78" t="s">
        <v>3676</v>
      </c>
      <c r="AE78" t="s">
        <v>3676</v>
      </c>
      <c r="AF78" t="s">
        <v>3676</v>
      </c>
      <c r="AG78" t="s">
        <v>3676</v>
      </c>
      <c r="AH78" t="s">
        <v>3676</v>
      </c>
      <c r="AI78" t="s">
        <v>3676</v>
      </c>
      <c r="AJ78" t="s">
        <v>3676</v>
      </c>
      <c r="AK78" t="s">
        <v>3676</v>
      </c>
      <c r="AL78" t="s">
        <v>3667</v>
      </c>
      <c r="AM78" t="s">
        <v>3667</v>
      </c>
      <c r="AN78" t="s">
        <v>3667</v>
      </c>
      <c r="AO78" t="s">
        <v>81</v>
      </c>
      <c r="AP78" t="s">
        <v>3676</v>
      </c>
      <c r="AQ78" t="s">
        <v>3676</v>
      </c>
      <c r="AR78" t="s">
        <v>81</v>
      </c>
      <c r="AS78" t="s">
        <v>3676</v>
      </c>
      <c r="AT78" t="s">
        <v>3676</v>
      </c>
      <c r="AU78" t="s">
        <v>3676</v>
      </c>
      <c r="AV78" t="s">
        <v>3676</v>
      </c>
      <c r="AW78" t="s">
        <v>3676</v>
      </c>
      <c r="AX78" t="s">
        <v>4163</v>
      </c>
    </row>
    <row r="79" spans="1:50" x14ac:dyDescent="0.25">
      <c r="A79" t="s">
        <v>4156</v>
      </c>
      <c r="B79" t="s">
        <v>4164</v>
      </c>
      <c r="C79" t="s">
        <v>4158</v>
      </c>
      <c r="D79" t="s">
        <v>3665</v>
      </c>
      <c r="E79" t="s">
        <v>3666</v>
      </c>
      <c r="F79" t="s">
        <v>3667</v>
      </c>
      <c r="G79" t="s">
        <v>3685</v>
      </c>
      <c r="H79" t="s">
        <v>3982</v>
      </c>
      <c r="I79" t="s">
        <v>3670</v>
      </c>
      <c r="J79" t="s">
        <v>4165</v>
      </c>
      <c r="K79" t="s">
        <v>4165</v>
      </c>
      <c r="L79" t="s">
        <v>3667</v>
      </c>
      <c r="M79" t="s">
        <v>3667</v>
      </c>
      <c r="N79" t="s">
        <v>3667</v>
      </c>
      <c r="O79" t="s">
        <v>4166</v>
      </c>
      <c r="P79" t="s">
        <v>4167</v>
      </c>
      <c r="Q79" t="s">
        <v>4168</v>
      </c>
      <c r="R79" t="s">
        <v>3668</v>
      </c>
      <c r="S79" t="s">
        <v>3667</v>
      </c>
      <c r="T79" t="s">
        <v>3667</v>
      </c>
      <c r="U79" t="s">
        <v>3667</v>
      </c>
      <c r="V79" t="s">
        <v>3667</v>
      </c>
      <c r="W79" t="s">
        <v>3564</v>
      </c>
      <c r="X79" t="s">
        <v>3676</v>
      </c>
      <c r="Y79" t="s">
        <v>3676</v>
      </c>
      <c r="Z79" t="s">
        <v>3676</v>
      </c>
      <c r="AA79" t="s">
        <v>3676</v>
      </c>
      <c r="AB79" t="s">
        <v>3676</v>
      </c>
      <c r="AC79" t="s">
        <v>3676</v>
      </c>
      <c r="AD79" t="s">
        <v>3676</v>
      </c>
      <c r="AE79" t="s">
        <v>3676</v>
      </c>
      <c r="AF79" t="s">
        <v>3676</v>
      </c>
      <c r="AG79" t="s">
        <v>3676</v>
      </c>
      <c r="AH79" t="s">
        <v>3676</v>
      </c>
      <c r="AI79" t="s">
        <v>3676</v>
      </c>
      <c r="AJ79" t="s">
        <v>3676</v>
      </c>
      <c r="AK79" t="s">
        <v>3676</v>
      </c>
      <c r="AL79" t="s">
        <v>3667</v>
      </c>
      <c r="AM79" t="s">
        <v>3667</v>
      </c>
      <c r="AN79" t="s">
        <v>3667</v>
      </c>
      <c r="AO79" t="s">
        <v>3564</v>
      </c>
      <c r="AP79" t="s">
        <v>3676</v>
      </c>
      <c r="AQ79" t="s">
        <v>3676</v>
      </c>
      <c r="AR79" t="s">
        <v>3564</v>
      </c>
      <c r="AS79" t="s">
        <v>3676</v>
      </c>
      <c r="AT79" t="s">
        <v>3676</v>
      </c>
      <c r="AU79" t="s">
        <v>3676</v>
      </c>
      <c r="AV79" t="s">
        <v>3676</v>
      </c>
      <c r="AW79" t="s">
        <v>3676</v>
      </c>
      <c r="AX79" t="s">
        <v>4169</v>
      </c>
    </row>
    <row r="80" spans="1:50" x14ac:dyDescent="0.25">
      <c r="A80" t="s">
        <v>4170</v>
      </c>
      <c r="B80" t="s">
        <v>4171</v>
      </c>
      <c r="C80" t="s">
        <v>4172</v>
      </c>
      <c r="D80" t="s">
        <v>3665</v>
      </c>
      <c r="E80" t="s">
        <v>3666</v>
      </c>
      <c r="F80" t="s">
        <v>3667</v>
      </c>
      <c r="G80" t="s">
        <v>3685</v>
      </c>
      <c r="H80" t="s">
        <v>4173</v>
      </c>
      <c r="I80" t="s">
        <v>3670</v>
      </c>
      <c r="J80" t="s">
        <v>3673</v>
      </c>
      <c r="K80" t="s">
        <v>4174</v>
      </c>
      <c r="L80" t="s">
        <v>3667</v>
      </c>
      <c r="M80" t="s">
        <v>3667</v>
      </c>
      <c r="N80" t="s">
        <v>3667</v>
      </c>
      <c r="O80" t="s">
        <v>3962</v>
      </c>
      <c r="P80" t="s">
        <v>4175</v>
      </c>
      <c r="Q80" t="s">
        <v>3679</v>
      </c>
      <c r="R80" t="s">
        <v>3668</v>
      </c>
      <c r="S80" t="s">
        <v>3667</v>
      </c>
      <c r="T80" t="s">
        <v>3667</v>
      </c>
      <c r="U80" t="s">
        <v>3667</v>
      </c>
      <c r="V80" t="s">
        <v>3667</v>
      </c>
      <c r="W80" t="s">
        <v>1097</v>
      </c>
      <c r="X80" t="s">
        <v>3676</v>
      </c>
      <c r="Y80" t="s">
        <v>3676</v>
      </c>
      <c r="Z80" t="s">
        <v>3676</v>
      </c>
      <c r="AA80" t="s">
        <v>3676</v>
      </c>
      <c r="AB80" t="s">
        <v>3676</v>
      </c>
      <c r="AC80" t="s">
        <v>3676</v>
      </c>
      <c r="AD80" t="s">
        <v>3676</v>
      </c>
      <c r="AE80" t="s">
        <v>3676</v>
      </c>
      <c r="AF80" t="s">
        <v>3676</v>
      </c>
      <c r="AG80" t="s">
        <v>3676</v>
      </c>
      <c r="AH80" t="s">
        <v>3676</v>
      </c>
      <c r="AI80" t="s">
        <v>3676</v>
      </c>
      <c r="AJ80" t="s">
        <v>3676</v>
      </c>
      <c r="AK80" t="s">
        <v>3676</v>
      </c>
      <c r="AL80" t="s">
        <v>3667</v>
      </c>
      <c r="AM80" t="s">
        <v>3667</v>
      </c>
      <c r="AN80" t="s">
        <v>3667</v>
      </c>
      <c r="AO80" t="s">
        <v>1097</v>
      </c>
      <c r="AP80" t="s">
        <v>3676</v>
      </c>
      <c r="AQ80" t="s">
        <v>3676</v>
      </c>
      <c r="AR80" t="s">
        <v>1097</v>
      </c>
      <c r="AS80" t="s">
        <v>3676</v>
      </c>
      <c r="AT80" t="s">
        <v>3676</v>
      </c>
      <c r="AU80" t="s">
        <v>3676</v>
      </c>
      <c r="AV80" t="s">
        <v>3676</v>
      </c>
      <c r="AW80" t="s">
        <v>3676</v>
      </c>
      <c r="AX80" t="s">
        <v>4176</v>
      </c>
    </row>
    <row r="81" spans="1:50" x14ac:dyDescent="0.25">
      <c r="A81" t="s">
        <v>4170</v>
      </c>
      <c r="B81" t="s">
        <v>4177</v>
      </c>
      <c r="C81" t="s">
        <v>4172</v>
      </c>
      <c r="D81" t="s">
        <v>3665</v>
      </c>
      <c r="E81" t="s">
        <v>3666</v>
      </c>
      <c r="F81" t="s">
        <v>3667</v>
      </c>
      <c r="G81" t="s">
        <v>3685</v>
      </c>
      <c r="H81" t="s">
        <v>4173</v>
      </c>
      <c r="I81" t="s">
        <v>3670</v>
      </c>
      <c r="J81" t="s">
        <v>4178</v>
      </c>
      <c r="K81" t="s">
        <v>4179</v>
      </c>
      <c r="L81" t="s">
        <v>3667</v>
      </c>
      <c r="M81" t="s">
        <v>3667</v>
      </c>
      <c r="N81" t="s">
        <v>3667</v>
      </c>
      <c r="O81" t="s">
        <v>3962</v>
      </c>
      <c r="P81" t="s">
        <v>4180</v>
      </c>
      <c r="Q81" t="s">
        <v>4181</v>
      </c>
      <c r="R81" t="s">
        <v>3668</v>
      </c>
      <c r="S81" t="s">
        <v>3667</v>
      </c>
      <c r="T81" t="s">
        <v>3667</v>
      </c>
      <c r="U81" t="s">
        <v>3667</v>
      </c>
      <c r="V81" t="s">
        <v>3667</v>
      </c>
      <c r="W81" t="s">
        <v>2269</v>
      </c>
      <c r="X81" t="s">
        <v>3676</v>
      </c>
      <c r="Y81" t="s">
        <v>3676</v>
      </c>
      <c r="Z81" t="s">
        <v>3676</v>
      </c>
      <c r="AA81" t="s">
        <v>3676</v>
      </c>
      <c r="AB81" t="s">
        <v>3676</v>
      </c>
      <c r="AC81" t="s">
        <v>3676</v>
      </c>
      <c r="AD81" t="s">
        <v>3676</v>
      </c>
      <c r="AE81" t="s">
        <v>3676</v>
      </c>
      <c r="AF81" t="s">
        <v>3676</v>
      </c>
      <c r="AG81" t="s">
        <v>3676</v>
      </c>
      <c r="AH81" t="s">
        <v>3676</v>
      </c>
      <c r="AI81" t="s">
        <v>3676</v>
      </c>
      <c r="AJ81" t="s">
        <v>3676</v>
      </c>
      <c r="AK81" t="s">
        <v>3676</v>
      </c>
      <c r="AL81" t="s">
        <v>3667</v>
      </c>
      <c r="AM81" t="s">
        <v>3667</v>
      </c>
      <c r="AN81" t="s">
        <v>3667</v>
      </c>
      <c r="AO81" t="s">
        <v>2269</v>
      </c>
      <c r="AP81" t="s">
        <v>3676</v>
      </c>
      <c r="AQ81" t="s">
        <v>3676</v>
      </c>
      <c r="AR81" t="s">
        <v>2269</v>
      </c>
      <c r="AS81" t="s">
        <v>3676</v>
      </c>
      <c r="AT81" t="s">
        <v>3676</v>
      </c>
      <c r="AU81" t="s">
        <v>3676</v>
      </c>
      <c r="AV81" t="s">
        <v>3676</v>
      </c>
      <c r="AW81" t="s">
        <v>3676</v>
      </c>
      <c r="AX81" t="s">
        <v>4182</v>
      </c>
    </row>
    <row r="82" spans="1:50" x14ac:dyDescent="0.25">
      <c r="A82" t="s">
        <v>4170</v>
      </c>
      <c r="B82" t="s">
        <v>4183</v>
      </c>
      <c r="C82" t="s">
        <v>4172</v>
      </c>
      <c r="D82" t="s">
        <v>3665</v>
      </c>
      <c r="E82" t="s">
        <v>3666</v>
      </c>
      <c r="F82" t="s">
        <v>3667</v>
      </c>
      <c r="G82" t="s">
        <v>3668</v>
      </c>
      <c r="H82" t="s">
        <v>4173</v>
      </c>
      <c r="I82" t="s">
        <v>3670</v>
      </c>
      <c r="J82" t="s">
        <v>4184</v>
      </c>
      <c r="K82" t="s">
        <v>4184</v>
      </c>
      <c r="L82" t="s">
        <v>3667</v>
      </c>
      <c r="M82" t="s">
        <v>3667</v>
      </c>
      <c r="N82" t="s">
        <v>3667</v>
      </c>
      <c r="O82" t="s">
        <v>4185</v>
      </c>
      <c r="P82" t="s">
        <v>4186</v>
      </c>
      <c r="Q82" t="s">
        <v>4187</v>
      </c>
      <c r="R82" t="s">
        <v>3668</v>
      </c>
      <c r="S82" t="s">
        <v>3667</v>
      </c>
      <c r="T82" t="s">
        <v>3667</v>
      </c>
      <c r="U82" t="s">
        <v>3667</v>
      </c>
      <c r="V82" t="s">
        <v>3667</v>
      </c>
      <c r="W82" t="s">
        <v>375</v>
      </c>
      <c r="X82" t="s">
        <v>3676</v>
      </c>
      <c r="Y82" t="s">
        <v>3676</v>
      </c>
      <c r="Z82" t="s">
        <v>3676</v>
      </c>
      <c r="AA82" t="s">
        <v>3676</v>
      </c>
      <c r="AB82" t="s">
        <v>3274</v>
      </c>
      <c r="AC82" t="s">
        <v>3676</v>
      </c>
      <c r="AD82" t="s">
        <v>3676</v>
      </c>
      <c r="AE82" t="s">
        <v>3676</v>
      </c>
      <c r="AF82" t="s">
        <v>3676</v>
      </c>
      <c r="AG82" t="s">
        <v>3676</v>
      </c>
      <c r="AH82" t="s">
        <v>3676</v>
      </c>
      <c r="AI82" t="s">
        <v>3676</v>
      </c>
      <c r="AJ82" t="s">
        <v>3676</v>
      </c>
      <c r="AK82" t="s">
        <v>3676</v>
      </c>
      <c r="AL82" t="s">
        <v>3667</v>
      </c>
      <c r="AM82" t="s">
        <v>3667</v>
      </c>
      <c r="AN82" t="s">
        <v>3667</v>
      </c>
      <c r="AO82" t="s">
        <v>72</v>
      </c>
      <c r="AP82" t="s">
        <v>3676</v>
      </c>
      <c r="AQ82" t="s">
        <v>3676</v>
      </c>
      <c r="AR82" t="s">
        <v>72</v>
      </c>
      <c r="AS82" t="s">
        <v>3676</v>
      </c>
      <c r="AT82" t="s">
        <v>3676</v>
      </c>
      <c r="AU82" t="s">
        <v>3676</v>
      </c>
      <c r="AV82" t="s">
        <v>3676</v>
      </c>
      <c r="AW82" t="s">
        <v>3676</v>
      </c>
      <c r="AX82" t="s">
        <v>4188</v>
      </c>
    </row>
    <row r="83" spans="1:50" x14ac:dyDescent="0.25">
      <c r="A83" t="s">
        <v>4170</v>
      </c>
      <c r="B83" t="s">
        <v>4189</v>
      </c>
      <c r="C83" t="s">
        <v>4172</v>
      </c>
      <c r="D83" t="s">
        <v>3665</v>
      </c>
      <c r="E83" t="s">
        <v>3666</v>
      </c>
      <c r="F83" t="s">
        <v>3667</v>
      </c>
      <c r="G83" t="s">
        <v>3668</v>
      </c>
      <c r="H83" t="s">
        <v>4173</v>
      </c>
      <c r="I83" t="s">
        <v>3670</v>
      </c>
      <c r="J83" t="s">
        <v>4190</v>
      </c>
      <c r="K83" t="s">
        <v>4191</v>
      </c>
      <c r="L83" t="s">
        <v>3667</v>
      </c>
      <c r="M83" t="s">
        <v>3667</v>
      </c>
      <c r="N83" t="s">
        <v>3667</v>
      </c>
      <c r="O83" t="s">
        <v>3729</v>
      </c>
      <c r="P83" t="s">
        <v>4192</v>
      </c>
      <c r="Q83" t="s">
        <v>4193</v>
      </c>
      <c r="R83" t="s">
        <v>3668</v>
      </c>
      <c r="S83" t="s">
        <v>3667</v>
      </c>
      <c r="T83" t="s">
        <v>3667</v>
      </c>
      <c r="U83" t="s">
        <v>3667</v>
      </c>
      <c r="V83" t="s">
        <v>3667</v>
      </c>
      <c r="W83" t="s">
        <v>375</v>
      </c>
      <c r="X83" t="s">
        <v>3676</v>
      </c>
      <c r="Y83" t="s">
        <v>3676</v>
      </c>
      <c r="Z83" t="s">
        <v>3676</v>
      </c>
      <c r="AA83" t="s">
        <v>3676</v>
      </c>
      <c r="AB83" t="s">
        <v>3274</v>
      </c>
      <c r="AC83" t="s">
        <v>3676</v>
      </c>
      <c r="AD83" t="s">
        <v>3676</v>
      </c>
      <c r="AE83" t="s">
        <v>3676</v>
      </c>
      <c r="AF83" t="s">
        <v>3676</v>
      </c>
      <c r="AG83" t="s">
        <v>3676</v>
      </c>
      <c r="AH83" t="s">
        <v>3676</v>
      </c>
      <c r="AI83" t="s">
        <v>3676</v>
      </c>
      <c r="AJ83" t="s">
        <v>3676</v>
      </c>
      <c r="AK83" t="s">
        <v>3676</v>
      </c>
      <c r="AL83" t="s">
        <v>3667</v>
      </c>
      <c r="AM83" t="s">
        <v>3667</v>
      </c>
      <c r="AN83" t="s">
        <v>3667</v>
      </c>
      <c r="AO83" t="s">
        <v>72</v>
      </c>
      <c r="AP83" t="s">
        <v>3676</v>
      </c>
      <c r="AQ83" t="s">
        <v>3676</v>
      </c>
      <c r="AR83" t="s">
        <v>72</v>
      </c>
      <c r="AS83" t="s">
        <v>3676</v>
      </c>
      <c r="AT83" t="s">
        <v>3676</v>
      </c>
      <c r="AU83" t="s">
        <v>3676</v>
      </c>
      <c r="AV83" t="s">
        <v>3676</v>
      </c>
      <c r="AW83" t="s">
        <v>3676</v>
      </c>
      <c r="AX83" t="s">
        <v>4194</v>
      </c>
    </row>
    <row r="84" spans="1:50" x14ac:dyDescent="0.25">
      <c r="A84" t="s">
        <v>4170</v>
      </c>
      <c r="B84" t="s">
        <v>4195</v>
      </c>
      <c r="C84" t="s">
        <v>4172</v>
      </c>
      <c r="D84" t="s">
        <v>3665</v>
      </c>
      <c r="E84" t="s">
        <v>3666</v>
      </c>
      <c r="F84" t="s">
        <v>3667</v>
      </c>
      <c r="G84" t="s">
        <v>3668</v>
      </c>
      <c r="H84" t="s">
        <v>4173</v>
      </c>
      <c r="I84" t="s">
        <v>3670</v>
      </c>
      <c r="J84" t="s">
        <v>4196</v>
      </c>
      <c r="K84" t="s">
        <v>4196</v>
      </c>
      <c r="L84" t="s">
        <v>3667</v>
      </c>
      <c r="M84" t="s">
        <v>3667</v>
      </c>
      <c r="N84" t="s">
        <v>3667</v>
      </c>
      <c r="O84" t="s">
        <v>3833</v>
      </c>
      <c r="P84" t="s">
        <v>4197</v>
      </c>
      <c r="Q84" t="s">
        <v>4198</v>
      </c>
      <c r="R84" t="s">
        <v>3668</v>
      </c>
      <c r="S84" t="s">
        <v>3667</v>
      </c>
      <c r="T84" t="s">
        <v>3667</v>
      </c>
      <c r="U84" t="s">
        <v>3667</v>
      </c>
      <c r="V84" t="s">
        <v>3667</v>
      </c>
      <c r="W84" t="s">
        <v>1278</v>
      </c>
      <c r="X84" t="s">
        <v>3676</v>
      </c>
      <c r="Y84" t="s">
        <v>3676</v>
      </c>
      <c r="Z84" t="s">
        <v>3676</v>
      </c>
      <c r="AA84" t="s">
        <v>3676</v>
      </c>
      <c r="AB84" t="s">
        <v>3274</v>
      </c>
      <c r="AC84" t="s">
        <v>3676</v>
      </c>
      <c r="AD84" t="s">
        <v>3676</v>
      </c>
      <c r="AE84" t="s">
        <v>3676</v>
      </c>
      <c r="AF84" t="s">
        <v>3676</v>
      </c>
      <c r="AG84" t="s">
        <v>3676</v>
      </c>
      <c r="AH84" t="s">
        <v>3676</v>
      </c>
      <c r="AI84" t="s">
        <v>3676</v>
      </c>
      <c r="AJ84" t="s">
        <v>3676</v>
      </c>
      <c r="AK84" t="s">
        <v>3676</v>
      </c>
      <c r="AL84" t="s">
        <v>3667</v>
      </c>
      <c r="AM84" t="s">
        <v>3667</v>
      </c>
      <c r="AN84" t="s">
        <v>3667</v>
      </c>
      <c r="AO84" t="s">
        <v>426</v>
      </c>
      <c r="AP84" t="s">
        <v>3676</v>
      </c>
      <c r="AQ84" t="s">
        <v>3676</v>
      </c>
      <c r="AR84" t="s">
        <v>426</v>
      </c>
      <c r="AS84" t="s">
        <v>3676</v>
      </c>
      <c r="AT84" t="s">
        <v>3676</v>
      </c>
      <c r="AU84" t="s">
        <v>3676</v>
      </c>
      <c r="AV84" t="s">
        <v>3676</v>
      </c>
      <c r="AW84" t="s">
        <v>3676</v>
      </c>
      <c r="AX84" t="s">
        <v>4199</v>
      </c>
    </row>
    <row r="85" spans="1:50" x14ac:dyDescent="0.25">
      <c r="A85" t="s">
        <v>4170</v>
      </c>
      <c r="B85" t="s">
        <v>4200</v>
      </c>
      <c r="C85" t="s">
        <v>4172</v>
      </c>
      <c r="D85" t="s">
        <v>3665</v>
      </c>
      <c r="E85" t="s">
        <v>3666</v>
      </c>
      <c r="F85" t="s">
        <v>3667</v>
      </c>
      <c r="G85" t="s">
        <v>3685</v>
      </c>
      <c r="H85" t="s">
        <v>4173</v>
      </c>
      <c r="I85" t="s">
        <v>3670</v>
      </c>
      <c r="J85" t="s">
        <v>4201</v>
      </c>
      <c r="K85" t="s">
        <v>4201</v>
      </c>
      <c r="L85" t="s">
        <v>3667</v>
      </c>
      <c r="M85" t="s">
        <v>3667</v>
      </c>
      <c r="N85" t="s">
        <v>3667</v>
      </c>
      <c r="O85" t="s">
        <v>4202</v>
      </c>
      <c r="P85" t="s">
        <v>4202</v>
      </c>
      <c r="Q85" t="s">
        <v>3851</v>
      </c>
      <c r="R85" t="s">
        <v>3668</v>
      </c>
      <c r="S85" t="s">
        <v>3667</v>
      </c>
      <c r="T85" t="s">
        <v>3667</v>
      </c>
      <c r="U85" t="s">
        <v>3667</v>
      </c>
      <c r="V85" t="s">
        <v>3667</v>
      </c>
      <c r="W85" t="s">
        <v>375</v>
      </c>
      <c r="X85" t="s">
        <v>3676</v>
      </c>
      <c r="Y85" t="s">
        <v>3676</v>
      </c>
      <c r="Z85" t="s">
        <v>3676</v>
      </c>
      <c r="AA85" t="s">
        <v>3676</v>
      </c>
      <c r="AB85" t="s">
        <v>3676</v>
      </c>
      <c r="AC85" t="s">
        <v>3676</v>
      </c>
      <c r="AD85" t="s">
        <v>3676</v>
      </c>
      <c r="AE85" t="s">
        <v>3676</v>
      </c>
      <c r="AF85" t="s">
        <v>3676</v>
      </c>
      <c r="AG85" t="s">
        <v>3676</v>
      </c>
      <c r="AH85" t="s">
        <v>3676</v>
      </c>
      <c r="AI85" t="s">
        <v>3676</v>
      </c>
      <c r="AJ85" t="s">
        <v>3676</v>
      </c>
      <c r="AK85" t="s">
        <v>3676</v>
      </c>
      <c r="AL85" t="s">
        <v>3667</v>
      </c>
      <c r="AM85" t="s">
        <v>3667</v>
      </c>
      <c r="AN85" t="s">
        <v>3667</v>
      </c>
      <c r="AO85" t="s">
        <v>375</v>
      </c>
      <c r="AP85" t="s">
        <v>3676</v>
      </c>
      <c r="AQ85" t="s">
        <v>3676</v>
      </c>
      <c r="AR85" t="s">
        <v>375</v>
      </c>
      <c r="AS85" t="s">
        <v>3676</v>
      </c>
      <c r="AT85" t="s">
        <v>3676</v>
      </c>
      <c r="AU85" t="s">
        <v>3676</v>
      </c>
      <c r="AV85" t="s">
        <v>3676</v>
      </c>
      <c r="AW85" t="s">
        <v>3676</v>
      </c>
      <c r="AX85" t="s">
        <v>4203</v>
      </c>
    </row>
    <row r="86" spans="1:50" x14ac:dyDescent="0.25">
      <c r="A86" t="s">
        <v>4170</v>
      </c>
      <c r="B86" t="s">
        <v>4204</v>
      </c>
      <c r="C86" t="s">
        <v>4172</v>
      </c>
      <c r="D86" t="s">
        <v>3665</v>
      </c>
      <c r="E86" t="s">
        <v>3666</v>
      </c>
      <c r="F86" t="s">
        <v>3667</v>
      </c>
      <c r="G86" t="s">
        <v>3668</v>
      </c>
      <c r="H86" t="s">
        <v>4173</v>
      </c>
      <c r="I86" t="s">
        <v>3670</v>
      </c>
      <c r="J86" t="s">
        <v>4205</v>
      </c>
      <c r="K86" t="s">
        <v>4205</v>
      </c>
      <c r="L86" t="s">
        <v>3667</v>
      </c>
      <c r="M86" t="s">
        <v>3667</v>
      </c>
      <c r="N86" t="s">
        <v>3667</v>
      </c>
      <c r="O86" t="s">
        <v>3758</v>
      </c>
      <c r="P86" t="s">
        <v>4206</v>
      </c>
      <c r="Q86" t="s">
        <v>4207</v>
      </c>
      <c r="R86" t="s">
        <v>3668</v>
      </c>
      <c r="S86" t="s">
        <v>3667</v>
      </c>
      <c r="T86" t="s">
        <v>3667</v>
      </c>
      <c r="U86" t="s">
        <v>3667</v>
      </c>
      <c r="V86" t="s">
        <v>3667</v>
      </c>
      <c r="W86" t="s">
        <v>375</v>
      </c>
      <c r="X86" t="s">
        <v>3676</v>
      </c>
      <c r="Y86" t="s">
        <v>3676</v>
      </c>
      <c r="Z86" t="s">
        <v>3676</v>
      </c>
      <c r="AA86" t="s">
        <v>3676</v>
      </c>
      <c r="AB86" t="s">
        <v>3274</v>
      </c>
      <c r="AC86" t="s">
        <v>3676</v>
      </c>
      <c r="AD86" t="s">
        <v>3676</v>
      </c>
      <c r="AE86" t="s">
        <v>3676</v>
      </c>
      <c r="AF86" t="s">
        <v>3676</v>
      </c>
      <c r="AG86" t="s">
        <v>3676</v>
      </c>
      <c r="AH86" t="s">
        <v>3676</v>
      </c>
      <c r="AI86" t="s">
        <v>3676</v>
      </c>
      <c r="AJ86" t="s">
        <v>3676</v>
      </c>
      <c r="AK86" t="s">
        <v>3676</v>
      </c>
      <c r="AL86" t="s">
        <v>3667</v>
      </c>
      <c r="AM86" t="s">
        <v>3667</v>
      </c>
      <c r="AN86" t="s">
        <v>3667</v>
      </c>
      <c r="AO86" t="s">
        <v>72</v>
      </c>
      <c r="AP86" t="s">
        <v>3676</v>
      </c>
      <c r="AQ86" t="s">
        <v>3676</v>
      </c>
      <c r="AR86" t="s">
        <v>72</v>
      </c>
      <c r="AS86" t="s">
        <v>3676</v>
      </c>
      <c r="AT86" t="s">
        <v>3676</v>
      </c>
      <c r="AU86" t="s">
        <v>3676</v>
      </c>
      <c r="AV86" t="s">
        <v>3676</v>
      </c>
      <c r="AW86" t="s">
        <v>3676</v>
      </c>
      <c r="AX86" t="s">
        <v>4188</v>
      </c>
    </row>
    <row r="87" spans="1:50" x14ac:dyDescent="0.25">
      <c r="A87" t="s">
        <v>4170</v>
      </c>
      <c r="B87" t="s">
        <v>4208</v>
      </c>
      <c r="C87" t="s">
        <v>4172</v>
      </c>
      <c r="D87" t="s">
        <v>3665</v>
      </c>
      <c r="E87" t="s">
        <v>3666</v>
      </c>
      <c r="F87" t="s">
        <v>3667</v>
      </c>
      <c r="G87" t="s">
        <v>3668</v>
      </c>
      <c r="H87" t="s">
        <v>4173</v>
      </c>
      <c r="I87" t="s">
        <v>3670</v>
      </c>
      <c r="J87" t="s">
        <v>4209</v>
      </c>
      <c r="K87" t="s">
        <v>3763</v>
      </c>
      <c r="L87" t="s">
        <v>3667</v>
      </c>
      <c r="M87" t="s">
        <v>3667</v>
      </c>
      <c r="N87" t="s">
        <v>3667</v>
      </c>
      <c r="O87" t="s">
        <v>3764</v>
      </c>
      <c r="P87" t="s">
        <v>4210</v>
      </c>
      <c r="Q87" t="s">
        <v>3766</v>
      </c>
      <c r="R87" t="s">
        <v>3668</v>
      </c>
      <c r="S87" t="s">
        <v>3667</v>
      </c>
      <c r="T87" t="s">
        <v>3667</v>
      </c>
      <c r="U87" t="s">
        <v>3667</v>
      </c>
      <c r="V87" t="s">
        <v>3667</v>
      </c>
      <c r="W87" t="s">
        <v>3124</v>
      </c>
      <c r="X87" t="s">
        <v>3676</v>
      </c>
      <c r="Y87" t="s">
        <v>3676</v>
      </c>
      <c r="Z87" t="s">
        <v>3676</v>
      </c>
      <c r="AA87" t="s">
        <v>3676</v>
      </c>
      <c r="AB87" t="s">
        <v>3274</v>
      </c>
      <c r="AC87" t="s">
        <v>3676</v>
      </c>
      <c r="AD87" t="s">
        <v>3676</v>
      </c>
      <c r="AE87" t="s">
        <v>3676</v>
      </c>
      <c r="AF87" t="s">
        <v>3676</v>
      </c>
      <c r="AG87" t="s">
        <v>3676</v>
      </c>
      <c r="AH87" t="s">
        <v>3676</v>
      </c>
      <c r="AI87" t="s">
        <v>3676</v>
      </c>
      <c r="AJ87" t="s">
        <v>3676</v>
      </c>
      <c r="AK87" t="s">
        <v>3676</v>
      </c>
      <c r="AL87" t="s">
        <v>3667</v>
      </c>
      <c r="AM87" t="s">
        <v>3667</v>
      </c>
      <c r="AN87" t="s">
        <v>3667</v>
      </c>
      <c r="AO87" t="s">
        <v>269</v>
      </c>
      <c r="AP87" t="s">
        <v>3676</v>
      </c>
      <c r="AQ87" t="s">
        <v>3676</v>
      </c>
      <c r="AR87" t="s">
        <v>269</v>
      </c>
      <c r="AS87" t="s">
        <v>3676</v>
      </c>
      <c r="AT87" t="s">
        <v>3676</v>
      </c>
      <c r="AU87" t="s">
        <v>3676</v>
      </c>
      <c r="AV87" t="s">
        <v>3676</v>
      </c>
      <c r="AW87" t="s">
        <v>3676</v>
      </c>
      <c r="AX87" t="s">
        <v>4211</v>
      </c>
    </row>
    <row r="88" spans="1:50" x14ac:dyDescent="0.25">
      <c r="A88" t="s">
        <v>4170</v>
      </c>
      <c r="B88" t="s">
        <v>4212</v>
      </c>
      <c r="C88" t="s">
        <v>4172</v>
      </c>
      <c r="D88" t="s">
        <v>3665</v>
      </c>
      <c r="E88" t="s">
        <v>3666</v>
      </c>
      <c r="F88" t="s">
        <v>3667</v>
      </c>
      <c r="G88" t="s">
        <v>3668</v>
      </c>
      <c r="H88" t="s">
        <v>4173</v>
      </c>
      <c r="I88" t="s">
        <v>3670</v>
      </c>
      <c r="J88" t="s">
        <v>4213</v>
      </c>
      <c r="K88" t="s">
        <v>4213</v>
      </c>
      <c r="L88" t="s">
        <v>3667</v>
      </c>
      <c r="M88" t="s">
        <v>3667</v>
      </c>
      <c r="N88" t="s">
        <v>3667</v>
      </c>
      <c r="O88" t="s">
        <v>3783</v>
      </c>
      <c r="P88" t="s">
        <v>4214</v>
      </c>
      <c r="Q88" t="s">
        <v>4215</v>
      </c>
      <c r="R88" t="s">
        <v>3668</v>
      </c>
      <c r="S88" t="s">
        <v>3667</v>
      </c>
      <c r="T88" t="s">
        <v>3667</v>
      </c>
      <c r="U88" t="s">
        <v>3667</v>
      </c>
      <c r="V88" t="s">
        <v>3667</v>
      </c>
      <c r="W88" t="s">
        <v>1039</v>
      </c>
      <c r="X88" t="s">
        <v>3676</v>
      </c>
      <c r="Y88" t="s">
        <v>3676</v>
      </c>
      <c r="Z88" t="s">
        <v>3676</v>
      </c>
      <c r="AA88" t="s">
        <v>3676</v>
      </c>
      <c r="AB88" t="s">
        <v>3274</v>
      </c>
      <c r="AC88" t="s">
        <v>3676</v>
      </c>
      <c r="AD88" t="s">
        <v>3676</v>
      </c>
      <c r="AE88" t="s">
        <v>3676</v>
      </c>
      <c r="AF88" t="s">
        <v>3676</v>
      </c>
      <c r="AG88" t="s">
        <v>3676</v>
      </c>
      <c r="AH88" t="s">
        <v>3676</v>
      </c>
      <c r="AI88" t="s">
        <v>3676</v>
      </c>
      <c r="AJ88" t="s">
        <v>3676</v>
      </c>
      <c r="AK88" t="s">
        <v>3676</v>
      </c>
      <c r="AL88" t="s">
        <v>3667</v>
      </c>
      <c r="AM88" t="s">
        <v>3667</v>
      </c>
      <c r="AN88" t="s">
        <v>3667</v>
      </c>
      <c r="AO88" t="s">
        <v>914</v>
      </c>
      <c r="AP88" t="s">
        <v>3676</v>
      </c>
      <c r="AQ88" t="s">
        <v>3676</v>
      </c>
      <c r="AR88" t="s">
        <v>914</v>
      </c>
      <c r="AS88" t="s">
        <v>3676</v>
      </c>
      <c r="AT88" t="s">
        <v>3676</v>
      </c>
      <c r="AU88" t="s">
        <v>3676</v>
      </c>
      <c r="AV88" t="s">
        <v>3676</v>
      </c>
      <c r="AW88" t="s">
        <v>3676</v>
      </c>
      <c r="AX88" t="s">
        <v>4216</v>
      </c>
    </row>
    <row r="89" spans="1:50" x14ac:dyDescent="0.25">
      <c r="A89" t="s">
        <v>4217</v>
      </c>
      <c r="B89" t="s">
        <v>4218</v>
      </c>
      <c r="C89" t="s">
        <v>4219</v>
      </c>
      <c r="D89" t="s">
        <v>3665</v>
      </c>
      <c r="E89" t="s">
        <v>3666</v>
      </c>
      <c r="F89" t="s">
        <v>3667</v>
      </c>
      <c r="G89" t="s">
        <v>3668</v>
      </c>
      <c r="H89" t="s">
        <v>3982</v>
      </c>
      <c r="I89" t="s">
        <v>3670</v>
      </c>
      <c r="J89" t="s">
        <v>4220</v>
      </c>
      <c r="K89" t="s">
        <v>4220</v>
      </c>
      <c r="L89" t="s">
        <v>3667</v>
      </c>
      <c r="M89" t="s">
        <v>3667</v>
      </c>
      <c r="N89" t="s">
        <v>3667</v>
      </c>
      <c r="O89" t="s">
        <v>3901</v>
      </c>
      <c r="P89" t="s">
        <v>4221</v>
      </c>
      <c r="Q89" t="s">
        <v>4222</v>
      </c>
      <c r="R89" t="s">
        <v>3668</v>
      </c>
      <c r="S89" t="s">
        <v>3667</v>
      </c>
      <c r="T89" t="s">
        <v>3667</v>
      </c>
      <c r="U89" t="s">
        <v>3667</v>
      </c>
      <c r="V89" t="s">
        <v>3667</v>
      </c>
      <c r="W89" t="s">
        <v>900</v>
      </c>
      <c r="X89" t="s">
        <v>3676</v>
      </c>
      <c r="Y89" t="s">
        <v>3676</v>
      </c>
      <c r="Z89" t="s">
        <v>3676</v>
      </c>
      <c r="AA89" t="s">
        <v>3676</v>
      </c>
      <c r="AB89" t="s">
        <v>3274</v>
      </c>
      <c r="AC89" t="s">
        <v>3676</v>
      </c>
      <c r="AD89" t="s">
        <v>3676</v>
      </c>
      <c r="AE89" t="s">
        <v>3676</v>
      </c>
      <c r="AF89" t="s">
        <v>3676</v>
      </c>
      <c r="AG89" t="s">
        <v>3676</v>
      </c>
      <c r="AH89" t="s">
        <v>3676</v>
      </c>
      <c r="AI89" t="s">
        <v>3676</v>
      </c>
      <c r="AJ89" t="s">
        <v>3676</v>
      </c>
      <c r="AK89" t="s">
        <v>3676</v>
      </c>
      <c r="AL89" t="s">
        <v>3667</v>
      </c>
      <c r="AM89" t="s">
        <v>3667</v>
      </c>
      <c r="AN89" t="s">
        <v>3667</v>
      </c>
      <c r="AO89" t="s">
        <v>674</v>
      </c>
      <c r="AP89" t="s">
        <v>3676</v>
      </c>
      <c r="AQ89" t="s">
        <v>3676</v>
      </c>
      <c r="AR89" t="s">
        <v>674</v>
      </c>
      <c r="AS89" t="s">
        <v>3676</v>
      </c>
      <c r="AT89" t="s">
        <v>3676</v>
      </c>
      <c r="AU89" t="s">
        <v>3676</v>
      </c>
      <c r="AV89" t="s">
        <v>3676</v>
      </c>
      <c r="AW89" t="s">
        <v>3676</v>
      </c>
      <c r="AX89" t="s">
        <v>4223</v>
      </c>
    </row>
    <row r="90" spans="1:50" x14ac:dyDescent="0.25">
      <c r="A90" t="s">
        <v>4217</v>
      </c>
      <c r="B90" t="s">
        <v>4224</v>
      </c>
      <c r="C90" t="s">
        <v>4219</v>
      </c>
      <c r="D90" t="s">
        <v>3665</v>
      </c>
      <c r="E90" t="s">
        <v>3666</v>
      </c>
      <c r="F90" t="s">
        <v>3667</v>
      </c>
      <c r="G90" t="s">
        <v>3668</v>
      </c>
      <c r="H90" t="s">
        <v>3982</v>
      </c>
      <c r="I90" t="s">
        <v>3670</v>
      </c>
      <c r="J90" t="s">
        <v>4225</v>
      </c>
      <c r="K90" t="s">
        <v>4225</v>
      </c>
      <c r="L90" t="s">
        <v>3667</v>
      </c>
      <c r="M90" t="s">
        <v>3667</v>
      </c>
      <c r="N90" t="s">
        <v>3667</v>
      </c>
      <c r="O90" t="s">
        <v>4226</v>
      </c>
      <c r="P90" t="s">
        <v>4227</v>
      </c>
      <c r="Q90" t="s">
        <v>4151</v>
      </c>
      <c r="R90" t="s">
        <v>3668</v>
      </c>
      <c r="S90" t="s">
        <v>3667</v>
      </c>
      <c r="T90" t="s">
        <v>3667</v>
      </c>
      <c r="U90" t="s">
        <v>3667</v>
      </c>
      <c r="V90" t="s">
        <v>3667</v>
      </c>
      <c r="W90" t="s">
        <v>375</v>
      </c>
      <c r="X90" t="s">
        <v>3676</v>
      </c>
      <c r="Y90" t="s">
        <v>3676</v>
      </c>
      <c r="Z90" t="s">
        <v>3676</v>
      </c>
      <c r="AA90" t="s">
        <v>3676</v>
      </c>
      <c r="AB90" t="s">
        <v>3274</v>
      </c>
      <c r="AC90" t="s">
        <v>3676</v>
      </c>
      <c r="AD90" t="s">
        <v>3676</v>
      </c>
      <c r="AE90" t="s">
        <v>3676</v>
      </c>
      <c r="AF90" t="s">
        <v>3676</v>
      </c>
      <c r="AG90" t="s">
        <v>3676</v>
      </c>
      <c r="AH90" t="s">
        <v>3676</v>
      </c>
      <c r="AI90" t="s">
        <v>3676</v>
      </c>
      <c r="AJ90" t="s">
        <v>3676</v>
      </c>
      <c r="AK90" t="s">
        <v>3676</v>
      </c>
      <c r="AL90" t="s">
        <v>3667</v>
      </c>
      <c r="AM90" t="s">
        <v>3667</v>
      </c>
      <c r="AN90" t="s">
        <v>3667</v>
      </c>
      <c r="AO90" t="s">
        <v>72</v>
      </c>
      <c r="AP90" t="s">
        <v>3676</v>
      </c>
      <c r="AQ90" t="s">
        <v>3676</v>
      </c>
      <c r="AR90" t="s">
        <v>72</v>
      </c>
      <c r="AS90" t="s">
        <v>3676</v>
      </c>
      <c r="AT90" t="s">
        <v>3676</v>
      </c>
      <c r="AU90" t="s">
        <v>3676</v>
      </c>
      <c r="AV90" t="s">
        <v>3676</v>
      </c>
      <c r="AW90" t="s">
        <v>3676</v>
      </c>
      <c r="AX90" t="s">
        <v>4203</v>
      </c>
    </row>
    <row r="91" spans="1:50" x14ac:dyDescent="0.25">
      <c r="A91" t="s">
        <v>4217</v>
      </c>
      <c r="B91" t="s">
        <v>4228</v>
      </c>
      <c r="C91" t="s">
        <v>4219</v>
      </c>
      <c r="D91" t="s">
        <v>3665</v>
      </c>
      <c r="E91" t="s">
        <v>3666</v>
      </c>
      <c r="F91" t="s">
        <v>3667</v>
      </c>
      <c r="G91" t="s">
        <v>3685</v>
      </c>
      <c r="H91" t="s">
        <v>3982</v>
      </c>
      <c r="I91" t="s">
        <v>3670</v>
      </c>
      <c r="J91" t="s">
        <v>4229</v>
      </c>
      <c r="K91" t="s">
        <v>4229</v>
      </c>
      <c r="L91" t="s">
        <v>3667</v>
      </c>
      <c r="M91" t="s">
        <v>3667</v>
      </c>
      <c r="N91" t="s">
        <v>3667</v>
      </c>
      <c r="O91" t="s">
        <v>4230</v>
      </c>
      <c r="P91" t="s">
        <v>4231</v>
      </c>
      <c r="Q91" t="s">
        <v>3925</v>
      </c>
      <c r="R91" t="s">
        <v>3668</v>
      </c>
      <c r="S91" t="s">
        <v>3667</v>
      </c>
      <c r="T91" t="s">
        <v>3667</v>
      </c>
      <c r="U91" t="s">
        <v>3667</v>
      </c>
      <c r="V91" t="s">
        <v>3667</v>
      </c>
      <c r="W91" t="s">
        <v>1192</v>
      </c>
      <c r="X91" t="s">
        <v>3676</v>
      </c>
      <c r="Y91" t="s">
        <v>3676</v>
      </c>
      <c r="Z91" t="s">
        <v>3676</v>
      </c>
      <c r="AA91" t="s">
        <v>3676</v>
      </c>
      <c r="AB91" t="s">
        <v>3676</v>
      </c>
      <c r="AC91" t="s">
        <v>3676</v>
      </c>
      <c r="AD91" t="s">
        <v>3676</v>
      </c>
      <c r="AE91" t="s">
        <v>3676</v>
      </c>
      <c r="AF91" t="s">
        <v>3676</v>
      </c>
      <c r="AG91" t="s">
        <v>3676</v>
      </c>
      <c r="AH91" t="s">
        <v>3676</v>
      </c>
      <c r="AI91" t="s">
        <v>3676</v>
      </c>
      <c r="AJ91" t="s">
        <v>3676</v>
      </c>
      <c r="AK91" t="s">
        <v>3676</v>
      </c>
      <c r="AL91" t="s">
        <v>3667</v>
      </c>
      <c r="AM91" t="s">
        <v>3667</v>
      </c>
      <c r="AN91" t="s">
        <v>3667</v>
      </c>
      <c r="AO91" t="s">
        <v>1192</v>
      </c>
      <c r="AP91" t="s">
        <v>3676</v>
      </c>
      <c r="AQ91" t="s">
        <v>3676</v>
      </c>
      <c r="AR91" t="s">
        <v>1192</v>
      </c>
      <c r="AS91" t="s">
        <v>3676</v>
      </c>
      <c r="AT91" t="s">
        <v>3676</v>
      </c>
      <c r="AU91" t="s">
        <v>3676</v>
      </c>
      <c r="AV91" t="s">
        <v>3676</v>
      </c>
      <c r="AW91" t="s">
        <v>3676</v>
      </c>
      <c r="AX91" t="s">
        <v>4232</v>
      </c>
    </row>
    <row r="92" spans="1:50" x14ac:dyDescent="0.25">
      <c r="A92" t="s">
        <v>4217</v>
      </c>
      <c r="B92" t="s">
        <v>4233</v>
      </c>
      <c r="C92" t="s">
        <v>4219</v>
      </c>
      <c r="D92" t="s">
        <v>3665</v>
      </c>
      <c r="E92" t="s">
        <v>3666</v>
      </c>
      <c r="F92" t="s">
        <v>3667</v>
      </c>
      <c r="G92" t="s">
        <v>3668</v>
      </c>
      <c r="H92" t="s">
        <v>3982</v>
      </c>
      <c r="I92" t="s">
        <v>3670</v>
      </c>
      <c r="J92" t="s">
        <v>4234</v>
      </c>
      <c r="K92" t="s">
        <v>4234</v>
      </c>
      <c r="L92" t="s">
        <v>3667</v>
      </c>
      <c r="M92" t="s">
        <v>3667</v>
      </c>
      <c r="N92" t="s">
        <v>3667</v>
      </c>
      <c r="O92" t="s">
        <v>4235</v>
      </c>
      <c r="P92" t="s">
        <v>3807</v>
      </c>
      <c r="Q92" t="s">
        <v>4236</v>
      </c>
      <c r="R92" t="s">
        <v>3668</v>
      </c>
      <c r="S92" t="s">
        <v>3667</v>
      </c>
      <c r="T92" t="s">
        <v>3667</v>
      </c>
      <c r="U92" t="s">
        <v>3667</v>
      </c>
      <c r="V92" t="s">
        <v>3667</v>
      </c>
      <c r="W92" t="s">
        <v>4237</v>
      </c>
      <c r="X92" t="s">
        <v>3676</v>
      </c>
      <c r="Y92" t="s">
        <v>3676</v>
      </c>
      <c r="Z92" t="s">
        <v>3676</v>
      </c>
      <c r="AA92" t="s">
        <v>3676</v>
      </c>
      <c r="AB92" t="s">
        <v>3274</v>
      </c>
      <c r="AC92" t="s">
        <v>3676</v>
      </c>
      <c r="AD92" t="s">
        <v>3676</v>
      </c>
      <c r="AE92" t="s">
        <v>3676</v>
      </c>
      <c r="AF92" t="s">
        <v>3676</v>
      </c>
      <c r="AG92" t="s">
        <v>3676</v>
      </c>
      <c r="AH92" t="s">
        <v>3676</v>
      </c>
      <c r="AI92" t="s">
        <v>3676</v>
      </c>
      <c r="AJ92" t="s">
        <v>3676</v>
      </c>
      <c r="AK92" t="s">
        <v>3676</v>
      </c>
      <c r="AL92" t="s">
        <v>3667</v>
      </c>
      <c r="AM92" t="s">
        <v>3667</v>
      </c>
      <c r="AN92" t="s">
        <v>3667</v>
      </c>
      <c r="AO92" t="s">
        <v>3690</v>
      </c>
      <c r="AP92" t="s">
        <v>3676</v>
      </c>
      <c r="AQ92" t="s">
        <v>3676</v>
      </c>
      <c r="AR92" t="s">
        <v>3690</v>
      </c>
      <c r="AS92" t="s">
        <v>3676</v>
      </c>
      <c r="AT92" t="s">
        <v>3676</v>
      </c>
      <c r="AU92" t="s">
        <v>3676</v>
      </c>
      <c r="AV92" t="s">
        <v>3676</v>
      </c>
      <c r="AW92" t="s">
        <v>3676</v>
      </c>
      <c r="AX92" t="s">
        <v>4238</v>
      </c>
    </row>
    <row r="93" spans="1:50" x14ac:dyDescent="0.25">
      <c r="A93" t="s">
        <v>4217</v>
      </c>
      <c r="B93" t="s">
        <v>4239</v>
      </c>
      <c r="C93" t="s">
        <v>4219</v>
      </c>
      <c r="D93" t="s">
        <v>3665</v>
      </c>
      <c r="E93" t="s">
        <v>3666</v>
      </c>
      <c r="F93" t="s">
        <v>3667</v>
      </c>
      <c r="G93" t="s">
        <v>3685</v>
      </c>
      <c r="H93" t="s">
        <v>3982</v>
      </c>
      <c r="I93" t="s">
        <v>3670</v>
      </c>
      <c r="J93" t="s">
        <v>4240</v>
      </c>
      <c r="K93" t="s">
        <v>4240</v>
      </c>
      <c r="L93" t="s">
        <v>3667</v>
      </c>
      <c r="M93" t="s">
        <v>3667</v>
      </c>
      <c r="N93" t="s">
        <v>3667</v>
      </c>
      <c r="O93" t="s">
        <v>4241</v>
      </c>
      <c r="P93" t="s">
        <v>4242</v>
      </c>
      <c r="Q93" t="s">
        <v>4243</v>
      </c>
      <c r="R93" t="s">
        <v>3668</v>
      </c>
      <c r="S93" t="s">
        <v>3667</v>
      </c>
      <c r="T93" t="s">
        <v>3667</v>
      </c>
      <c r="U93" t="s">
        <v>3667</v>
      </c>
      <c r="V93" t="s">
        <v>3667</v>
      </c>
      <c r="W93" t="s">
        <v>2971</v>
      </c>
      <c r="X93" t="s">
        <v>3676</v>
      </c>
      <c r="Y93" t="s">
        <v>3676</v>
      </c>
      <c r="Z93" t="s">
        <v>3676</v>
      </c>
      <c r="AA93" t="s">
        <v>3676</v>
      </c>
      <c r="AB93" t="s">
        <v>3676</v>
      </c>
      <c r="AC93" t="s">
        <v>3676</v>
      </c>
      <c r="AD93" t="s">
        <v>3676</v>
      </c>
      <c r="AE93" t="s">
        <v>3676</v>
      </c>
      <c r="AF93" t="s">
        <v>3676</v>
      </c>
      <c r="AG93" t="s">
        <v>3676</v>
      </c>
      <c r="AH93" t="s">
        <v>3676</v>
      </c>
      <c r="AI93" t="s">
        <v>3676</v>
      </c>
      <c r="AJ93" t="s">
        <v>3676</v>
      </c>
      <c r="AK93" t="s">
        <v>3676</v>
      </c>
      <c r="AL93" t="s">
        <v>3667</v>
      </c>
      <c r="AM93" t="s">
        <v>3667</v>
      </c>
      <c r="AN93" t="s">
        <v>3667</v>
      </c>
      <c r="AO93" t="s">
        <v>2971</v>
      </c>
      <c r="AP93" t="s">
        <v>3676</v>
      </c>
      <c r="AQ93" t="s">
        <v>3676</v>
      </c>
      <c r="AR93" t="s">
        <v>2971</v>
      </c>
      <c r="AS93" t="s">
        <v>3676</v>
      </c>
      <c r="AT93" t="s">
        <v>3676</v>
      </c>
      <c r="AU93" t="s">
        <v>3676</v>
      </c>
      <c r="AV93" t="s">
        <v>3676</v>
      </c>
      <c r="AW93" t="s">
        <v>3676</v>
      </c>
      <c r="AX93" t="s">
        <v>4244</v>
      </c>
    </row>
    <row r="94" spans="1:50" x14ac:dyDescent="0.25">
      <c r="A94" t="s">
        <v>4217</v>
      </c>
      <c r="B94" t="s">
        <v>4245</v>
      </c>
      <c r="C94" t="s">
        <v>4219</v>
      </c>
      <c r="D94" t="s">
        <v>3665</v>
      </c>
      <c r="E94" t="s">
        <v>3666</v>
      </c>
      <c r="F94" t="s">
        <v>3667</v>
      </c>
      <c r="G94" t="s">
        <v>3668</v>
      </c>
      <c r="H94" t="s">
        <v>3982</v>
      </c>
      <c r="I94" t="s">
        <v>3670</v>
      </c>
      <c r="J94" t="s">
        <v>4246</v>
      </c>
      <c r="K94" t="s">
        <v>4247</v>
      </c>
      <c r="L94" t="s">
        <v>3667</v>
      </c>
      <c r="M94" t="s">
        <v>3667</v>
      </c>
      <c r="N94" t="s">
        <v>3667</v>
      </c>
      <c r="O94" t="s">
        <v>4248</v>
      </c>
      <c r="P94" t="s">
        <v>4249</v>
      </c>
      <c r="Q94" t="s">
        <v>4250</v>
      </c>
      <c r="R94" t="s">
        <v>3668</v>
      </c>
      <c r="S94" t="s">
        <v>3667</v>
      </c>
      <c r="T94" t="s">
        <v>3667</v>
      </c>
      <c r="U94" t="s">
        <v>3667</v>
      </c>
      <c r="V94" t="s">
        <v>3667</v>
      </c>
      <c r="W94" t="s">
        <v>15</v>
      </c>
      <c r="X94" t="s">
        <v>3676</v>
      </c>
      <c r="Y94" t="s">
        <v>3676</v>
      </c>
      <c r="Z94" t="s">
        <v>3676</v>
      </c>
      <c r="AA94" t="s">
        <v>3676</v>
      </c>
      <c r="AB94" t="s">
        <v>3274</v>
      </c>
      <c r="AC94" t="s">
        <v>3676</v>
      </c>
      <c r="AD94" t="s">
        <v>3676</v>
      </c>
      <c r="AE94" t="s">
        <v>3676</v>
      </c>
      <c r="AF94" t="s">
        <v>3676</v>
      </c>
      <c r="AG94" t="s">
        <v>3676</v>
      </c>
      <c r="AH94" t="s">
        <v>3676</v>
      </c>
      <c r="AI94" t="s">
        <v>3676</v>
      </c>
      <c r="AJ94" t="s">
        <v>3676</v>
      </c>
      <c r="AK94" t="s">
        <v>3676</v>
      </c>
      <c r="AL94" t="s">
        <v>3667</v>
      </c>
      <c r="AM94" t="s">
        <v>3667</v>
      </c>
      <c r="AN94" t="s">
        <v>3667</v>
      </c>
      <c r="AO94" t="s">
        <v>2097</v>
      </c>
      <c r="AP94" t="s">
        <v>3676</v>
      </c>
      <c r="AQ94" t="s">
        <v>3676</v>
      </c>
      <c r="AR94" t="s">
        <v>2097</v>
      </c>
      <c r="AS94" t="s">
        <v>3676</v>
      </c>
      <c r="AT94" t="s">
        <v>3676</v>
      </c>
      <c r="AU94" t="s">
        <v>3676</v>
      </c>
      <c r="AV94" t="s">
        <v>3676</v>
      </c>
      <c r="AW94" t="s">
        <v>3676</v>
      </c>
      <c r="AX94" t="s">
        <v>4251</v>
      </c>
    </row>
    <row r="95" spans="1:50" x14ac:dyDescent="0.25">
      <c r="A95" t="s">
        <v>4217</v>
      </c>
      <c r="B95" t="s">
        <v>4252</v>
      </c>
      <c r="C95" t="s">
        <v>4219</v>
      </c>
      <c r="D95" t="s">
        <v>3665</v>
      </c>
      <c r="E95" t="s">
        <v>3666</v>
      </c>
      <c r="F95" t="s">
        <v>3667</v>
      </c>
      <c r="G95" t="s">
        <v>3668</v>
      </c>
      <c r="H95" t="s">
        <v>3982</v>
      </c>
      <c r="I95" t="s">
        <v>3670</v>
      </c>
      <c r="J95" t="s">
        <v>4253</v>
      </c>
      <c r="K95" t="s">
        <v>4253</v>
      </c>
      <c r="L95" t="s">
        <v>3667</v>
      </c>
      <c r="M95" t="s">
        <v>3667</v>
      </c>
      <c r="N95" t="s">
        <v>3667</v>
      </c>
      <c r="O95" t="s">
        <v>4254</v>
      </c>
      <c r="P95" t="s">
        <v>4255</v>
      </c>
      <c r="Q95" t="s">
        <v>3720</v>
      </c>
      <c r="R95" t="s">
        <v>3668</v>
      </c>
      <c r="S95" t="s">
        <v>3667</v>
      </c>
      <c r="T95" t="s">
        <v>3667</v>
      </c>
      <c r="U95" t="s">
        <v>3667</v>
      </c>
      <c r="V95" t="s">
        <v>3667</v>
      </c>
      <c r="W95" t="s">
        <v>3228</v>
      </c>
      <c r="X95" t="s">
        <v>3676</v>
      </c>
      <c r="Y95" t="s">
        <v>3676</v>
      </c>
      <c r="Z95" t="s">
        <v>3676</v>
      </c>
      <c r="AA95" t="s">
        <v>3676</v>
      </c>
      <c r="AB95" t="s">
        <v>3274</v>
      </c>
      <c r="AC95" t="s">
        <v>3676</v>
      </c>
      <c r="AD95" t="s">
        <v>3676</v>
      </c>
      <c r="AE95" t="s">
        <v>3676</v>
      </c>
      <c r="AF95" t="s">
        <v>3676</v>
      </c>
      <c r="AG95" t="s">
        <v>3676</v>
      </c>
      <c r="AH95" t="s">
        <v>3676</v>
      </c>
      <c r="AI95" t="s">
        <v>3676</v>
      </c>
      <c r="AJ95" t="s">
        <v>3676</v>
      </c>
      <c r="AK95" t="s">
        <v>3676</v>
      </c>
      <c r="AL95" t="s">
        <v>3667</v>
      </c>
      <c r="AM95" t="s">
        <v>3667</v>
      </c>
      <c r="AN95" t="s">
        <v>3667</v>
      </c>
      <c r="AO95" t="s">
        <v>4256</v>
      </c>
      <c r="AP95" t="s">
        <v>3676</v>
      </c>
      <c r="AQ95" t="s">
        <v>3676</v>
      </c>
      <c r="AR95" t="s">
        <v>4256</v>
      </c>
      <c r="AS95" t="s">
        <v>3676</v>
      </c>
      <c r="AT95" t="s">
        <v>3676</v>
      </c>
      <c r="AU95" t="s">
        <v>3676</v>
      </c>
      <c r="AV95" t="s">
        <v>3676</v>
      </c>
      <c r="AW95" t="s">
        <v>3676</v>
      </c>
      <c r="AX95" t="s">
        <v>4257</v>
      </c>
    </row>
    <row r="96" spans="1:50" x14ac:dyDescent="0.25">
      <c r="A96" t="s">
        <v>4217</v>
      </c>
      <c r="B96" t="s">
        <v>4258</v>
      </c>
      <c r="C96" t="s">
        <v>4219</v>
      </c>
      <c r="D96" t="s">
        <v>3665</v>
      </c>
      <c r="E96" t="s">
        <v>3666</v>
      </c>
      <c r="F96" t="s">
        <v>3667</v>
      </c>
      <c r="G96" t="s">
        <v>3668</v>
      </c>
      <c r="H96" t="s">
        <v>3982</v>
      </c>
      <c r="I96" t="s">
        <v>3670</v>
      </c>
      <c r="J96" t="s">
        <v>4259</v>
      </c>
      <c r="K96" t="s">
        <v>4259</v>
      </c>
      <c r="L96" t="s">
        <v>3667</v>
      </c>
      <c r="M96" t="s">
        <v>3667</v>
      </c>
      <c r="N96" t="s">
        <v>3667</v>
      </c>
      <c r="O96" t="s">
        <v>4254</v>
      </c>
      <c r="P96" t="s">
        <v>4260</v>
      </c>
      <c r="Q96" t="s">
        <v>3720</v>
      </c>
      <c r="R96" t="s">
        <v>3668</v>
      </c>
      <c r="S96" t="s">
        <v>3667</v>
      </c>
      <c r="T96" t="s">
        <v>3667</v>
      </c>
      <c r="U96" t="s">
        <v>3667</v>
      </c>
      <c r="V96" t="s">
        <v>3667</v>
      </c>
      <c r="W96" t="s">
        <v>322</v>
      </c>
      <c r="X96" t="s">
        <v>3676</v>
      </c>
      <c r="Y96" t="s">
        <v>3676</v>
      </c>
      <c r="Z96" t="s">
        <v>3676</v>
      </c>
      <c r="AA96" t="s">
        <v>3676</v>
      </c>
      <c r="AB96" t="s">
        <v>3274</v>
      </c>
      <c r="AC96" t="s">
        <v>3676</v>
      </c>
      <c r="AD96" t="s">
        <v>3676</v>
      </c>
      <c r="AE96" t="s">
        <v>3676</v>
      </c>
      <c r="AF96" t="s">
        <v>3676</v>
      </c>
      <c r="AG96" t="s">
        <v>3676</v>
      </c>
      <c r="AH96" t="s">
        <v>3676</v>
      </c>
      <c r="AI96" t="s">
        <v>3676</v>
      </c>
      <c r="AJ96" t="s">
        <v>3676</v>
      </c>
      <c r="AK96" t="s">
        <v>3676</v>
      </c>
      <c r="AL96" t="s">
        <v>3667</v>
      </c>
      <c r="AM96" t="s">
        <v>3667</v>
      </c>
      <c r="AN96" t="s">
        <v>3667</v>
      </c>
      <c r="AO96" t="s">
        <v>112</v>
      </c>
      <c r="AP96" t="s">
        <v>3676</v>
      </c>
      <c r="AQ96" t="s">
        <v>3676</v>
      </c>
      <c r="AR96" t="s">
        <v>112</v>
      </c>
      <c r="AS96" t="s">
        <v>3676</v>
      </c>
      <c r="AT96" t="s">
        <v>3676</v>
      </c>
      <c r="AU96" t="s">
        <v>3676</v>
      </c>
      <c r="AV96" t="s">
        <v>3676</v>
      </c>
      <c r="AW96" t="s">
        <v>3676</v>
      </c>
      <c r="AX96" t="s">
        <v>4261</v>
      </c>
    </row>
    <row r="97" spans="1:50" x14ac:dyDescent="0.25">
      <c r="A97" t="s">
        <v>4217</v>
      </c>
      <c r="B97" t="s">
        <v>4262</v>
      </c>
      <c r="C97" t="s">
        <v>4219</v>
      </c>
      <c r="D97" t="s">
        <v>3665</v>
      </c>
      <c r="E97" t="s">
        <v>3666</v>
      </c>
      <c r="F97" t="s">
        <v>3667</v>
      </c>
      <c r="G97" t="s">
        <v>3685</v>
      </c>
      <c r="H97" t="s">
        <v>3982</v>
      </c>
      <c r="I97" t="s">
        <v>3670</v>
      </c>
      <c r="J97" t="s">
        <v>4263</v>
      </c>
      <c r="K97" t="s">
        <v>4263</v>
      </c>
      <c r="L97" t="s">
        <v>3667</v>
      </c>
      <c r="M97" t="s">
        <v>3667</v>
      </c>
      <c r="N97" t="s">
        <v>3667</v>
      </c>
      <c r="O97" t="s">
        <v>4264</v>
      </c>
      <c r="P97" t="s">
        <v>4265</v>
      </c>
      <c r="Q97" t="s">
        <v>4266</v>
      </c>
      <c r="R97" t="s">
        <v>3668</v>
      </c>
      <c r="S97" t="s">
        <v>3667</v>
      </c>
      <c r="T97" t="s">
        <v>3667</v>
      </c>
      <c r="U97" t="s">
        <v>3667</v>
      </c>
      <c r="V97" t="s">
        <v>3667</v>
      </c>
      <c r="W97" t="s">
        <v>375</v>
      </c>
      <c r="X97" t="s">
        <v>3676</v>
      </c>
      <c r="Y97" t="s">
        <v>3676</v>
      </c>
      <c r="Z97" t="s">
        <v>3676</v>
      </c>
      <c r="AA97" t="s">
        <v>3676</v>
      </c>
      <c r="AB97" t="s">
        <v>3676</v>
      </c>
      <c r="AC97" t="s">
        <v>3676</v>
      </c>
      <c r="AD97" t="s">
        <v>3676</v>
      </c>
      <c r="AE97" t="s">
        <v>3676</v>
      </c>
      <c r="AF97" t="s">
        <v>3676</v>
      </c>
      <c r="AG97" t="s">
        <v>3676</v>
      </c>
      <c r="AH97" t="s">
        <v>3676</v>
      </c>
      <c r="AI97" t="s">
        <v>3676</v>
      </c>
      <c r="AJ97" t="s">
        <v>3676</v>
      </c>
      <c r="AK97" t="s">
        <v>3676</v>
      </c>
      <c r="AL97" t="s">
        <v>3667</v>
      </c>
      <c r="AM97" t="s">
        <v>3667</v>
      </c>
      <c r="AN97" t="s">
        <v>3667</v>
      </c>
      <c r="AO97" t="s">
        <v>375</v>
      </c>
      <c r="AP97" t="s">
        <v>3676</v>
      </c>
      <c r="AQ97" t="s">
        <v>3676</v>
      </c>
      <c r="AR97" t="s">
        <v>375</v>
      </c>
      <c r="AS97" t="s">
        <v>3676</v>
      </c>
      <c r="AT97" t="s">
        <v>3676</v>
      </c>
      <c r="AU97" t="s">
        <v>3676</v>
      </c>
      <c r="AV97" t="s">
        <v>3676</v>
      </c>
      <c r="AW97" t="s">
        <v>3676</v>
      </c>
      <c r="AX97" t="s">
        <v>4194</v>
      </c>
    </row>
    <row r="98" spans="1:50" x14ac:dyDescent="0.25">
      <c r="A98" t="s">
        <v>4217</v>
      </c>
      <c r="B98" t="s">
        <v>4267</v>
      </c>
      <c r="C98" t="s">
        <v>4219</v>
      </c>
      <c r="D98" t="s">
        <v>3665</v>
      </c>
      <c r="E98" t="s">
        <v>3666</v>
      </c>
      <c r="F98" t="s">
        <v>3667</v>
      </c>
      <c r="G98" t="s">
        <v>3668</v>
      </c>
      <c r="H98" t="s">
        <v>3982</v>
      </c>
      <c r="I98" t="s">
        <v>3670</v>
      </c>
      <c r="J98" t="s">
        <v>4268</v>
      </c>
      <c r="K98" t="s">
        <v>4268</v>
      </c>
      <c r="L98" t="s">
        <v>3667</v>
      </c>
      <c r="M98" t="s">
        <v>3667</v>
      </c>
      <c r="N98" t="s">
        <v>3667</v>
      </c>
      <c r="O98" t="s">
        <v>4269</v>
      </c>
      <c r="P98" t="s">
        <v>4270</v>
      </c>
      <c r="Q98" t="s">
        <v>4271</v>
      </c>
      <c r="R98" t="s">
        <v>3668</v>
      </c>
      <c r="S98" t="s">
        <v>3667</v>
      </c>
      <c r="T98" t="s">
        <v>3667</v>
      </c>
      <c r="U98" t="s">
        <v>3667</v>
      </c>
      <c r="V98" t="s">
        <v>3667</v>
      </c>
      <c r="W98" t="s">
        <v>131</v>
      </c>
      <c r="X98" t="s">
        <v>3676</v>
      </c>
      <c r="Y98" t="s">
        <v>3676</v>
      </c>
      <c r="Z98" t="s">
        <v>3676</v>
      </c>
      <c r="AA98" t="s">
        <v>3676</v>
      </c>
      <c r="AB98" t="s">
        <v>3274</v>
      </c>
      <c r="AC98" t="s">
        <v>3676</v>
      </c>
      <c r="AD98" t="s">
        <v>3676</v>
      </c>
      <c r="AE98" t="s">
        <v>3676</v>
      </c>
      <c r="AF98" t="s">
        <v>3676</v>
      </c>
      <c r="AG98" t="s">
        <v>3676</v>
      </c>
      <c r="AH98" t="s">
        <v>3676</v>
      </c>
      <c r="AI98" t="s">
        <v>3676</v>
      </c>
      <c r="AJ98" t="s">
        <v>3676</v>
      </c>
      <c r="AK98" t="s">
        <v>3676</v>
      </c>
      <c r="AL98" t="s">
        <v>3667</v>
      </c>
      <c r="AM98" t="s">
        <v>3667</v>
      </c>
      <c r="AN98" t="s">
        <v>3667</v>
      </c>
      <c r="AO98" t="s">
        <v>471</v>
      </c>
      <c r="AP98" t="s">
        <v>3676</v>
      </c>
      <c r="AQ98" t="s">
        <v>3676</v>
      </c>
      <c r="AR98" t="s">
        <v>471</v>
      </c>
      <c r="AS98" t="s">
        <v>3676</v>
      </c>
      <c r="AT98" t="s">
        <v>3676</v>
      </c>
      <c r="AU98" t="s">
        <v>3676</v>
      </c>
      <c r="AV98" t="s">
        <v>3676</v>
      </c>
      <c r="AW98" t="s">
        <v>3676</v>
      </c>
      <c r="AX98" t="s">
        <v>4272</v>
      </c>
    </row>
    <row r="99" spans="1:50" x14ac:dyDescent="0.25">
      <c r="A99" t="s">
        <v>4217</v>
      </c>
      <c r="B99" t="s">
        <v>4273</v>
      </c>
      <c r="C99" t="s">
        <v>4219</v>
      </c>
      <c r="D99" t="s">
        <v>3665</v>
      </c>
      <c r="E99" t="s">
        <v>3666</v>
      </c>
      <c r="F99" t="s">
        <v>3667</v>
      </c>
      <c r="G99" t="s">
        <v>3668</v>
      </c>
      <c r="H99" t="s">
        <v>3982</v>
      </c>
      <c r="I99" t="s">
        <v>3670</v>
      </c>
      <c r="J99" t="s">
        <v>4274</v>
      </c>
      <c r="K99" t="s">
        <v>4274</v>
      </c>
      <c r="L99" t="s">
        <v>3667</v>
      </c>
      <c r="M99" t="s">
        <v>3667</v>
      </c>
      <c r="N99" t="s">
        <v>3667</v>
      </c>
      <c r="O99" t="s">
        <v>4269</v>
      </c>
      <c r="P99" t="s">
        <v>4275</v>
      </c>
      <c r="Q99" t="s">
        <v>4116</v>
      </c>
      <c r="R99" t="s">
        <v>3668</v>
      </c>
      <c r="S99" t="s">
        <v>3667</v>
      </c>
      <c r="T99" t="s">
        <v>3667</v>
      </c>
      <c r="U99" t="s">
        <v>3667</v>
      </c>
      <c r="V99" t="s">
        <v>3667</v>
      </c>
      <c r="W99" t="s">
        <v>375</v>
      </c>
      <c r="X99" t="s">
        <v>3676</v>
      </c>
      <c r="Y99" t="s">
        <v>3676</v>
      </c>
      <c r="Z99" t="s">
        <v>3676</v>
      </c>
      <c r="AA99" t="s">
        <v>3676</v>
      </c>
      <c r="AB99" t="s">
        <v>3274</v>
      </c>
      <c r="AC99" t="s">
        <v>3676</v>
      </c>
      <c r="AD99" t="s">
        <v>3676</v>
      </c>
      <c r="AE99" t="s">
        <v>3676</v>
      </c>
      <c r="AF99" t="s">
        <v>3676</v>
      </c>
      <c r="AG99" t="s">
        <v>3676</v>
      </c>
      <c r="AH99" t="s">
        <v>3676</v>
      </c>
      <c r="AI99" t="s">
        <v>3676</v>
      </c>
      <c r="AJ99" t="s">
        <v>3676</v>
      </c>
      <c r="AK99" t="s">
        <v>3676</v>
      </c>
      <c r="AL99" t="s">
        <v>3667</v>
      </c>
      <c r="AM99" t="s">
        <v>3667</v>
      </c>
      <c r="AN99" t="s">
        <v>3667</v>
      </c>
      <c r="AO99" t="s">
        <v>72</v>
      </c>
      <c r="AP99" t="s">
        <v>3676</v>
      </c>
      <c r="AQ99" t="s">
        <v>3676</v>
      </c>
      <c r="AR99" t="s">
        <v>72</v>
      </c>
      <c r="AS99" t="s">
        <v>3676</v>
      </c>
      <c r="AT99" t="s">
        <v>3676</v>
      </c>
      <c r="AU99" t="s">
        <v>3676</v>
      </c>
      <c r="AV99" t="s">
        <v>3676</v>
      </c>
      <c r="AW99" t="s">
        <v>3676</v>
      </c>
      <c r="AX99" t="s">
        <v>4203</v>
      </c>
    </row>
    <row r="100" spans="1:50" x14ac:dyDescent="0.25">
      <c r="A100" t="s">
        <v>4217</v>
      </c>
      <c r="B100" t="s">
        <v>4276</v>
      </c>
      <c r="C100" t="s">
        <v>4219</v>
      </c>
      <c r="D100" t="s">
        <v>3665</v>
      </c>
      <c r="E100" t="s">
        <v>3666</v>
      </c>
      <c r="F100" t="s">
        <v>3667</v>
      </c>
      <c r="G100" t="s">
        <v>3685</v>
      </c>
      <c r="H100" t="s">
        <v>3982</v>
      </c>
      <c r="I100" t="s">
        <v>3670</v>
      </c>
      <c r="J100" t="s">
        <v>4277</v>
      </c>
      <c r="K100" t="s">
        <v>4277</v>
      </c>
      <c r="L100" t="s">
        <v>3667</v>
      </c>
      <c r="M100" t="s">
        <v>3667</v>
      </c>
      <c r="N100" t="s">
        <v>3667</v>
      </c>
      <c r="O100" t="s">
        <v>4278</v>
      </c>
      <c r="P100" t="s">
        <v>4279</v>
      </c>
      <c r="Q100" t="s">
        <v>4280</v>
      </c>
      <c r="R100" t="s">
        <v>3668</v>
      </c>
      <c r="S100" t="s">
        <v>3667</v>
      </c>
      <c r="T100" t="s">
        <v>3667</v>
      </c>
      <c r="U100" t="s">
        <v>3667</v>
      </c>
      <c r="V100" t="s">
        <v>3667</v>
      </c>
      <c r="W100" t="s">
        <v>1956</v>
      </c>
      <c r="X100" t="s">
        <v>3676</v>
      </c>
      <c r="Y100" t="s">
        <v>3676</v>
      </c>
      <c r="Z100" t="s">
        <v>3676</v>
      </c>
      <c r="AA100" t="s">
        <v>3676</v>
      </c>
      <c r="AB100" t="s">
        <v>3676</v>
      </c>
      <c r="AC100" t="s">
        <v>3676</v>
      </c>
      <c r="AD100" t="s">
        <v>3676</v>
      </c>
      <c r="AE100" t="s">
        <v>3676</v>
      </c>
      <c r="AF100" t="s">
        <v>3676</v>
      </c>
      <c r="AG100" t="s">
        <v>3676</v>
      </c>
      <c r="AH100" t="s">
        <v>3676</v>
      </c>
      <c r="AI100" t="s">
        <v>3676</v>
      </c>
      <c r="AJ100" t="s">
        <v>3676</v>
      </c>
      <c r="AK100" t="s">
        <v>3676</v>
      </c>
      <c r="AL100" t="s">
        <v>3667</v>
      </c>
      <c r="AM100" t="s">
        <v>3667</v>
      </c>
      <c r="AN100" t="s">
        <v>3667</v>
      </c>
      <c r="AO100" t="s">
        <v>1956</v>
      </c>
      <c r="AP100" t="s">
        <v>3676</v>
      </c>
      <c r="AQ100" t="s">
        <v>3676</v>
      </c>
      <c r="AR100" t="s">
        <v>1956</v>
      </c>
      <c r="AS100" t="s">
        <v>3676</v>
      </c>
      <c r="AT100" t="s">
        <v>3676</v>
      </c>
      <c r="AU100" t="s">
        <v>3676</v>
      </c>
      <c r="AV100" t="s">
        <v>3676</v>
      </c>
      <c r="AW100" t="s">
        <v>3676</v>
      </c>
      <c r="AX100" t="s">
        <v>4281</v>
      </c>
    </row>
    <row r="101" spans="1:50" x14ac:dyDescent="0.25">
      <c r="A101" t="s">
        <v>4217</v>
      </c>
      <c r="B101" t="s">
        <v>4282</v>
      </c>
      <c r="C101" t="s">
        <v>4219</v>
      </c>
      <c r="D101" t="s">
        <v>3665</v>
      </c>
      <c r="E101" t="s">
        <v>3666</v>
      </c>
      <c r="F101" t="s">
        <v>3667</v>
      </c>
      <c r="G101" t="s">
        <v>3685</v>
      </c>
      <c r="H101" t="s">
        <v>3982</v>
      </c>
      <c r="I101" t="s">
        <v>3791</v>
      </c>
      <c r="J101" t="s">
        <v>4283</v>
      </c>
      <c r="K101" t="s">
        <v>4283</v>
      </c>
      <c r="L101" t="s">
        <v>3667</v>
      </c>
      <c r="M101" t="s">
        <v>3667</v>
      </c>
      <c r="N101" t="s">
        <v>3667</v>
      </c>
      <c r="O101" t="s">
        <v>4284</v>
      </c>
      <c r="P101" t="s">
        <v>4285</v>
      </c>
      <c r="Q101" t="s">
        <v>3667</v>
      </c>
      <c r="R101" t="s">
        <v>3668</v>
      </c>
      <c r="S101" t="s">
        <v>3667</v>
      </c>
      <c r="T101" t="s">
        <v>4286</v>
      </c>
      <c r="U101" t="s">
        <v>4287</v>
      </c>
      <c r="V101" t="s">
        <v>3796</v>
      </c>
      <c r="W101" t="s">
        <v>90</v>
      </c>
      <c r="X101" t="s">
        <v>3676</v>
      </c>
      <c r="Y101" t="s">
        <v>3676</v>
      </c>
      <c r="Z101" t="s">
        <v>3676</v>
      </c>
      <c r="AA101" t="s">
        <v>3676</v>
      </c>
      <c r="AB101" t="s">
        <v>3676</v>
      </c>
      <c r="AC101" t="s">
        <v>90</v>
      </c>
      <c r="AD101" t="s">
        <v>3676</v>
      </c>
      <c r="AE101" t="s">
        <v>3676</v>
      </c>
      <c r="AF101" t="s">
        <v>3676</v>
      </c>
      <c r="AG101" t="s">
        <v>3676</v>
      </c>
      <c r="AH101" t="s">
        <v>3676</v>
      </c>
      <c r="AI101" t="s">
        <v>3676</v>
      </c>
      <c r="AJ101" t="s">
        <v>3676</v>
      </c>
      <c r="AK101" t="s">
        <v>3676</v>
      </c>
      <c r="AL101" t="s">
        <v>3667</v>
      </c>
      <c r="AM101" t="s">
        <v>3797</v>
      </c>
      <c r="AN101" t="s">
        <v>3667</v>
      </c>
      <c r="AO101" t="s">
        <v>90</v>
      </c>
      <c r="AP101" t="s">
        <v>3676</v>
      </c>
      <c r="AQ101" t="s">
        <v>3676</v>
      </c>
      <c r="AR101" t="s">
        <v>90</v>
      </c>
      <c r="AS101" t="s">
        <v>3676</v>
      </c>
      <c r="AT101" t="s">
        <v>3676</v>
      </c>
      <c r="AU101" t="s">
        <v>3676</v>
      </c>
      <c r="AV101" t="s">
        <v>3676</v>
      </c>
      <c r="AW101" t="s">
        <v>3676</v>
      </c>
      <c r="AX101" t="s">
        <v>4288</v>
      </c>
    </row>
    <row r="102" spans="1:50" x14ac:dyDescent="0.25">
      <c r="A102" t="s">
        <v>4217</v>
      </c>
      <c r="B102" t="s">
        <v>4289</v>
      </c>
      <c r="C102" t="s">
        <v>4219</v>
      </c>
      <c r="D102" t="s">
        <v>3665</v>
      </c>
      <c r="E102" t="s">
        <v>3666</v>
      </c>
      <c r="F102" t="s">
        <v>3667</v>
      </c>
      <c r="G102" t="s">
        <v>3668</v>
      </c>
      <c r="H102" t="s">
        <v>3982</v>
      </c>
      <c r="I102" t="s">
        <v>3670</v>
      </c>
      <c r="J102" t="s">
        <v>4290</v>
      </c>
      <c r="K102" t="s">
        <v>4291</v>
      </c>
      <c r="L102" t="s">
        <v>3667</v>
      </c>
      <c r="M102" t="s">
        <v>3667</v>
      </c>
      <c r="N102" t="s">
        <v>3667</v>
      </c>
      <c r="O102" t="s">
        <v>4284</v>
      </c>
      <c r="P102" t="s">
        <v>4292</v>
      </c>
      <c r="Q102" t="s">
        <v>4293</v>
      </c>
      <c r="R102" t="s">
        <v>3668</v>
      </c>
      <c r="S102" t="s">
        <v>3667</v>
      </c>
      <c r="T102" t="s">
        <v>3667</v>
      </c>
      <c r="U102" t="s">
        <v>3667</v>
      </c>
      <c r="V102" t="s">
        <v>3667</v>
      </c>
      <c r="W102" t="s">
        <v>375</v>
      </c>
      <c r="X102" t="s">
        <v>3676</v>
      </c>
      <c r="Y102" t="s">
        <v>3676</v>
      </c>
      <c r="Z102" t="s">
        <v>3676</v>
      </c>
      <c r="AA102" t="s">
        <v>3676</v>
      </c>
      <c r="AB102" t="s">
        <v>3274</v>
      </c>
      <c r="AC102" t="s">
        <v>3676</v>
      </c>
      <c r="AD102" t="s">
        <v>3676</v>
      </c>
      <c r="AE102" t="s">
        <v>3676</v>
      </c>
      <c r="AF102" t="s">
        <v>3676</v>
      </c>
      <c r="AG102" t="s">
        <v>3676</v>
      </c>
      <c r="AH102" t="s">
        <v>3676</v>
      </c>
      <c r="AI102" t="s">
        <v>3676</v>
      </c>
      <c r="AJ102" t="s">
        <v>3676</v>
      </c>
      <c r="AK102" t="s">
        <v>3676</v>
      </c>
      <c r="AL102" t="s">
        <v>3667</v>
      </c>
      <c r="AM102" t="s">
        <v>3667</v>
      </c>
      <c r="AN102" t="s">
        <v>3667</v>
      </c>
      <c r="AO102" t="s">
        <v>72</v>
      </c>
      <c r="AP102" t="s">
        <v>3676</v>
      </c>
      <c r="AQ102" t="s">
        <v>3676</v>
      </c>
      <c r="AR102" t="s">
        <v>72</v>
      </c>
      <c r="AS102" t="s">
        <v>3676</v>
      </c>
      <c r="AT102" t="s">
        <v>3676</v>
      </c>
      <c r="AU102" t="s">
        <v>3676</v>
      </c>
      <c r="AV102" t="s">
        <v>3676</v>
      </c>
      <c r="AW102" t="s">
        <v>3676</v>
      </c>
      <c r="AX102" t="s">
        <v>4203</v>
      </c>
    </row>
    <row r="103" spans="1:50" x14ac:dyDescent="0.25">
      <c r="A103" t="s">
        <v>4217</v>
      </c>
      <c r="B103" t="s">
        <v>4294</v>
      </c>
      <c r="C103" t="s">
        <v>4219</v>
      </c>
      <c r="D103" t="s">
        <v>3665</v>
      </c>
      <c r="E103" t="s">
        <v>3666</v>
      </c>
      <c r="F103" t="s">
        <v>3667</v>
      </c>
      <c r="G103" t="s">
        <v>3685</v>
      </c>
      <c r="H103" t="s">
        <v>3982</v>
      </c>
      <c r="I103" t="s">
        <v>3670</v>
      </c>
      <c r="J103" t="s">
        <v>4295</v>
      </c>
      <c r="K103" t="s">
        <v>4295</v>
      </c>
      <c r="L103" t="s">
        <v>3667</v>
      </c>
      <c r="M103" t="s">
        <v>3667</v>
      </c>
      <c r="N103" t="s">
        <v>3667</v>
      </c>
      <c r="O103" t="s">
        <v>4296</v>
      </c>
      <c r="P103" t="s">
        <v>4297</v>
      </c>
      <c r="Q103" t="s">
        <v>4298</v>
      </c>
      <c r="R103" t="s">
        <v>3668</v>
      </c>
      <c r="S103" t="s">
        <v>3667</v>
      </c>
      <c r="T103" t="s">
        <v>3667</v>
      </c>
      <c r="U103" t="s">
        <v>3667</v>
      </c>
      <c r="V103" t="s">
        <v>3667</v>
      </c>
      <c r="W103" t="s">
        <v>90</v>
      </c>
      <c r="X103" t="s">
        <v>3676</v>
      </c>
      <c r="Y103" t="s">
        <v>3676</v>
      </c>
      <c r="Z103" t="s">
        <v>3676</v>
      </c>
      <c r="AA103" t="s">
        <v>3676</v>
      </c>
      <c r="AB103" t="s">
        <v>3676</v>
      </c>
      <c r="AC103" t="s">
        <v>3676</v>
      </c>
      <c r="AD103" t="s">
        <v>3676</v>
      </c>
      <c r="AE103" t="s">
        <v>3676</v>
      </c>
      <c r="AF103" t="s">
        <v>3676</v>
      </c>
      <c r="AG103" t="s">
        <v>3676</v>
      </c>
      <c r="AH103" t="s">
        <v>3676</v>
      </c>
      <c r="AI103" t="s">
        <v>3676</v>
      </c>
      <c r="AJ103" t="s">
        <v>3676</v>
      </c>
      <c r="AK103" t="s">
        <v>3676</v>
      </c>
      <c r="AL103" t="s">
        <v>3667</v>
      </c>
      <c r="AM103" t="s">
        <v>3667</v>
      </c>
      <c r="AN103" t="s">
        <v>3667</v>
      </c>
      <c r="AO103" t="s">
        <v>90</v>
      </c>
      <c r="AP103" t="s">
        <v>3676</v>
      </c>
      <c r="AQ103" t="s">
        <v>3676</v>
      </c>
      <c r="AR103" t="s">
        <v>90</v>
      </c>
      <c r="AS103" t="s">
        <v>3676</v>
      </c>
      <c r="AT103" t="s">
        <v>3676</v>
      </c>
      <c r="AU103" t="s">
        <v>3676</v>
      </c>
      <c r="AV103" t="s">
        <v>3676</v>
      </c>
      <c r="AW103" t="s">
        <v>3676</v>
      </c>
      <c r="AX103" t="s">
        <v>4288</v>
      </c>
    </row>
    <row r="104" spans="1:50" x14ac:dyDescent="0.25">
      <c r="A104" t="s">
        <v>4217</v>
      </c>
      <c r="B104" t="s">
        <v>4299</v>
      </c>
      <c r="C104" t="s">
        <v>4219</v>
      </c>
      <c r="D104" t="s">
        <v>3665</v>
      </c>
      <c r="E104" t="s">
        <v>3666</v>
      </c>
      <c r="F104" t="s">
        <v>3667</v>
      </c>
      <c r="G104" t="s">
        <v>3668</v>
      </c>
      <c r="H104" t="s">
        <v>3982</v>
      </c>
      <c r="I104" t="s">
        <v>3670</v>
      </c>
      <c r="J104" t="s">
        <v>4300</v>
      </c>
      <c r="K104" t="s">
        <v>4300</v>
      </c>
      <c r="L104" t="s">
        <v>3667</v>
      </c>
      <c r="M104" t="s">
        <v>3667</v>
      </c>
      <c r="N104" t="s">
        <v>3667</v>
      </c>
      <c r="O104" t="s">
        <v>4301</v>
      </c>
      <c r="P104" t="s">
        <v>4302</v>
      </c>
      <c r="Q104" t="s">
        <v>4303</v>
      </c>
      <c r="R104" t="s">
        <v>3668</v>
      </c>
      <c r="S104" t="s">
        <v>3667</v>
      </c>
      <c r="T104" t="s">
        <v>3667</v>
      </c>
      <c r="U104" t="s">
        <v>3667</v>
      </c>
      <c r="V104" t="s">
        <v>3667</v>
      </c>
      <c r="W104" t="s">
        <v>4304</v>
      </c>
      <c r="X104" t="s">
        <v>3676</v>
      </c>
      <c r="Y104" t="s">
        <v>3676</v>
      </c>
      <c r="Z104" t="s">
        <v>3676</v>
      </c>
      <c r="AA104" t="s">
        <v>3676</v>
      </c>
      <c r="AB104" t="s">
        <v>3274</v>
      </c>
      <c r="AC104" t="s">
        <v>3676</v>
      </c>
      <c r="AD104" t="s">
        <v>3676</v>
      </c>
      <c r="AE104" t="s">
        <v>3676</v>
      </c>
      <c r="AF104" t="s">
        <v>3676</v>
      </c>
      <c r="AG104" t="s">
        <v>3676</v>
      </c>
      <c r="AH104" t="s">
        <v>3676</v>
      </c>
      <c r="AI104" t="s">
        <v>3676</v>
      </c>
      <c r="AJ104" t="s">
        <v>3676</v>
      </c>
      <c r="AK104" t="s">
        <v>3676</v>
      </c>
      <c r="AL104" t="s">
        <v>3667</v>
      </c>
      <c r="AM104" t="s">
        <v>3667</v>
      </c>
      <c r="AN104" t="s">
        <v>3667</v>
      </c>
      <c r="AO104" t="s">
        <v>4305</v>
      </c>
      <c r="AP104" t="s">
        <v>3676</v>
      </c>
      <c r="AQ104" t="s">
        <v>3676</v>
      </c>
      <c r="AR104" t="s">
        <v>4305</v>
      </c>
      <c r="AS104" t="s">
        <v>3676</v>
      </c>
      <c r="AT104" t="s">
        <v>3676</v>
      </c>
      <c r="AU104" t="s">
        <v>3676</v>
      </c>
      <c r="AV104" t="s">
        <v>3676</v>
      </c>
      <c r="AW104" t="s">
        <v>3676</v>
      </c>
      <c r="AX104" t="s">
        <v>4306</v>
      </c>
    </row>
    <row r="105" spans="1:50" x14ac:dyDescent="0.25">
      <c r="A105" t="s">
        <v>4217</v>
      </c>
      <c r="B105" t="s">
        <v>4307</v>
      </c>
      <c r="C105" t="s">
        <v>4219</v>
      </c>
      <c r="D105" t="s">
        <v>3665</v>
      </c>
      <c r="E105" t="s">
        <v>3666</v>
      </c>
      <c r="F105" t="s">
        <v>3667</v>
      </c>
      <c r="G105" t="s">
        <v>3685</v>
      </c>
      <c r="H105" t="s">
        <v>3982</v>
      </c>
      <c r="I105" t="s">
        <v>3670</v>
      </c>
      <c r="J105" t="s">
        <v>4308</v>
      </c>
      <c r="K105" t="s">
        <v>4308</v>
      </c>
      <c r="L105" t="s">
        <v>3667</v>
      </c>
      <c r="M105" t="s">
        <v>3667</v>
      </c>
      <c r="N105" t="s">
        <v>3667</v>
      </c>
      <c r="O105" t="s">
        <v>4309</v>
      </c>
      <c r="P105" t="s">
        <v>4310</v>
      </c>
      <c r="Q105" t="s">
        <v>4311</v>
      </c>
      <c r="R105" t="s">
        <v>3668</v>
      </c>
      <c r="S105" t="s">
        <v>3667</v>
      </c>
      <c r="T105" t="s">
        <v>3667</v>
      </c>
      <c r="U105" t="s">
        <v>3667</v>
      </c>
      <c r="V105" t="s">
        <v>3667</v>
      </c>
      <c r="W105" t="s">
        <v>375</v>
      </c>
      <c r="X105" t="s">
        <v>3676</v>
      </c>
      <c r="Y105" t="s">
        <v>3676</v>
      </c>
      <c r="Z105" t="s">
        <v>3676</v>
      </c>
      <c r="AA105" t="s">
        <v>3676</v>
      </c>
      <c r="AB105" t="s">
        <v>3676</v>
      </c>
      <c r="AC105" t="s">
        <v>3676</v>
      </c>
      <c r="AD105" t="s">
        <v>3676</v>
      </c>
      <c r="AE105" t="s">
        <v>3676</v>
      </c>
      <c r="AF105" t="s">
        <v>3676</v>
      </c>
      <c r="AG105" t="s">
        <v>3676</v>
      </c>
      <c r="AH105" t="s">
        <v>3676</v>
      </c>
      <c r="AI105" t="s">
        <v>3676</v>
      </c>
      <c r="AJ105" t="s">
        <v>3676</v>
      </c>
      <c r="AK105" t="s">
        <v>3676</v>
      </c>
      <c r="AL105" t="s">
        <v>3667</v>
      </c>
      <c r="AM105" t="s">
        <v>3667</v>
      </c>
      <c r="AN105" t="s">
        <v>3667</v>
      </c>
      <c r="AO105" t="s">
        <v>375</v>
      </c>
      <c r="AP105" t="s">
        <v>3676</v>
      </c>
      <c r="AQ105" t="s">
        <v>3676</v>
      </c>
      <c r="AR105" t="s">
        <v>375</v>
      </c>
      <c r="AS105" t="s">
        <v>3676</v>
      </c>
      <c r="AT105" t="s">
        <v>3676</v>
      </c>
      <c r="AU105" t="s">
        <v>3676</v>
      </c>
      <c r="AV105" t="s">
        <v>3676</v>
      </c>
      <c r="AW105" t="s">
        <v>3676</v>
      </c>
      <c r="AX105" t="s">
        <v>4194</v>
      </c>
    </row>
    <row r="106" spans="1:50" x14ac:dyDescent="0.25">
      <c r="A106" t="s">
        <v>4217</v>
      </c>
      <c r="B106" t="s">
        <v>4312</v>
      </c>
      <c r="C106" t="s">
        <v>4219</v>
      </c>
      <c r="D106" t="s">
        <v>3665</v>
      </c>
      <c r="E106" t="s">
        <v>3666</v>
      </c>
      <c r="F106" t="s">
        <v>3667</v>
      </c>
      <c r="G106" t="s">
        <v>3668</v>
      </c>
      <c r="H106" t="s">
        <v>3982</v>
      </c>
      <c r="I106" t="s">
        <v>3670</v>
      </c>
      <c r="J106" t="s">
        <v>4313</v>
      </c>
      <c r="K106" t="s">
        <v>4313</v>
      </c>
      <c r="L106" t="s">
        <v>3667</v>
      </c>
      <c r="M106" t="s">
        <v>3667</v>
      </c>
      <c r="N106" t="s">
        <v>3667</v>
      </c>
      <c r="O106" t="s">
        <v>4309</v>
      </c>
      <c r="P106" t="s">
        <v>4119</v>
      </c>
      <c r="Q106" t="s">
        <v>4311</v>
      </c>
      <c r="R106" t="s">
        <v>3668</v>
      </c>
      <c r="S106" t="s">
        <v>3667</v>
      </c>
      <c r="T106" t="s">
        <v>3667</v>
      </c>
      <c r="U106" t="s">
        <v>3667</v>
      </c>
      <c r="V106" t="s">
        <v>3667</v>
      </c>
      <c r="W106" t="s">
        <v>375</v>
      </c>
      <c r="X106" t="s">
        <v>3676</v>
      </c>
      <c r="Y106" t="s">
        <v>3676</v>
      </c>
      <c r="Z106" t="s">
        <v>3676</v>
      </c>
      <c r="AA106" t="s">
        <v>3676</v>
      </c>
      <c r="AB106" t="s">
        <v>3274</v>
      </c>
      <c r="AC106" t="s">
        <v>3676</v>
      </c>
      <c r="AD106" t="s">
        <v>3676</v>
      </c>
      <c r="AE106" t="s">
        <v>3676</v>
      </c>
      <c r="AF106" t="s">
        <v>3676</v>
      </c>
      <c r="AG106" t="s">
        <v>3676</v>
      </c>
      <c r="AH106" t="s">
        <v>3676</v>
      </c>
      <c r="AI106" t="s">
        <v>3676</v>
      </c>
      <c r="AJ106" t="s">
        <v>3676</v>
      </c>
      <c r="AK106" t="s">
        <v>3676</v>
      </c>
      <c r="AL106" t="s">
        <v>3667</v>
      </c>
      <c r="AM106" t="s">
        <v>3667</v>
      </c>
      <c r="AN106" t="s">
        <v>3667</v>
      </c>
      <c r="AO106" t="s">
        <v>72</v>
      </c>
      <c r="AP106" t="s">
        <v>3676</v>
      </c>
      <c r="AQ106" t="s">
        <v>3676</v>
      </c>
      <c r="AR106" t="s">
        <v>72</v>
      </c>
      <c r="AS106" t="s">
        <v>3676</v>
      </c>
      <c r="AT106" t="s">
        <v>3676</v>
      </c>
      <c r="AU106" t="s">
        <v>3676</v>
      </c>
      <c r="AV106" t="s">
        <v>3676</v>
      </c>
      <c r="AW106" t="s">
        <v>3676</v>
      </c>
      <c r="AX106" t="s">
        <v>4314</v>
      </c>
    </row>
    <row r="107" spans="1:50" x14ac:dyDescent="0.25">
      <c r="A107" t="s">
        <v>4217</v>
      </c>
      <c r="B107" t="s">
        <v>4315</v>
      </c>
      <c r="C107" t="s">
        <v>4219</v>
      </c>
      <c r="D107" t="s">
        <v>3665</v>
      </c>
      <c r="E107" t="s">
        <v>3666</v>
      </c>
      <c r="F107" t="s">
        <v>3667</v>
      </c>
      <c r="G107" t="s">
        <v>3668</v>
      </c>
      <c r="H107" t="s">
        <v>3982</v>
      </c>
      <c r="I107" t="s">
        <v>3670</v>
      </c>
      <c r="J107" t="s">
        <v>4316</v>
      </c>
      <c r="K107" t="s">
        <v>4316</v>
      </c>
      <c r="L107" t="s">
        <v>3667</v>
      </c>
      <c r="M107" t="s">
        <v>3667</v>
      </c>
      <c r="N107" t="s">
        <v>3667</v>
      </c>
      <c r="O107" t="s">
        <v>4309</v>
      </c>
      <c r="P107" t="s">
        <v>4317</v>
      </c>
      <c r="Q107" t="s">
        <v>4318</v>
      </c>
      <c r="R107" t="s">
        <v>3668</v>
      </c>
      <c r="S107" t="s">
        <v>3667</v>
      </c>
      <c r="T107" t="s">
        <v>3667</v>
      </c>
      <c r="U107" t="s">
        <v>3667</v>
      </c>
      <c r="V107" t="s">
        <v>3667</v>
      </c>
      <c r="W107" t="s">
        <v>375</v>
      </c>
      <c r="X107" t="s">
        <v>3676</v>
      </c>
      <c r="Y107" t="s">
        <v>3676</v>
      </c>
      <c r="Z107" t="s">
        <v>3676</v>
      </c>
      <c r="AA107" t="s">
        <v>3676</v>
      </c>
      <c r="AB107" t="s">
        <v>3274</v>
      </c>
      <c r="AC107" t="s">
        <v>3676</v>
      </c>
      <c r="AD107" t="s">
        <v>3676</v>
      </c>
      <c r="AE107" t="s">
        <v>3676</v>
      </c>
      <c r="AF107" t="s">
        <v>3676</v>
      </c>
      <c r="AG107" t="s">
        <v>3676</v>
      </c>
      <c r="AH107" t="s">
        <v>3676</v>
      </c>
      <c r="AI107" t="s">
        <v>3676</v>
      </c>
      <c r="AJ107" t="s">
        <v>3676</v>
      </c>
      <c r="AK107" t="s">
        <v>3676</v>
      </c>
      <c r="AL107" t="s">
        <v>3667</v>
      </c>
      <c r="AM107" t="s">
        <v>3667</v>
      </c>
      <c r="AN107" t="s">
        <v>3667</v>
      </c>
      <c r="AO107" t="s">
        <v>72</v>
      </c>
      <c r="AP107" t="s">
        <v>3676</v>
      </c>
      <c r="AQ107" t="s">
        <v>3676</v>
      </c>
      <c r="AR107" t="s">
        <v>72</v>
      </c>
      <c r="AS107" t="s">
        <v>3676</v>
      </c>
      <c r="AT107" t="s">
        <v>3676</v>
      </c>
      <c r="AU107" t="s">
        <v>3676</v>
      </c>
      <c r="AV107" t="s">
        <v>3676</v>
      </c>
      <c r="AW107" t="s">
        <v>3676</v>
      </c>
      <c r="AX107" t="s">
        <v>4203</v>
      </c>
    </row>
    <row r="108" spans="1:50" x14ac:dyDescent="0.25">
      <c r="A108" t="s">
        <v>4217</v>
      </c>
      <c r="B108" t="s">
        <v>4319</v>
      </c>
      <c r="C108" t="s">
        <v>4219</v>
      </c>
      <c r="D108" t="s">
        <v>3665</v>
      </c>
      <c r="E108" t="s">
        <v>3734</v>
      </c>
      <c r="F108" t="s">
        <v>3667</v>
      </c>
      <c r="G108" t="s">
        <v>3685</v>
      </c>
      <c r="H108" t="s">
        <v>3982</v>
      </c>
      <c r="I108" t="s">
        <v>3670</v>
      </c>
      <c r="J108" t="s">
        <v>4120</v>
      </c>
      <c r="K108" t="s">
        <v>4120</v>
      </c>
      <c r="L108" t="s">
        <v>3667</v>
      </c>
      <c r="M108" t="s">
        <v>3667</v>
      </c>
      <c r="N108" t="s">
        <v>3667</v>
      </c>
      <c r="O108" t="s">
        <v>4320</v>
      </c>
      <c r="P108" t="s">
        <v>4321</v>
      </c>
      <c r="Q108" t="s">
        <v>4322</v>
      </c>
      <c r="R108" t="s">
        <v>3668</v>
      </c>
      <c r="S108" t="s">
        <v>3667</v>
      </c>
      <c r="T108" t="s">
        <v>3667</v>
      </c>
      <c r="U108" t="s">
        <v>3667</v>
      </c>
      <c r="V108" t="s">
        <v>3667</v>
      </c>
      <c r="W108" t="s">
        <v>966</v>
      </c>
      <c r="X108" t="s">
        <v>3676</v>
      </c>
      <c r="Y108" t="s">
        <v>3676</v>
      </c>
      <c r="Z108" t="s">
        <v>3676</v>
      </c>
      <c r="AA108" t="s">
        <v>3676</v>
      </c>
      <c r="AB108" t="s">
        <v>3676</v>
      </c>
      <c r="AC108" t="s">
        <v>3676</v>
      </c>
      <c r="AD108" t="s">
        <v>3676</v>
      </c>
      <c r="AE108" t="s">
        <v>3676</v>
      </c>
      <c r="AF108" t="s">
        <v>3676</v>
      </c>
      <c r="AG108" t="s">
        <v>3676</v>
      </c>
      <c r="AH108" t="s">
        <v>3676</v>
      </c>
      <c r="AI108" t="s">
        <v>3676</v>
      </c>
      <c r="AJ108" t="s">
        <v>3676</v>
      </c>
      <c r="AK108" t="s">
        <v>3676</v>
      </c>
      <c r="AL108" t="s">
        <v>3667</v>
      </c>
      <c r="AM108" t="s">
        <v>3667</v>
      </c>
      <c r="AN108" t="s">
        <v>3667</v>
      </c>
      <c r="AO108" t="s">
        <v>966</v>
      </c>
      <c r="AP108" t="s">
        <v>966</v>
      </c>
      <c r="AQ108" t="s">
        <v>3676</v>
      </c>
      <c r="AR108" t="s">
        <v>3676</v>
      </c>
      <c r="AS108" t="s">
        <v>3676</v>
      </c>
      <c r="AT108" t="s">
        <v>3676</v>
      </c>
      <c r="AU108" t="s">
        <v>3676</v>
      </c>
      <c r="AV108" t="s">
        <v>3676</v>
      </c>
      <c r="AW108" t="s">
        <v>3676</v>
      </c>
      <c r="AX108" t="s">
        <v>4323</v>
      </c>
    </row>
    <row r="109" spans="1:50" x14ac:dyDescent="0.25">
      <c r="A109" t="s">
        <v>4217</v>
      </c>
      <c r="B109" t="s">
        <v>4324</v>
      </c>
      <c r="C109" t="s">
        <v>4219</v>
      </c>
      <c r="D109" t="s">
        <v>3665</v>
      </c>
      <c r="E109" t="s">
        <v>3734</v>
      </c>
      <c r="F109" t="s">
        <v>3667</v>
      </c>
      <c r="G109" t="s">
        <v>3685</v>
      </c>
      <c r="H109" t="s">
        <v>3982</v>
      </c>
      <c r="I109" t="s">
        <v>3670</v>
      </c>
      <c r="J109" t="s">
        <v>4325</v>
      </c>
      <c r="K109" t="s">
        <v>4325</v>
      </c>
      <c r="L109" t="s">
        <v>3667</v>
      </c>
      <c r="M109" t="s">
        <v>3667</v>
      </c>
      <c r="N109" t="s">
        <v>3667</v>
      </c>
      <c r="O109" t="s">
        <v>4326</v>
      </c>
      <c r="P109" t="s">
        <v>4327</v>
      </c>
      <c r="Q109" t="s">
        <v>4328</v>
      </c>
      <c r="R109" t="s">
        <v>3668</v>
      </c>
      <c r="S109" t="s">
        <v>3667</v>
      </c>
      <c r="T109" t="s">
        <v>3667</v>
      </c>
      <c r="U109" t="s">
        <v>3667</v>
      </c>
      <c r="V109" t="s">
        <v>3667</v>
      </c>
      <c r="W109" t="s">
        <v>57</v>
      </c>
      <c r="X109" t="s">
        <v>3676</v>
      </c>
      <c r="Y109" t="s">
        <v>3676</v>
      </c>
      <c r="Z109" t="s">
        <v>3676</v>
      </c>
      <c r="AA109" t="s">
        <v>3676</v>
      </c>
      <c r="AB109" t="s">
        <v>3676</v>
      </c>
      <c r="AC109" t="s">
        <v>3676</v>
      </c>
      <c r="AD109" t="s">
        <v>3676</v>
      </c>
      <c r="AE109" t="s">
        <v>3676</v>
      </c>
      <c r="AF109" t="s">
        <v>3676</v>
      </c>
      <c r="AG109" t="s">
        <v>3676</v>
      </c>
      <c r="AH109" t="s">
        <v>3676</v>
      </c>
      <c r="AI109" t="s">
        <v>3676</v>
      </c>
      <c r="AJ109" t="s">
        <v>3676</v>
      </c>
      <c r="AK109" t="s">
        <v>3676</v>
      </c>
      <c r="AL109" t="s">
        <v>3667</v>
      </c>
      <c r="AM109" t="s">
        <v>3667</v>
      </c>
      <c r="AN109" t="s">
        <v>3667</v>
      </c>
      <c r="AO109" t="s">
        <v>57</v>
      </c>
      <c r="AP109" t="s">
        <v>57</v>
      </c>
      <c r="AQ109" t="s">
        <v>3676</v>
      </c>
      <c r="AR109" t="s">
        <v>3676</v>
      </c>
      <c r="AS109" t="s">
        <v>3676</v>
      </c>
      <c r="AT109" t="s">
        <v>3676</v>
      </c>
      <c r="AU109" t="s">
        <v>3676</v>
      </c>
      <c r="AV109" t="s">
        <v>3676</v>
      </c>
      <c r="AW109" t="s">
        <v>3676</v>
      </c>
      <c r="AX109" t="s">
        <v>4329</v>
      </c>
    </row>
    <row r="110" spans="1:50" x14ac:dyDescent="0.25">
      <c r="A110" t="s">
        <v>4217</v>
      </c>
      <c r="B110" t="s">
        <v>4330</v>
      </c>
      <c r="C110" t="s">
        <v>4219</v>
      </c>
      <c r="D110" t="s">
        <v>3665</v>
      </c>
      <c r="E110" t="s">
        <v>3666</v>
      </c>
      <c r="F110" t="s">
        <v>3667</v>
      </c>
      <c r="G110" t="s">
        <v>3685</v>
      </c>
      <c r="H110" t="s">
        <v>3982</v>
      </c>
      <c r="I110" t="s">
        <v>3670</v>
      </c>
      <c r="J110" t="s">
        <v>4015</v>
      </c>
      <c r="K110" t="s">
        <v>4015</v>
      </c>
      <c r="L110" t="s">
        <v>3667</v>
      </c>
      <c r="M110" t="s">
        <v>3667</v>
      </c>
      <c r="N110" t="s">
        <v>3667</v>
      </c>
      <c r="O110" t="s">
        <v>4331</v>
      </c>
      <c r="P110" t="s">
        <v>4018</v>
      </c>
      <c r="Q110" t="s">
        <v>3876</v>
      </c>
      <c r="R110" t="s">
        <v>3668</v>
      </c>
      <c r="S110" t="s">
        <v>3667</v>
      </c>
      <c r="T110" t="s">
        <v>3667</v>
      </c>
      <c r="U110" t="s">
        <v>3667</v>
      </c>
      <c r="V110" t="s">
        <v>3667</v>
      </c>
      <c r="W110" t="s">
        <v>446</v>
      </c>
      <c r="X110" t="s">
        <v>3676</v>
      </c>
      <c r="Y110" t="s">
        <v>3676</v>
      </c>
      <c r="Z110" t="s">
        <v>3676</v>
      </c>
      <c r="AA110" t="s">
        <v>3676</v>
      </c>
      <c r="AB110" t="s">
        <v>3676</v>
      </c>
      <c r="AC110" t="s">
        <v>3676</v>
      </c>
      <c r="AD110" t="s">
        <v>3676</v>
      </c>
      <c r="AE110" t="s">
        <v>3676</v>
      </c>
      <c r="AF110" t="s">
        <v>3676</v>
      </c>
      <c r="AG110" t="s">
        <v>3676</v>
      </c>
      <c r="AH110" t="s">
        <v>3676</v>
      </c>
      <c r="AI110" t="s">
        <v>3676</v>
      </c>
      <c r="AJ110" t="s">
        <v>3676</v>
      </c>
      <c r="AK110" t="s">
        <v>3676</v>
      </c>
      <c r="AL110" t="s">
        <v>3667</v>
      </c>
      <c r="AM110" t="s">
        <v>3667</v>
      </c>
      <c r="AN110" t="s">
        <v>3667</v>
      </c>
      <c r="AO110" t="s">
        <v>446</v>
      </c>
      <c r="AP110" t="s">
        <v>3676</v>
      </c>
      <c r="AQ110" t="s">
        <v>3676</v>
      </c>
      <c r="AR110" t="s">
        <v>446</v>
      </c>
      <c r="AS110" t="s">
        <v>3676</v>
      </c>
      <c r="AT110" t="s">
        <v>3676</v>
      </c>
      <c r="AU110" t="s">
        <v>3676</v>
      </c>
      <c r="AV110" t="s">
        <v>3676</v>
      </c>
      <c r="AW110" t="s">
        <v>3676</v>
      </c>
      <c r="AX110" t="s">
        <v>4332</v>
      </c>
    </row>
    <row r="111" spans="1:50" x14ac:dyDescent="0.25">
      <c r="A111" t="s">
        <v>4217</v>
      </c>
      <c r="B111" t="s">
        <v>4333</v>
      </c>
      <c r="C111" t="s">
        <v>4219</v>
      </c>
      <c r="D111" t="s">
        <v>3665</v>
      </c>
      <c r="E111" t="s">
        <v>3666</v>
      </c>
      <c r="F111" t="s">
        <v>3667</v>
      </c>
      <c r="G111" t="s">
        <v>3668</v>
      </c>
      <c r="H111" t="s">
        <v>3982</v>
      </c>
      <c r="I111" t="s">
        <v>3670</v>
      </c>
      <c r="J111" t="s">
        <v>4331</v>
      </c>
      <c r="K111" t="s">
        <v>4331</v>
      </c>
      <c r="L111" t="s">
        <v>3667</v>
      </c>
      <c r="M111" t="s">
        <v>3667</v>
      </c>
      <c r="N111" t="s">
        <v>3667</v>
      </c>
      <c r="O111" t="s">
        <v>4334</v>
      </c>
      <c r="P111" t="s">
        <v>4335</v>
      </c>
      <c r="Q111" t="s">
        <v>4022</v>
      </c>
      <c r="R111" t="s">
        <v>3668</v>
      </c>
      <c r="S111" t="s">
        <v>3667</v>
      </c>
      <c r="T111" t="s">
        <v>3667</v>
      </c>
      <c r="U111" t="s">
        <v>3667</v>
      </c>
      <c r="V111" t="s">
        <v>3667</v>
      </c>
      <c r="W111" t="s">
        <v>1201</v>
      </c>
      <c r="X111" t="s">
        <v>3676</v>
      </c>
      <c r="Y111" t="s">
        <v>3676</v>
      </c>
      <c r="Z111" t="s">
        <v>3676</v>
      </c>
      <c r="AA111" t="s">
        <v>3676</v>
      </c>
      <c r="AB111" t="s">
        <v>3274</v>
      </c>
      <c r="AC111" t="s">
        <v>3676</v>
      </c>
      <c r="AD111" t="s">
        <v>3676</v>
      </c>
      <c r="AE111" t="s">
        <v>3676</v>
      </c>
      <c r="AF111" t="s">
        <v>3676</v>
      </c>
      <c r="AG111" t="s">
        <v>3676</v>
      </c>
      <c r="AH111" t="s">
        <v>3676</v>
      </c>
      <c r="AI111" t="s">
        <v>3676</v>
      </c>
      <c r="AJ111" t="s">
        <v>3676</v>
      </c>
      <c r="AK111" t="s">
        <v>3676</v>
      </c>
      <c r="AL111" t="s">
        <v>3667</v>
      </c>
      <c r="AM111" t="s">
        <v>3667</v>
      </c>
      <c r="AN111" t="s">
        <v>3667</v>
      </c>
      <c r="AO111" t="s">
        <v>2971</v>
      </c>
      <c r="AP111" t="s">
        <v>3676</v>
      </c>
      <c r="AQ111" t="s">
        <v>3676</v>
      </c>
      <c r="AR111" t="s">
        <v>2971</v>
      </c>
      <c r="AS111" t="s">
        <v>3676</v>
      </c>
      <c r="AT111" t="s">
        <v>3676</v>
      </c>
      <c r="AU111" t="s">
        <v>3676</v>
      </c>
      <c r="AV111" t="s">
        <v>3676</v>
      </c>
      <c r="AW111" t="s">
        <v>3676</v>
      </c>
      <c r="AX111" t="s">
        <v>4336</v>
      </c>
    </row>
    <row r="112" spans="1:50" x14ac:dyDescent="0.25">
      <c r="A112" t="s">
        <v>4217</v>
      </c>
      <c r="B112" t="s">
        <v>4337</v>
      </c>
      <c r="C112" t="s">
        <v>4219</v>
      </c>
      <c r="D112" t="s">
        <v>3665</v>
      </c>
      <c r="E112" t="s">
        <v>3734</v>
      </c>
      <c r="F112" t="s">
        <v>3667</v>
      </c>
      <c r="G112" t="s">
        <v>3668</v>
      </c>
      <c r="H112" t="s">
        <v>3982</v>
      </c>
      <c r="I112" t="s">
        <v>3670</v>
      </c>
      <c r="J112" t="s">
        <v>4338</v>
      </c>
      <c r="K112" t="s">
        <v>4338</v>
      </c>
      <c r="L112" t="s">
        <v>3667</v>
      </c>
      <c r="M112" t="s">
        <v>3667</v>
      </c>
      <c r="N112" t="s">
        <v>3667</v>
      </c>
      <c r="O112" t="s">
        <v>4339</v>
      </c>
      <c r="P112" t="s">
        <v>4340</v>
      </c>
      <c r="Q112" t="s">
        <v>4341</v>
      </c>
      <c r="R112" t="s">
        <v>3668</v>
      </c>
      <c r="S112" t="s">
        <v>3667</v>
      </c>
      <c r="T112" t="s">
        <v>3667</v>
      </c>
      <c r="U112" t="s">
        <v>3667</v>
      </c>
      <c r="V112" t="s">
        <v>3667</v>
      </c>
      <c r="W112" t="s">
        <v>375</v>
      </c>
      <c r="X112" t="s">
        <v>3676</v>
      </c>
      <c r="Y112" t="s">
        <v>3676</v>
      </c>
      <c r="Z112" t="s">
        <v>3676</v>
      </c>
      <c r="AA112" t="s">
        <v>3676</v>
      </c>
      <c r="AB112" t="s">
        <v>3274</v>
      </c>
      <c r="AC112" t="s">
        <v>3676</v>
      </c>
      <c r="AD112" t="s">
        <v>3676</v>
      </c>
      <c r="AE112" t="s">
        <v>3676</v>
      </c>
      <c r="AF112" t="s">
        <v>3676</v>
      </c>
      <c r="AG112" t="s">
        <v>3676</v>
      </c>
      <c r="AH112" t="s">
        <v>3676</v>
      </c>
      <c r="AI112" t="s">
        <v>3676</v>
      </c>
      <c r="AJ112" t="s">
        <v>3676</v>
      </c>
      <c r="AK112" t="s">
        <v>3676</v>
      </c>
      <c r="AL112" t="s">
        <v>3667</v>
      </c>
      <c r="AM112" t="s">
        <v>3667</v>
      </c>
      <c r="AN112" t="s">
        <v>3667</v>
      </c>
      <c r="AO112" t="s">
        <v>4342</v>
      </c>
      <c r="AP112" t="s">
        <v>3676</v>
      </c>
      <c r="AQ112" t="s">
        <v>3676</v>
      </c>
      <c r="AR112" t="s">
        <v>4342</v>
      </c>
      <c r="AS112" t="s">
        <v>3676</v>
      </c>
      <c r="AT112" t="s">
        <v>3676</v>
      </c>
      <c r="AU112" t="s">
        <v>3676</v>
      </c>
      <c r="AV112" t="s">
        <v>3676</v>
      </c>
      <c r="AW112" t="s">
        <v>3676</v>
      </c>
      <c r="AX112" t="s">
        <v>4343</v>
      </c>
    </row>
    <row r="113" spans="1:50" x14ac:dyDescent="0.25">
      <c r="A113" t="s">
        <v>4217</v>
      </c>
      <c r="B113" t="s">
        <v>4344</v>
      </c>
      <c r="C113" t="s">
        <v>4219</v>
      </c>
      <c r="D113" t="s">
        <v>3665</v>
      </c>
      <c r="E113" t="s">
        <v>3666</v>
      </c>
      <c r="F113" t="s">
        <v>3667</v>
      </c>
      <c r="G113" t="s">
        <v>3668</v>
      </c>
      <c r="H113" t="s">
        <v>3982</v>
      </c>
      <c r="I113" t="s">
        <v>3670</v>
      </c>
      <c r="J113" t="s">
        <v>4339</v>
      </c>
      <c r="K113" t="s">
        <v>4345</v>
      </c>
      <c r="L113" t="s">
        <v>3667</v>
      </c>
      <c r="M113" t="s">
        <v>3667</v>
      </c>
      <c r="N113" t="s">
        <v>3667</v>
      </c>
      <c r="O113" t="s">
        <v>4346</v>
      </c>
      <c r="P113" t="s">
        <v>4347</v>
      </c>
      <c r="Q113" t="s">
        <v>4348</v>
      </c>
      <c r="R113" t="s">
        <v>3668</v>
      </c>
      <c r="S113" t="s">
        <v>3667</v>
      </c>
      <c r="T113" t="s">
        <v>3667</v>
      </c>
      <c r="U113" t="s">
        <v>3667</v>
      </c>
      <c r="V113" t="s">
        <v>3667</v>
      </c>
      <c r="W113" t="s">
        <v>4349</v>
      </c>
      <c r="X113" t="s">
        <v>3676</v>
      </c>
      <c r="Y113" t="s">
        <v>3676</v>
      </c>
      <c r="Z113" t="s">
        <v>3676</v>
      </c>
      <c r="AA113" t="s">
        <v>3676</v>
      </c>
      <c r="AB113" t="s">
        <v>3274</v>
      </c>
      <c r="AC113" t="s">
        <v>3676</v>
      </c>
      <c r="AD113" t="s">
        <v>3676</v>
      </c>
      <c r="AE113" t="s">
        <v>3676</v>
      </c>
      <c r="AF113" t="s">
        <v>3676</v>
      </c>
      <c r="AG113" t="s">
        <v>3676</v>
      </c>
      <c r="AH113" t="s">
        <v>3676</v>
      </c>
      <c r="AI113" t="s">
        <v>3676</v>
      </c>
      <c r="AJ113" t="s">
        <v>3676</v>
      </c>
      <c r="AK113" t="s">
        <v>3676</v>
      </c>
      <c r="AL113" t="s">
        <v>3667</v>
      </c>
      <c r="AM113" t="s">
        <v>3667</v>
      </c>
      <c r="AN113" t="s">
        <v>3667</v>
      </c>
      <c r="AO113" t="s">
        <v>4350</v>
      </c>
      <c r="AP113" t="s">
        <v>3676</v>
      </c>
      <c r="AQ113" t="s">
        <v>3676</v>
      </c>
      <c r="AR113" t="s">
        <v>4350</v>
      </c>
      <c r="AS113" t="s">
        <v>3676</v>
      </c>
      <c r="AT113" t="s">
        <v>3676</v>
      </c>
      <c r="AU113" t="s">
        <v>3676</v>
      </c>
      <c r="AV113" t="s">
        <v>3676</v>
      </c>
      <c r="AW113" t="s">
        <v>3676</v>
      </c>
      <c r="AX113" t="s">
        <v>4351</v>
      </c>
    </row>
    <row r="114" spans="1:50" x14ac:dyDescent="0.25">
      <c r="A114" t="s">
        <v>4352</v>
      </c>
      <c r="B114" t="s">
        <v>4353</v>
      </c>
      <c r="C114" t="s">
        <v>4354</v>
      </c>
      <c r="D114" t="s">
        <v>3665</v>
      </c>
      <c r="E114" t="s">
        <v>3666</v>
      </c>
      <c r="F114" t="s">
        <v>3667</v>
      </c>
      <c r="G114" t="s">
        <v>3685</v>
      </c>
      <c r="H114" t="s">
        <v>4355</v>
      </c>
      <c r="I114" t="s">
        <v>3670</v>
      </c>
      <c r="J114" t="s">
        <v>4356</v>
      </c>
      <c r="K114" t="s">
        <v>4356</v>
      </c>
      <c r="L114" t="s">
        <v>3667</v>
      </c>
      <c r="M114" t="s">
        <v>3667</v>
      </c>
      <c r="N114" t="s">
        <v>3667</v>
      </c>
      <c r="O114" t="s">
        <v>4147</v>
      </c>
      <c r="P114" t="s">
        <v>4357</v>
      </c>
      <c r="Q114" t="s">
        <v>4358</v>
      </c>
      <c r="R114" t="s">
        <v>3668</v>
      </c>
      <c r="S114" t="s">
        <v>3667</v>
      </c>
      <c r="T114" t="s">
        <v>3667</v>
      </c>
      <c r="U114" t="s">
        <v>3667</v>
      </c>
      <c r="V114" t="s">
        <v>3667</v>
      </c>
      <c r="W114" t="s">
        <v>342</v>
      </c>
      <c r="X114" t="s">
        <v>3676</v>
      </c>
      <c r="Y114" t="s">
        <v>3676</v>
      </c>
      <c r="Z114" t="s">
        <v>3676</v>
      </c>
      <c r="AA114" t="s">
        <v>3676</v>
      </c>
      <c r="AB114" t="s">
        <v>3676</v>
      </c>
      <c r="AC114" t="s">
        <v>3676</v>
      </c>
      <c r="AD114" t="s">
        <v>3676</v>
      </c>
      <c r="AE114" t="s">
        <v>3676</v>
      </c>
      <c r="AF114" t="s">
        <v>3676</v>
      </c>
      <c r="AG114" t="s">
        <v>3676</v>
      </c>
      <c r="AH114" t="s">
        <v>3676</v>
      </c>
      <c r="AI114" t="s">
        <v>3676</v>
      </c>
      <c r="AJ114" t="s">
        <v>3676</v>
      </c>
      <c r="AK114" t="s">
        <v>3676</v>
      </c>
      <c r="AL114" t="s">
        <v>3667</v>
      </c>
      <c r="AM114" t="s">
        <v>3667</v>
      </c>
      <c r="AN114" t="s">
        <v>3667</v>
      </c>
      <c r="AO114" t="s">
        <v>342</v>
      </c>
      <c r="AP114" t="s">
        <v>3676</v>
      </c>
      <c r="AQ114" t="s">
        <v>3676</v>
      </c>
      <c r="AR114" t="s">
        <v>342</v>
      </c>
      <c r="AS114" t="s">
        <v>3676</v>
      </c>
      <c r="AT114" t="s">
        <v>3676</v>
      </c>
      <c r="AU114" t="s">
        <v>3676</v>
      </c>
      <c r="AV114" t="s">
        <v>3676</v>
      </c>
      <c r="AW114" t="s">
        <v>3676</v>
      </c>
      <c r="AX114" t="s">
        <v>4359</v>
      </c>
    </row>
    <row r="115" spans="1:50" x14ac:dyDescent="0.25">
      <c r="A115" t="s">
        <v>4352</v>
      </c>
      <c r="B115" t="s">
        <v>4360</v>
      </c>
      <c r="C115" t="s">
        <v>4354</v>
      </c>
      <c r="D115" t="s">
        <v>3665</v>
      </c>
      <c r="E115" t="s">
        <v>3666</v>
      </c>
      <c r="F115" t="s">
        <v>3667</v>
      </c>
      <c r="G115" t="s">
        <v>3668</v>
      </c>
      <c r="H115" t="s">
        <v>4355</v>
      </c>
      <c r="I115" t="s">
        <v>3670</v>
      </c>
      <c r="J115" t="s">
        <v>4234</v>
      </c>
      <c r="K115" t="s">
        <v>3925</v>
      </c>
      <c r="L115" t="s">
        <v>3667</v>
      </c>
      <c r="M115" t="s">
        <v>3667</v>
      </c>
      <c r="N115" t="s">
        <v>3667</v>
      </c>
      <c r="O115" t="s">
        <v>3929</v>
      </c>
      <c r="P115" t="s">
        <v>3807</v>
      </c>
      <c r="Q115" t="s">
        <v>4236</v>
      </c>
      <c r="R115" t="s">
        <v>3668</v>
      </c>
      <c r="S115" t="s">
        <v>3667</v>
      </c>
      <c r="T115" t="s">
        <v>3667</v>
      </c>
      <c r="U115" t="s">
        <v>3667</v>
      </c>
      <c r="V115" t="s">
        <v>3667</v>
      </c>
      <c r="W115" t="s">
        <v>1492</v>
      </c>
      <c r="X115" t="s">
        <v>3676</v>
      </c>
      <c r="Y115" t="s">
        <v>3676</v>
      </c>
      <c r="Z115" t="s">
        <v>3676</v>
      </c>
      <c r="AA115" t="s">
        <v>3676</v>
      </c>
      <c r="AB115" t="s">
        <v>3274</v>
      </c>
      <c r="AC115" t="s">
        <v>3676</v>
      </c>
      <c r="AD115" t="s">
        <v>3676</v>
      </c>
      <c r="AE115" t="s">
        <v>3676</v>
      </c>
      <c r="AF115" t="s">
        <v>3676</v>
      </c>
      <c r="AG115" t="s">
        <v>3676</v>
      </c>
      <c r="AH115" t="s">
        <v>3676</v>
      </c>
      <c r="AI115" t="s">
        <v>4361</v>
      </c>
      <c r="AJ115" t="s">
        <v>3676</v>
      </c>
      <c r="AK115" t="s">
        <v>3676</v>
      </c>
      <c r="AL115" t="s">
        <v>3667</v>
      </c>
      <c r="AM115" t="s">
        <v>3667</v>
      </c>
      <c r="AN115" t="s">
        <v>3667</v>
      </c>
      <c r="AO115" t="s">
        <v>4362</v>
      </c>
      <c r="AP115" t="s">
        <v>3676</v>
      </c>
      <c r="AQ115" t="s">
        <v>4363</v>
      </c>
      <c r="AR115" t="s">
        <v>3676</v>
      </c>
      <c r="AS115" t="s">
        <v>3676</v>
      </c>
      <c r="AT115" t="s">
        <v>3676</v>
      </c>
      <c r="AU115" t="s">
        <v>3676</v>
      </c>
      <c r="AV115" t="s">
        <v>3676</v>
      </c>
      <c r="AW115" t="s">
        <v>3676</v>
      </c>
      <c r="AX115" t="s">
        <v>4364</v>
      </c>
    </row>
    <row r="116" spans="1:50" x14ac:dyDescent="0.25">
      <c r="A116" t="s">
        <v>4352</v>
      </c>
      <c r="B116" t="s">
        <v>4365</v>
      </c>
      <c r="C116" t="s">
        <v>4354</v>
      </c>
      <c r="D116" t="s">
        <v>3665</v>
      </c>
      <c r="E116" t="s">
        <v>3666</v>
      </c>
      <c r="F116" t="s">
        <v>3667</v>
      </c>
      <c r="G116" t="s">
        <v>3685</v>
      </c>
      <c r="H116" t="s">
        <v>4355</v>
      </c>
      <c r="I116" t="s">
        <v>3670</v>
      </c>
      <c r="J116" t="s">
        <v>4302</v>
      </c>
      <c r="K116" t="s">
        <v>4302</v>
      </c>
      <c r="L116" t="s">
        <v>3667</v>
      </c>
      <c r="M116" t="s">
        <v>3667</v>
      </c>
      <c r="N116" t="s">
        <v>3667</v>
      </c>
      <c r="O116" t="s">
        <v>4366</v>
      </c>
      <c r="P116" t="s">
        <v>4367</v>
      </c>
      <c r="Q116" t="s">
        <v>4318</v>
      </c>
      <c r="R116" t="s">
        <v>3668</v>
      </c>
      <c r="S116" t="s">
        <v>3667</v>
      </c>
      <c r="T116" t="s">
        <v>3667</v>
      </c>
      <c r="U116" t="s">
        <v>3667</v>
      </c>
      <c r="V116" t="s">
        <v>3667</v>
      </c>
      <c r="W116" t="s">
        <v>375</v>
      </c>
      <c r="X116" t="s">
        <v>3676</v>
      </c>
      <c r="Y116" t="s">
        <v>3676</v>
      </c>
      <c r="Z116" t="s">
        <v>3676</v>
      </c>
      <c r="AA116" t="s">
        <v>3676</v>
      </c>
      <c r="AB116" t="s">
        <v>3676</v>
      </c>
      <c r="AC116" t="s">
        <v>3676</v>
      </c>
      <c r="AD116" t="s">
        <v>3676</v>
      </c>
      <c r="AE116" t="s">
        <v>3676</v>
      </c>
      <c r="AF116" t="s">
        <v>3676</v>
      </c>
      <c r="AG116" t="s">
        <v>3676</v>
      </c>
      <c r="AH116" t="s">
        <v>3676</v>
      </c>
      <c r="AI116" t="s">
        <v>3676</v>
      </c>
      <c r="AJ116" t="s">
        <v>3676</v>
      </c>
      <c r="AK116" t="s">
        <v>3676</v>
      </c>
      <c r="AL116" t="s">
        <v>3667</v>
      </c>
      <c r="AM116" t="s">
        <v>3667</v>
      </c>
      <c r="AN116" t="s">
        <v>3667</v>
      </c>
      <c r="AO116" t="s">
        <v>375</v>
      </c>
      <c r="AP116" t="s">
        <v>3676</v>
      </c>
      <c r="AQ116" t="s">
        <v>3676</v>
      </c>
      <c r="AR116" t="s">
        <v>375</v>
      </c>
      <c r="AS116" t="s">
        <v>3676</v>
      </c>
      <c r="AT116" t="s">
        <v>3676</v>
      </c>
      <c r="AU116" t="s">
        <v>3676</v>
      </c>
      <c r="AV116" t="s">
        <v>3676</v>
      </c>
      <c r="AW116" t="s">
        <v>3676</v>
      </c>
      <c r="AX116" t="s">
        <v>4203</v>
      </c>
    </row>
    <row r="117" spans="1:50" x14ac:dyDescent="0.25">
      <c r="A117" t="s">
        <v>4352</v>
      </c>
      <c r="B117" t="s">
        <v>4368</v>
      </c>
      <c r="C117" t="s">
        <v>4354</v>
      </c>
      <c r="D117" t="s">
        <v>3665</v>
      </c>
      <c r="E117" t="s">
        <v>3666</v>
      </c>
      <c r="F117" t="s">
        <v>3667</v>
      </c>
      <c r="G117" t="s">
        <v>3685</v>
      </c>
      <c r="H117" t="s">
        <v>4355</v>
      </c>
      <c r="I117" t="s">
        <v>3670</v>
      </c>
      <c r="J117" t="s">
        <v>4369</v>
      </c>
      <c r="K117" t="s">
        <v>4369</v>
      </c>
      <c r="L117" t="s">
        <v>3667</v>
      </c>
      <c r="M117" t="s">
        <v>3667</v>
      </c>
      <c r="N117" t="s">
        <v>3667</v>
      </c>
      <c r="O117" t="s">
        <v>3873</v>
      </c>
      <c r="P117" t="s">
        <v>4370</v>
      </c>
      <c r="Q117" t="s">
        <v>3785</v>
      </c>
      <c r="R117" t="s">
        <v>3668</v>
      </c>
      <c r="S117" t="s">
        <v>3667</v>
      </c>
      <c r="T117" t="s">
        <v>3667</v>
      </c>
      <c r="U117" t="s">
        <v>3667</v>
      </c>
      <c r="V117" t="s">
        <v>3667</v>
      </c>
      <c r="W117" t="s">
        <v>15</v>
      </c>
      <c r="X117" t="s">
        <v>3676</v>
      </c>
      <c r="Y117" t="s">
        <v>3676</v>
      </c>
      <c r="Z117" t="s">
        <v>3676</v>
      </c>
      <c r="AA117" t="s">
        <v>3676</v>
      </c>
      <c r="AB117" t="s">
        <v>3676</v>
      </c>
      <c r="AC117" t="s">
        <v>3676</v>
      </c>
      <c r="AD117" t="s">
        <v>3676</v>
      </c>
      <c r="AE117" t="s">
        <v>3676</v>
      </c>
      <c r="AF117" t="s">
        <v>3676</v>
      </c>
      <c r="AG117" t="s">
        <v>3676</v>
      </c>
      <c r="AH117" t="s">
        <v>3676</v>
      </c>
      <c r="AI117" t="s">
        <v>3676</v>
      </c>
      <c r="AJ117" t="s">
        <v>3676</v>
      </c>
      <c r="AK117" t="s">
        <v>3676</v>
      </c>
      <c r="AL117" t="s">
        <v>3667</v>
      </c>
      <c r="AM117" t="s">
        <v>3667</v>
      </c>
      <c r="AN117" t="s">
        <v>3667</v>
      </c>
      <c r="AO117" t="s">
        <v>15</v>
      </c>
      <c r="AP117" t="s">
        <v>3676</v>
      </c>
      <c r="AQ117" t="s">
        <v>3676</v>
      </c>
      <c r="AR117" t="s">
        <v>15</v>
      </c>
      <c r="AS117" t="s">
        <v>3676</v>
      </c>
      <c r="AT117" t="s">
        <v>3676</v>
      </c>
      <c r="AU117" t="s">
        <v>3676</v>
      </c>
      <c r="AV117" t="s">
        <v>3676</v>
      </c>
      <c r="AW117" t="s">
        <v>3676</v>
      </c>
      <c r="AX117" t="s">
        <v>4251</v>
      </c>
    </row>
    <row r="118" spans="1:50" x14ac:dyDescent="0.25">
      <c r="A118" t="s">
        <v>4371</v>
      </c>
      <c r="B118" t="s">
        <v>4372</v>
      </c>
      <c r="C118" t="s">
        <v>4373</v>
      </c>
      <c r="D118" t="s">
        <v>3665</v>
      </c>
      <c r="E118" t="s">
        <v>3666</v>
      </c>
      <c r="F118" t="s">
        <v>3667</v>
      </c>
      <c r="G118" t="s">
        <v>3668</v>
      </c>
      <c r="H118" t="s">
        <v>4173</v>
      </c>
      <c r="I118" t="s">
        <v>3670</v>
      </c>
      <c r="J118" t="s">
        <v>4374</v>
      </c>
      <c r="K118" t="s">
        <v>4033</v>
      </c>
      <c r="L118" t="s">
        <v>3667</v>
      </c>
      <c r="M118" t="s">
        <v>3667</v>
      </c>
      <c r="N118" t="s">
        <v>3667</v>
      </c>
      <c r="O118" t="s">
        <v>3801</v>
      </c>
      <c r="P118" t="s">
        <v>3687</v>
      </c>
      <c r="Q118" t="s">
        <v>4375</v>
      </c>
      <c r="R118" t="s">
        <v>3668</v>
      </c>
      <c r="S118" t="s">
        <v>3667</v>
      </c>
      <c r="T118" t="s">
        <v>3667</v>
      </c>
      <c r="U118" t="s">
        <v>3667</v>
      </c>
      <c r="V118" t="s">
        <v>3667</v>
      </c>
      <c r="W118" t="s">
        <v>84</v>
      </c>
      <c r="X118" t="s">
        <v>3676</v>
      </c>
      <c r="Y118" t="s">
        <v>3676</v>
      </c>
      <c r="Z118" t="s">
        <v>3676</v>
      </c>
      <c r="AA118" t="s">
        <v>3676</v>
      </c>
      <c r="AB118" t="s">
        <v>3274</v>
      </c>
      <c r="AC118" t="s">
        <v>3676</v>
      </c>
      <c r="AD118" t="s">
        <v>3676</v>
      </c>
      <c r="AE118" t="s">
        <v>3676</v>
      </c>
      <c r="AF118" t="s">
        <v>3676</v>
      </c>
      <c r="AG118" t="s">
        <v>3676</v>
      </c>
      <c r="AH118" t="s">
        <v>3676</v>
      </c>
      <c r="AI118" t="s">
        <v>3676</v>
      </c>
      <c r="AJ118" t="s">
        <v>3676</v>
      </c>
      <c r="AK118" t="s">
        <v>3676</v>
      </c>
      <c r="AL118" t="s">
        <v>3667</v>
      </c>
      <c r="AM118" t="s">
        <v>3667</v>
      </c>
      <c r="AN118" t="s">
        <v>3667</v>
      </c>
      <c r="AO118" t="s">
        <v>375</v>
      </c>
      <c r="AP118" t="s">
        <v>3676</v>
      </c>
      <c r="AQ118" t="s">
        <v>3676</v>
      </c>
      <c r="AR118" t="s">
        <v>375</v>
      </c>
      <c r="AS118" t="s">
        <v>3676</v>
      </c>
      <c r="AT118" t="s">
        <v>3676</v>
      </c>
      <c r="AU118" t="s">
        <v>3676</v>
      </c>
      <c r="AV118" t="s">
        <v>3676</v>
      </c>
      <c r="AW118" t="s">
        <v>3676</v>
      </c>
      <c r="AX118" t="s">
        <v>4376</v>
      </c>
    </row>
    <row r="119" spans="1:50" x14ac:dyDescent="0.25">
      <c r="A119" t="s">
        <v>4371</v>
      </c>
      <c r="B119" t="s">
        <v>4377</v>
      </c>
      <c r="C119" t="s">
        <v>4373</v>
      </c>
      <c r="D119" t="s">
        <v>3665</v>
      </c>
      <c r="E119" t="s">
        <v>3734</v>
      </c>
      <c r="F119" t="s">
        <v>3667</v>
      </c>
      <c r="G119" t="s">
        <v>3668</v>
      </c>
      <c r="H119" t="s">
        <v>4173</v>
      </c>
      <c r="I119" t="s">
        <v>3670</v>
      </c>
      <c r="J119" t="s">
        <v>4378</v>
      </c>
      <c r="K119" t="s">
        <v>4378</v>
      </c>
      <c r="L119" t="s">
        <v>3667</v>
      </c>
      <c r="M119" t="s">
        <v>3667</v>
      </c>
      <c r="N119" t="s">
        <v>3667</v>
      </c>
      <c r="O119" t="s">
        <v>3801</v>
      </c>
      <c r="P119" t="s">
        <v>4379</v>
      </c>
      <c r="Q119" t="s">
        <v>4380</v>
      </c>
      <c r="R119" t="s">
        <v>3668</v>
      </c>
      <c r="S119" t="s">
        <v>3667</v>
      </c>
      <c r="T119" t="s">
        <v>3667</v>
      </c>
      <c r="U119" t="s">
        <v>3667</v>
      </c>
      <c r="V119" t="s">
        <v>3667</v>
      </c>
      <c r="W119" t="s">
        <v>84</v>
      </c>
      <c r="X119" t="s">
        <v>3676</v>
      </c>
      <c r="Y119" t="s">
        <v>3676</v>
      </c>
      <c r="Z119" t="s">
        <v>3676</v>
      </c>
      <c r="AA119" t="s">
        <v>3676</v>
      </c>
      <c r="AB119" t="s">
        <v>3274</v>
      </c>
      <c r="AC119" t="s">
        <v>3676</v>
      </c>
      <c r="AD119" t="s">
        <v>3676</v>
      </c>
      <c r="AE119" t="s">
        <v>3676</v>
      </c>
      <c r="AF119" t="s">
        <v>3676</v>
      </c>
      <c r="AG119" t="s">
        <v>3676</v>
      </c>
      <c r="AH119" t="s">
        <v>3676</v>
      </c>
      <c r="AI119" t="s">
        <v>3676</v>
      </c>
      <c r="AJ119" t="s">
        <v>3676</v>
      </c>
      <c r="AK119" t="s">
        <v>3676</v>
      </c>
      <c r="AL119" t="s">
        <v>3667</v>
      </c>
      <c r="AM119" t="s">
        <v>3667</v>
      </c>
      <c r="AN119" t="s">
        <v>3667</v>
      </c>
      <c r="AO119" t="s">
        <v>3894</v>
      </c>
      <c r="AP119" t="s">
        <v>84</v>
      </c>
      <c r="AQ119" t="s">
        <v>3676</v>
      </c>
      <c r="AR119" t="s">
        <v>3895</v>
      </c>
      <c r="AS119" t="s">
        <v>3676</v>
      </c>
      <c r="AT119" t="s">
        <v>3676</v>
      </c>
      <c r="AU119" t="s">
        <v>3676</v>
      </c>
      <c r="AV119" t="s">
        <v>3676</v>
      </c>
      <c r="AW119" t="s">
        <v>3676</v>
      </c>
      <c r="AX119" t="s">
        <v>4381</v>
      </c>
    </row>
    <row r="120" spans="1:50" x14ac:dyDescent="0.25">
      <c r="A120" t="s">
        <v>4371</v>
      </c>
      <c r="B120" t="s">
        <v>4382</v>
      </c>
      <c r="C120" t="s">
        <v>4373</v>
      </c>
      <c r="D120" t="s">
        <v>3665</v>
      </c>
      <c r="E120" t="s">
        <v>3734</v>
      </c>
      <c r="F120" t="s">
        <v>3667</v>
      </c>
      <c r="G120" t="s">
        <v>3668</v>
      </c>
      <c r="H120" t="s">
        <v>4173</v>
      </c>
      <c r="I120" t="s">
        <v>3822</v>
      </c>
      <c r="J120" t="s">
        <v>4378</v>
      </c>
      <c r="K120" t="s">
        <v>4378</v>
      </c>
      <c r="L120" t="s">
        <v>3667</v>
      </c>
      <c r="M120" t="s">
        <v>3667</v>
      </c>
      <c r="N120" t="s">
        <v>3667</v>
      </c>
      <c r="O120" t="s">
        <v>4040</v>
      </c>
      <c r="P120" t="s">
        <v>4379</v>
      </c>
      <c r="Q120" t="s">
        <v>4380</v>
      </c>
      <c r="R120" t="s">
        <v>3668</v>
      </c>
      <c r="S120" t="s">
        <v>3667</v>
      </c>
      <c r="T120" t="s">
        <v>3667</v>
      </c>
      <c r="U120" t="s">
        <v>3667</v>
      </c>
      <c r="V120" t="s">
        <v>3667</v>
      </c>
      <c r="W120" t="s">
        <v>84</v>
      </c>
      <c r="X120" t="s">
        <v>3676</v>
      </c>
      <c r="Y120" t="s">
        <v>3676</v>
      </c>
      <c r="Z120" t="s">
        <v>3676</v>
      </c>
      <c r="AA120" t="s">
        <v>3676</v>
      </c>
      <c r="AB120" t="s">
        <v>3274</v>
      </c>
      <c r="AC120" t="s">
        <v>3676</v>
      </c>
      <c r="AD120" t="s">
        <v>3676</v>
      </c>
      <c r="AE120" t="s">
        <v>3676</v>
      </c>
      <c r="AF120" t="s">
        <v>3676</v>
      </c>
      <c r="AG120" t="s">
        <v>3676</v>
      </c>
      <c r="AH120" t="s">
        <v>3676</v>
      </c>
      <c r="AI120" t="s">
        <v>3676</v>
      </c>
      <c r="AJ120" t="s">
        <v>3676</v>
      </c>
      <c r="AK120" t="s">
        <v>3676</v>
      </c>
      <c r="AL120" t="s">
        <v>3667</v>
      </c>
      <c r="AM120" t="s">
        <v>3667</v>
      </c>
      <c r="AN120" t="s">
        <v>3667</v>
      </c>
      <c r="AO120" t="s">
        <v>3894</v>
      </c>
      <c r="AP120" t="s">
        <v>3676</v>
      </c>
      <c r="AQ120" t="s">
        <v>3676</v>
      </c>
      <c r="AR120" t="s">
        <v>3894</v>
      </c>
      <c r="AS120" t="s">
        <v>3676</v>
      </c>
      <c r="AT120" t="s">
        <v>3676</v>
      </c>
      <c r="AU120" t="s">
        <v>3676</v>
      </c>
      <c r="AV120" t="s">
        <v>3676</v>
      </c>
      <c r="AW120" t="s">
        <v>3676</v>
      </c>
      <c r="AX120" t="s">
        <v>4383</v>
      </c>
    </row>
    <row r="121" spans="1:50" x14ac:dyDescent="0.25">
      <c r="A121" t="s">
        <v>4371</v>
      </c>
      <c r="B121" t="s">
        <v>4384</v>
      </c>
      <c r="C121" t="s">
        <v>4373</v>
      </c>
      <c r="D121" t="s">
        <v>3665</v>
      </c>
      <c r="E121" t="s">
        <v>3666</v>
      </c>
      <c r="F121" t="s">
        <v>3667</v>
      </c>
      <c r="G121" t="s">
        <v>3668</v>
      </c>
      <c r="H121" t="s">
        <v>4173</v>
      </c>
      <c r="I121" t="s">
        <v>3670</v>
      </c>
      <c r="J121" t="s">
        <v>4385</v>
      </c>
      <c r="K121" t="s">
        <v>4385</v>
      </c>
      <c r="L121" t="s">
        <v>3667</v>
      </c>
      <c r="M121" t="s">
        <v>3667</v>
      </c>
      <c r="N121" t="s">
        <v>3667</v>
      </c>
      <c r="O121" t="s">
        <v>3905</v>
      </c>
      <c r="P121" t="s">
        <v>4386</v>
      </c>
      <c r="Q121" t="s">
        <v>4387</v>
      </c>
      <c r="R121" t="s">
        <v>3668</v>
      </c>
      <c r="S121" t="s">
        <v>3667</v>
      </c>
      <c r="T121" t="s">
        <v>3667</v>
      </c>
      <c r="U121" t="s">
        <v>3667</v>
      </c>
      <c r="V121" t="s">
        <v>3667</v>
      </c>
      <c r="W121" t="s">
        <v>968</v>
      </c>
      <c r="X121" t="s">
        <v>3676</v>
      </c>
      <c r="Y121" t="s">
        <v>3676</v>
      </c>
      <c r="Z121" t="s">
        <v>3676</v>
      </c>
      <c r="AA121" t="s">
        <v>3676</v>
      </c>
      <c r="AB121" t="s">
        <v>3274</v>
      </c>
      <c r="AC121" t="s">
        <v>3676</v>
      </c>
      <c r="AD121" t="s">
        <v>3676</v>
      </c>
      <c r="AE121" t="s">
        <v>3676</v>
      </c>
      <c r="AF121" t="s">
        <v>3676</v>
      </c>
      <c r="AG121" t="s">
        <v>3676</v>
      </c>
      <c r="AH121" t="s">
        <v>3676</v>
      </c>
      <c r="AI121" t="s">
        <v>3676</v>
      </c>
      <c r="AJ121" t="s">
        <v>3676</v>
      </c>
      <c r="AK121" t="s">
        <v>3676</v>
      </c>
      <c r="AL121" t="s">
        <v>3667</v>
      </c>
      <c r="AM121" t="s">
        <v>3667</v>
      </c>
      <c r="AN121" t="s">
        <v>3667</v>
      </c>
      <c r="AO121" t="s">
        <v>408</v>
      </c>
      <c r="AP121" t="s">
        <v>3676</v>
      </c>
      <c r="AQ121" t="s">
        <v>3676</v>
      </c>
      <c r="AR121" t="s">
        <v>408</v>
      </c>
      <c r="AS121" t="s">
        <v>3676</v>
      </c>
      <c r="AT121" t="s">
        <v>3676</v>
      </c>
      <c r="AU121" t="s">
        <v>3676</v>
      </c>
      <c r="AV121" t="s">
        <v>3676</v>
      </c>
      <c r="AW121" t="s">
        <v>3676</v>
      </c>
      <c r="AX121" t="s">
        <v>4388</v>
      </c>
    </row>
    <row r="122" spans="1:50" x14ac:dyDescent="0.25">
      <c r="A122" t="s">
        <v>4371</v>
      </c>
      <c r="B122" t="s">
        <v>4389</v>
      </c>
      <c r="C122" t="s">
        <v>4373</v>
      </c>
      <c r="D122" t="s">
        <v>3665</v>
      </c>
      <c r="E122" t="s">
        <v>3666</v>
      </c>
      <c r="F122" t="s">
        <v>3667</v>
      </c>
      <c r="G122" t="s">
        <v>3668</v>
      </c>
      <c r="H122" t="s">
        <v>4173</v>
      </c>
      <c r="I122" t="s">
        <v>3670</v>
      </c>
      <c r="J122" t="s">
        <v>4390</v>
      </c>
      <c r="K122" t="s">
        <v>4390</v>
      </c>
      <c r="L122" t="s">
        <v>3667</v>
      </c>
      <c r="M122" t="s">
        <v>3667</v>
      </c>
      <c r="N122" t="s">
        <v>3667</v>
      </c>
      <c r="O122" t="s">
        <v>4391</v>
      </c>
      <c r="P122" t="s">
        <v>4392</v>
      </c>
      <c r="Q122" t="s">
        <v>4393</v>
      </c>
      <c r="R122" t="s">
        <v>3668</v>
      </c>
      <c r="S122" t="s">
        <v>3667</v>
      </c>
      <c r="T122" t="s">
        <v>3667</v>
      </c>
      <c r="U122" t="s">
        <v>3667</v>
      </c>
      <c r="V122" t="s">
        <v>3667</v>
      </c>
      <c r="W122" t="s">
        <v>84</v>
      </c>
      <c r="X122" t="s">
        <v>3676</v>
      </c>
      <c r="Y122" t="s">
        <v>3676</v>
      </c>
      <c r="Z122" t="s">
        <v>3676</v>
      </c>
      <c r="AA122" t="s">
        <v>3676</v>
      </c>
      <c r="AB122" t="s">
        <v>3274</v>
      </c>
      <c r="AC122" t="s">
        <v>3676</v>
      </c>
      <c r="AD122" t="s">
        <v>3676</v>
      </c>
      <c r="AE122" t="s">
        <v>3676</v>
      </c>
      <c r="AF122" t="s">
        <v>3676</v>
      </c>
      <c r="AG122" t="s">
        <v>3676</v>
      </c>
      <c r="AH122" t="s">
        <v>3676</v>
      </c>
      <c r="AI122" t="s">
        <v>3676</v>
      </c>
      <c r="AJ122" t="s">
        <v>3676</v>
      </c>
      <c r="AK122" t="s">
        <v>3676</v>
      </c>
      <c r="AL122" t="s">
        <v>3667</v>
      </c>
      <c r="AM122" t="s">
        <v>3667</v>
      </c>
      <c r="AN122" t="s">
        <v>3667</v>
      </c>
      <c r="AO122" t="s">
        <v>375</v>
      </c>
      <c r="AP122" t="s">
        <v>3676</v>
      </c>
      <c r="AQ122" t="s">
        <v>3676</v>
      </c>
      <c r="AR122" t="s">
        <v>375</v>
      </c>
      <c r="AS122" t="s">
        <v>3676</v>
      </c>
      <c r="AT122" t="s">
        <v>3676</v>
      </c>
      <c r="AU122" t="s">
        <v>3676</v>
      </c>
      <c r="AV122" t="s">
        <v>3676</v>
      </c>
      <c r="AW122" t="s">
        <v>3676</v>
      </c>
      <c r="AX122" t="s">
        <v>4383</v>
      </c>
    </row>
    <row r="123" spans="1:50" x14ac:dyDescent="0.25">
      <c r="A123" t="s">
        <v>4394</v>
      </c>
      <c r="B123" t="s">
        <v>4395</v>
      </c>
      <c r="C123" t="s">
        <v>4396</v>
      </c>
      <c r="D123" t="s">
        <v>3665</v>
      </c>
      <c r="E123" t="s">
        <v>3666</v>
      </c>
      <c r="F123" t="s">
        <v>3667</v>
      </c>
      <c r="G123" t="s">
        <v>3685</v>
      </c>
      <c r="H123" t="s">
        <v>4173</v>
      </c>
      <c r="I123" t="s">
        <v>3822</v>
      </c>
      <c r="J123" t="s">
        <v>4397</v>
      </c>
      <c r="K123" t="s">
        <v>4397</v>
      </c>
      <c r="L123" t="s">
        <v>3667</v>
      </c>
      <c r="M123" t="s">
        <v>3667</v>
      </c>
      <c r="N123" t="s">
        <v>3667</v>
      </c>
      <c r="O123" t="s">
        <v>3900</v>
      </c>
      <c r="P123" t="s">
        <v>4398</v>
      </c>
      <c r="Q123" t="s">
        <v>4399</v>
      </c>
      <c r="R123" t="s">
        <v>3668</v>
      </c>
      <c r="S123" t="s">
        <v>3667</v>
      </c>
      <c r="T123" t="s">
        <v>3667</v>
      </c>
      <c r="U123" t="s">
        <v>3667</v>
      </c>
      <c r="V123" t="s">
        <v>3667</v>
      </c>
      <c r="W123" t="s">
        <v>707</v>
      </c>
      <c r="X123" t="s">
        <v>3676</v>
      </c>
      <c r="Y123" t="s">
        <v>3676</v>
      </c>
      <c r="Z123" t="s">
        <v>3676</v>
      </c>
      <c r="AA123" t="s">
        <v>3676</v>
      </c>
      <c r="AB123" t="s">
        <v>3676</v>
      </c>
      <c r="AC123" t="s">
        <v>3676</v>
      </c>
      <c r="AD123" t="s">
        <v>3676</v>
      </c>
      <c r="AE123" t="s">
        <v>3676</v>
      </c>
      <c r="AF123" t="s">
        <v>3676</v>
      </c>
      <c r="AG123" t="s">
        <v>3676</v>
      </c>
      <c r="AH123" t="s">
        <v>3676</v>
      </c>
      <c r="AI123" t="s">
        <v>3676</v>
      </c>
      <c r="AJ123" t="s">
        <v>3676</v>
      </c>
      <c r="AK123" t="s">
        <v>3676</v>
      </c>
      <c r="AL123" t="s">
        <v>3667</v>
      </c>
      <c r="AM123" t="s">
        <v>3667</v>
      </c>
      <c r="AN123" t="s">
        <v>3667</v>
      </c>
      <c r="AO123" t="s">
        <v>707</v>
      </c>
      <c r="AP123" t="s">
        <v>3676</v>
      </c>
      <c r="AQ123" t="s">
        <v>3676</v>
      </c>
      <c r="AR123" t="s">
        <v>707</v>
      </c>
      <c r="AS123" t="s">
        <v>3676</v>
      </c>
      <c r="AT123" t="s">
        <v>3676</v>
      </c>
      <c r="AU123" t="s">
        <v>3676</v>
      </c>
      <c r="AV123" t="s">
        <v>3676</v>
      </c>
      <c r="AW123" t="s">
        <v>3676</v>
      </c>
      <c r="AX123" t="s">
        <v>4400</v>
      </c>
    </row>
    <row r="124" spans="1:50" x14ac:dyDescent="0.25">
      <c r="A124" t="s">
        <v>4394</v>
      </c>
      <c r="B124" t="s">
        <v>4401</v>
      </c>
      <c r="C124" t="s">
        <v>4396</v>
      </c>
      <c r="D124" t="s">
        <v>3665</v>
      </c>
      <c r="E124" t="s">
        <v>3666</v>
      </c>
      <c r="F124" t="s">
        <v>3667</v>
      </c>
      <c r="G124" t="s">
        <v>3668</v>
      </c>
      <c r="H124" t="s">
        <v>4173</v>
      </c>
      <c r="I124" t="s">
        <v>3670</v>
      </c>
      <c r="J124" t="s">
        <v>4402</v>
      </c>
      <c r="K124" t="s">
        <v>4402</v>
      </c>
      <c r="L124" t="s">
        <v>3667</v>
      </c>
      <c r="M124" t="s">
        <v>3667</v>
      </c>
      <c r="N124" t="s">
        <v>3667</v>
      </c>
      <c r="O124" t="s">
        <v>4403</v>
      </c>
      <c r="P124" t="s">
        <v>4356</v>
      </c>
      <c r="Q124" t="s">
        <v>4404</v>
      </c>
      <c r="R124" t="s">
        <v>3668</v>
      </c>
      <c r="S124" t="s">
        <v>3667</v>
      </c>
      <c r="T124" t="s">
        <v>3667</v>
      </c>
      <c r="U124" t="s">
        <v>3667</v>
      </c>
      <c r="V124" t="s">
        <v>3667</v>
      </c>
      <c r="W124" t="s">
        <v>140</v>
      </c>
      <c r="X124" t="s">
        <v>3676</v>
      </c>
      <c r="Y124" t="s">
        <v>3676</v>
      </c>
      <c r="Z124" t="s">
        <v>3676</v>
      </c>
      <c r="AA124" t="s">
        <v>3676</v>
      </c>
      <c r="AB124" t="s">
        <v>3274</v>
      </c>
      <c r="AC124" t="s">
        <v>3676</v>
      </c>
      <c r="AD124" t="s">
        <v>3676</v>
      </c>
      <c r="AE124" t="s">
        <v>3676</v>
      </c>
      <c r="AF124" t="s">
        <v>3676</v>
      </c>
      <c r="AG124" t="s">
        <v>3676</v>
      </c>
      <c r="AH124" t="s">
        <v>3676</v>
      </c>
      <c r="AI124" t="s">
        <v>3676</v>
      </c>
      <c r="AJ124" t="s">
        <v>3676</v>
      </c>
      <c r="AK124" t="s">
        <v>3676</v>
      </c>
      <c r="AL124" t="s">
        <v>3667</v>
      </c>
      <c r="AM124" t="s">
        <v>3667</v>
      </c>
      <c r="AN124" t="s">
        <v>3667</v>
      </c>
      <c r="AO124" t="s">
        <v>443</v>
      </c>
      <c r="AP124" t="s">
        <v>3676</v>
      </c>
      <c r="AQ124" t="s">
        <v>3676</v>
      </c>
      <c r="AR124" t="s">
        <v>443</v>
      </c>
      <c r="AS124" t="s">
        <v>3676</v>
      </c>
      <c r="AT124" t="s">
        <v>3676</v>
      </c>
      <c r="AU124" t="s">
        <v>3676</v>
      </c>
      <c r="AV124" t="s">
        <v>3676</v>
      </c>
      <c r="AW124" t="s">
        <v>3676</v>
      </c>
      <c r="AX124" t="s">
        <v>4405</v>
      </c>
    </row>
    <row r="125" spans="1:50" x14ac:dyDescent="0.25">
      <c r="A125" t="s">
        <v>4394</v>
      </c>
      <c r="B125" t="s">
        <v>4406</v>
      </c>
      <c r="C125" t="s">
        <v>4396</v>
      </c>
      <c r="D125" t="s">
        <v>3665</v>
      </c>
      <c r="E125" t="s">
        <v>3734</v>
      </c>
      <c r="F125" t="s">
        <v>3667</v>
      </c>
      <c r="G125" t="s">
        <v>3668</v>
      </c>
      <c r="H125" t="s">
        <v>4173</v>
      </c>
      <c r="I125" t="s">
        <v>3822</v>
      </c>
      <c r="J125" t="s">
        <v>4407</v>
      </c>
      <c r="K125" t="s">
        <v>3938</v>
      </c>
      <c r="L125" t="s">
        <v>3667</v>
      </c>
      <c r="M125" t="s">
        <v>3667</v>
      </c>
      <c r="N125" t="s">
        <v>3667</v>
      </c>
      <c r="O125" t="s">
        <v>4040</v>
      </c>
      <c r="P125" t="s">
        <v>4375</v>
      </c>
      <c r="Q125" t="s">
        <v>4408</v>
      </c>
      <c r="R125" t="s">
        <v>3668</v>
      </c>
      <c r="S125" t="s">
        <v>3667</v>
      </c>
      <c r="T125" t="s">
        <v>3667</v>
      </c>
      <c r="U125" t="s">
        <v>3667</v>
      </c>
      <c r="V125" t="s">
        <v>3667</v>
      </c>
      <c r="W125" t="s">
        <v>707</v>
      </c>
      <c r="X125" t="s">
        <v>3676</v>
      </c>
      <c r="Y125" t="s">
        <v>3676</v>
      </c>
      <c r="Z125" t="s">
        <v>3676</v>
      </c>
      <c r="AA125" t="s">
        <v>3676</v>
      </c>
      <c r="AB125" t="s">
        <v>3274</v>
      </c>
      <c r="AC125" t="s">
        <v>3676</v>
      </c>
      <c r="AD125" t="s">
        <v>3676</v>
      </c>
      <c r="AE125" t="s">
        <v>3676</v>
      </c>
      <c r="AF125" t="s">
        <v>3676</v>
      </c>
      <c r="AG125" t="s">
        <v>3676</v>
      </c>
      <c r="AH125" t="s">
        <v>3676</v>
      </c>
      <c r="AI125" t="s">
        <v>3676</v>
      </c>
      <c r="AJ125" t="s">
        <v>3676</v>
      </c>
      <c r="AK125" t="s">
        <v>3676</v>
      </c>
      <c r="AL125" t="s">
        <v>3667</v>
      </c>
      <c r="AM125" t="s">
        <v>3667</v>
      </c>
      <c r="AN125" t="s">
        <v>3667</v>
      </c>
      <c r="AO125" t="s">
        <v>4409</v>
      </c>
      <c r="AP125" t="s">
        <v>3676</v>
      </c>
      <c r="AQ125" t="s">
        <v>3676</v>
      </c>
      <c r="AR125" t="s">
        <v>4409</v>
      </c>
      <c r="AS125" t="s">
        <v>3676</v>
      </c>
      <c r="AT125" t="s">
        <v>3676</v>
      </c>
      <c r="AU125" t="s">
        <v>3676</v>
      </c>
      <c r="AV125" t="s">
        <v>3676</v>
      </c>
      <c r="AW125" t="s">
        <v>3676</v>
      </c>
      <c r="AX125" t="s">
        <v>4410</v>
      </c>
    </row>
    <row r="126" spans="1:50" x14ac:dyDescent="0.25">
      <c r="A126" t="s">
        <v>4394</v>
      </c>
      <c r="B126" t="s">
        <v>4411</v>
      </c>
      <c r="C126" t="s">
        <v>4396</v>
      </c>
      <c r="D126" t="s">
        <v>3665</v>
      </c>
      <c r="E126" t="s">
        <v>3666</v>
      </c>
      <c r="F126" t="s">
        <v>3667</v>
      </c>
      <c r="G126" t="s">
        <v>3685</v>
      </c>
      <c r="H126" t="s">
        <v>4173</v>
      </c>
      <c r="I126" t="s">
        <v>3822</v>
      </c>
      <c r="J126" t="s">
        <v>3695</v>
      </c>
      <c r="K126" t="s">
        <v>3695</v>
      </c>
      <c r="L126" t="s">
        <v>3667</v>
      </c>
      <c r="M126" t="s">
        <v>3667</v>
      </c>
      <c r="N126" t="s">
        <v>3667</v>
      </c>
      <c r="O126" t="s">
        <v>4040</v>
      </c>
      <c r="P126" t="s">
        <v>4412</v>
      </c>
      <c r="Q126" t="s">
        <v>4413</v>
      </c>
      <c r="R126" t="s">
        <v>3668</v>
      </c>
      <c r="S126" t="s">
        <v>3667</v>
      </c>
      <c r="T126" t="s">
        <v>3667</v>
      </c>
      <c r="U126" t="s">
        <v>3667</v>
      </c>
      <c r="V126" t="s">
        <v>3667</v>
      </c>
      <c r="W126" t="s">
        <v>582</v>
      </c>
      <c r="X126" t="s">
        <v>3676</v>
      </c>
      <c r="Y126" t="s">
        <v>3676</v>
      </c>
      <c r="Z126" t="s">
        <v>3676</v>
      </c>
      <c r="AA126" t="s">
        <v>3676</v>
      </c>
      <c r="AB126" t="s">
        <v>3676</v>
      </c>
      <c r="AC126" t="s">
        <v>3676</v>
      </c>
      <c r="AD126" t="s">
        <v>3676</v>
      </c>
      <c r="AE126" t="s">
        <v>3676</v>
      </c>
      <c r="AF126" t="s">
        <v>3676</v>
      </c>
      <c r="AG126" t="s">
        <v>3676</v>
      </c>
      <c r="AH126" t="s">
        <v>3676</v>
      </c>
      <c r="AI126" t="s">
        <v>3676</v>
      </c>
      <c r="AJ126" t="s">
        <v>3676</v>
      </c>
      <c r="AK126" t="s">
        <v>3676</v>
      </c>
      <c r="AL126" t="s">
        <v>3667</v>
      </c>
      <c r="AM126" t="s">
        <v>3667</v>
      </c>
      <c r="AN126" t="s">
        <v>3667</v>
      </c>
      <c r="AO126" t="s">
        <v>582</v>
      </c>
      <c r="AP126" t="s">
        <v>3676</v>
      </c>
      <c r="AQ126" t="s">
        <v>3676</v>
      </c>
      <c r="AR126" t="s">
        <v>582</v>
      </c>
      <c r="AS126" t="s">
        <v>3676</v>
      </c>
      <c r="AT126" t="s">
        <v>3676</v>
      </c>
      <c r="AU126" t="s">
        <v>3676</v>
      </c>
      <c r="AV126" t="s">
        <v>3676</v>
      </c>
      <c r="AW126" t="s">
        <v>3676</v>
      </c>
      <c r="AX126" t="s">
        <v>4414</v>
      </c>
    </row>
    <row r="127" spans="1:50" x14ac:dyDescent="0.25">
      <c r="A127" t="s">
        <v>4394</v>
      </c>
      <c r="B127" t="s">
        <v>4415</v>
      </c>
      <c r="C127" t="s">
        <v>4396</v>
      </c>
      <c r="D127" t="s">
        <v>3665</v>
      </c>
      <c r="E127" t="s">
        <v>3734</v>
      </c>
      <c r="F127" t="s">
        <v>3667</v>
      </c>
      <c r="G127" t="s">
        <v>3668</v>
      </c>
      <c r="H127" t="s">
        <v>4173</v>
      </c>
      <c r="I127" t="s">
        <v>3670</v>
      </c>
      <c r="J127" t="s">
        <v>4416</v>
      </c>
      <c r="K127" t="s">
        <v>4416</v>
      </c>
      <c r="L127" t="s">
        <v>3667</v>
      </c>
      <c r="M127" t="s">
        <v>3667</v>
      </c>
      <c r="N127" t="s">
        <v>3667</v>
      </c>
      <c r="O127" t="s">
        <v>3849</v>
      </c>
      <c r="P127" t="s">
        <v>4417</v>
      </c>
      <c r="Q127" t="s">
        <v>4418</v>
      </c>
      <c r="R127" t="s">
        <v>3668</v>
      </c>
      <c r="S127" t="s">
        <v>3667</v>
      </c>
      <c r="T127" t="s">
        <v>3667</v>
      </c>
      <c r="U127" t="s">
        <v>3667</v>
      </c>
      <c r="V127" t="s">
        <v>3667</v>
      </c>
      <c r="W127" t="s">
        <v>707</v>
      </c>
      <c r="X127" t="s">
        <v>3676</v>
      </c>
      <c r="Y127" t="s">
        <v>3676</v>
      </c>
      <c r="Z127" t="s">
        <v>3676</v>
      </c>
      <c r="AA127" t="s">
        <v>3676</v>
      </c>
      <c r="AB127" t="s">
        <v>3274</v>
      </c>
      <c r="AC127" t="s">
        <v>3676</v>
      </c>
      <c r="AD127" t="s">
        <v>3676</v>
      </c>
      <c r="AE127" t="s">
        <v>3676</v>
      </c>
      <c r="AF127" t="s">
        <v>3676</v>
      </c>
      <c r="AG127" t="s">
        <v>3676</v>
      </c>
      <c r="AH127" t="s">
        <v>3676</v>
      </c>
      <c r="AI127" t="s">
        <v>3676</v>
      </c>
      <c r="AJ127" t="s">
        <v>3676</v>
      </c>
      <c r="AK127" t="s">
        <v>3676</v>
      </c>
      <c r="AL127" t="s">
        <v>3667</v>
      </c>
      <c r="AM127" t="s">
        <v>3667</v>
      </c>
      <c r="AN127" t="s">
        <v>3667</v>
      </c>
      <c r="AO127" t="s">
        <v>4409</v>
      </c>
      <c r="AP127" t="s">
        <v>3676</v>
      </c>
      <c r="AQ127" t="s">
        <v>3676</v>
      </c>
      <c r="AR127" t="s">
        <v>4409</v>
      </c>
      <c r="AS127" t="s">
        <v>3676</v>
      </c>
      <c r="AT127" t="s">
        <v>3676</v>
      </c>
      <c r="AU127" t="s">
        <v>3676</v>
      </c>
      <c r="AV127" t="s">
        <v>3676</v>
      </c>
      <c r="AW127" t="s">
        <v>3676</v>
      </c>
      <c r="AX127" t="s">
        <v>3852</v>
      </c>
    </row>
    <row r="128" spans="1:50" x14ac:dyDescent="0.25">
      <c r="A128" t="s">
        <v>4394</v>
      </c>
      <c r="B128" t="s">
        <v>4419</v>
      </c>
      <c r="C128" t="s">
        <v>4396</v>
      </c>
      <c r="D128" t="s">
        <v>3665</v>
      </c>
      <c r="E128" t="s">
        <v>3666</v>
      </c>
      <c r="F128" t="s">
        <v>3667</v>
      </c>
      <c r="G128" t="s">
        <v>3668</v>
      </c>
      <c r="H128" t="s">
        <v>4173</v>
      </c>
      <c r="I128" t="s">
        <v>3670</v>
      </c>
      <c r="J128" t="s">
        <v>4420</v>
      </c>
      <c r="K128" t="s">
        <v>4420</v>
      </c>
      <c r="L128" t="s">
        <v>3667</v>
      </c>
      <c r="M128" t="s">
        <v>3667</v>
      </c>
      <c r="N128" t="s">
        <v>3667</v>
      </c>
      <c r="O128" t="s">
        <v>3859</v>
      </c>
      <c r="P128" t="s">
        <v>4421</v>
      </c>
      <c r="Q128" t="s">
        <v>4422</v>
      </c>
      <c r="R128" t="s">
        <v>3668</v>
      </c>
      <c r="S128" t="s">
        <v>3667</v>
      </c>
      <c r="T128" t="s">
        <v>3667</v>
      </c>
      <c r="U128" t="s">
        <v>3667</v>
      </c>
      <c r="V128" t="s">
        <v>3667</v>
      </c>
      <c r="W128" t="s">
        <v>642</v>
      </c>
      <c r="X128" t="s">
        <v>3676</v>
      </c>
      <c r="Y128" t="s">
        <v>3676</v>
      </c>
      <c r="Z128" t="s">
        <v>3676</v>
      </c>
      <c r="AA128" t="s">
        <v>3676</v>
      </c>
      <c r="AB128" t="s">
        <v>3274</v>
      </c>
      <c r="AC128" t="s">
        <v>3676</v>
      </c>
      <c r="AD128" t="s">
        <v>3676</v>
      </c>
      <c r="AE128" t="s">
        <v>3676</v>
      </c>
      <c r="AF128" t="s">
        <v>3676</v>
      </c>
      <c r="AG128" t="s">
        <v>3676</v>
      </c>
      <c r="AH128" t="s">
        <v>3676</v>
      </c>
      <c r="AI128" t="s">
        <v>3676</v>
      </c>
      <c r="AJ128" t="s">
        <v>3676</v>
      </c>
      <c r="AK128" t="s">
        <v>3676</v>
      </c>
      <c r="AL128" t="s">
        <v>3667</v>
      </c>
      <c r="AM128" t="s">
        <v>3667</v>
      </c>
      <c r="AN128" t="s">
        <v>3667</v>
      </c>
      <c r="AO128" t="s">
        <v>924</v>
      </c>
      <c r="AP128" t="s">
        <v>3676</v>
      </c>
      <c r="AQ128" t="s">
        <v>3676</v>
      </c>
      <c r="AR128" t="s">
        <v>924</v>
      </c>
      <c r="AS128" t="s">
        <v>3676</v>
      </c>
      <c r="AT128" t="s">
        <v>3676</v>
      </c>
      <c r="AU128" t="s">
        <v>3676</v>
      </c>
      <c r="AV128" t="s">
        <v>3676</v>
      </c>
      <c r="AW128" t="s">
        <v>3676</v>
      </c>
      <c r="AX128" t="s">
        <v>4423</v>
      </c>
    </row>
    <row r="129" spans="1:50" x14ac:dyDescent="0.25">
      <c r="A129" t="s">
        <v>4394</v>
      </c>
      <c r="B129" t="s">
        <v>4424</v>
      </c>
      <c r="C129" t="s">
        <v>4396</v>
      </c>
      <c r="D129" t="s">
        <v>3665</v>
      </c>
      <c r="E129" t="s">
        <v>3666</v>
      </c>
      <c r="F129" t="s">
        <v>3667</v>
      </c>
      <c r="G129" t="s">
        <v>3685</v>
      </c>
      <c r="H129" t="s">
        <v>4173</v>
      </c>
      <c r="I129" t="s">
        <v>3670</v>
      </c>
      <c r="J129" t="s">
        <v>3874</v>
      </c>
      <c r="K129" t="s">
        <v>3874</v>
      </c>
      <c r="L129" t="s">
        <v>3667</v>
      </c>
      <c r="M129" t="s">
        <v>3667</v>
      </c>
      <c r="N129" t="s">
        <v>3667</v>
      </c>
      <c r="O129" t="s">
        <v>3880</v>
      </c>
      <c r="P129" t="s">
        <v>4425</v>
      </c>
      <c r="Q129" t="s">
        <v>4426</v>
      </c>
      <c r="R129" t="s">
        <v>3668</v>
      </c>
      <c r="S129" t="s">
        <v>3667</v>
      </c>
      <c r="T129" t="s">
        <v>3667</v>
      </c>
      <c r="U129" t="s">
        <v>3667</v>
      </c>
      <c r="V129" t="s">
        <v>3667</v>
      </c>
      <c r="W129" t="s">
        <v>502</v>
      </c>
      <c r="X129" t="s">
        <v>3676</v>
      </c>
      <c r="Y129" t="s">
        <v>3676</v>
      </c>
      <c r="Z129" t="s">
        <v>3676</v>
      </c>
      <c r="AA129" t="s">
        <v>3676</v>
      </c>
      <c r="AB129" t="s">
        <v>3676</v>
      </c>
      <c r="AC129" t="s">
        <v>3676</v>
      </c>
      <c r="AD129" t="s">
        <v>3676</v>
      </c>
      <c r="AE129" t="s">
        <v>3676</v>
      </c>
      <c r="AF129" t="s">
        <v>3676</v>
      </c>
      <c r="AG129" t="s">
        <v>3676</v>
      </c>
      <c r="AH129" t="s">
        <v>3676</v>
      </c>
      <c r="AI129" t="s">
        <v>3676</v>
      </c>
      <c r="AJ129" t="s">
        <v>3676</v>
      </c>
      <c r="AK129" t="s">
        <v>3676</v>
      </c>
      <c r="AL129" t="s">
        <v>3667</v>
      </c>
      <c r="AM129" t="s">
        <v>3667</v>
      </c>
      <c r="AN129" t="s">
        <v>3667</v>
      </c>
      <c r="AO129" t="s">
        <v>502</v>
      </c>
      <c r="AP129" t="s">
        <v>3676</v>
      </c>
      <c r="AQ129" t="s">
        <v>3676</v>
      </c>
      <c r="AR129" t="s">
        <v>502</v>
      </c>
      <c r="AS129" t="s">
        <v>3676</v>
      </c>
      <c r="AT129" t="s">
        <v>3676</v>
      </c>
      <c r="AU129" t="s">
        <v>3676</v>
      </c>
      <c r="AV129" t="s">
        <v>3676</v>
      </c>
      <c r="AW129" t="s">
        <v>3676</v>
      </c>
      <c r="AX129" t="s">
        <v>4427</v>
      </c>
    </row>
    <row r="130" spans="1:50" x14ac:dyDescent="0.25">
      <c r="A130" t="s">
        <v>4394</v>
      </c>
      <c r="B130" t="s">
        <v>4428</v>
      </c>
      <c r="C130" t="s">
        <v>4396</v>
      </c>
      <c r="D130" t="s">
        <v>3665</v>
      </c>
      <c r="E130" t="s">
        <v>3734</v>
      </c>
      <c r="F130" t="s">
        <v>3667</v>
      </c>
      <c r="G130" t="s">
        <v>3668</v>
      </c>
      <c r="H130" t="s">
        <v>4173</v>
      </c>
      <c r="I130" t="s">
        <v>3670</v>
      </c>
      <c r="J130" t="s">
        <v>4429</v>
      </c>
      <c r="K130" t="s">
        <v>4429</v>
      </c>
      <c r="L130" t="s">
        <v>3667</v>
      </c>
      <c r="M130" t="s">
        <v>3667</v>
      </c>
      <c r="N130" t="s">
        <v>3667</v>
      </c>
      <c r="O130" t="s">
        <v>4061</v>
      </c>
      <c r="P130" t="s">
        <v>4430</v>
      </c>
      <c r="Q130" t="s">
        <v>4431</v>
      </c>
      <c r="R130" t="s">
        <v>3668</v>
      </c>
      <c r="S130" t="s">
        <v>3667</v>
      </c>
      <c r="T130" t="s">
        <v>3667</v>
      </c>
      <c r="U130" t="s">
        <v>3667</v>
      </c>
      <c r="V130" t="s">
        <v>3667</v>
      </c>
      <c r="W130" t="s">
        <v>707</v>
      </c>
      <c r="X130" t="s">
        <v>3676</v>
      </c>
      <c r="Y130" t="s">
        <v>3676</v>
      </c>
      <c r="Z130" t="s">
        <v>3676</v>
      </c>
      <c r="AA130" t="s">
        <v>3676</v>
      </c>
      <c r="AB130" t="s">
        <v>3274</v>
      </c>
      <c r="AC130" t="s">
        <v>3676</v>
      </c>
      <c r="AD130" t="s">
        <v>3676</v>
      </c>
      <c r="AE130" t="s">
        <v>3676</v>
      </c>
      <c r="AF130" t="s">
        <v>3676</v>
      </c>
      <c r="AG130" t="s">
        <v>3676</v>
      </c>
      <c r="AH130" t="s">
        <v>3676</v>
      </c>
      <c r="AI130" t="s">
        <v>3676</v>
      </c>
      <c r="AJ130" t="s">
        <v>3676</v>
      </c>
      <c r="AK130" t="s">
        <v>3676</v>
      </c>
      <c r="AL130" t="s">
        <v>3667</v>
      </c>
      <c r="AM130" t="s">
        <v>3667</v>
      </c>
      <c r="AN130" t="s">
        <v>3667</v>
      </c>
      <c r="AO130" t="s">
        <v>4409</v>
      </c>
      <c r="AP130" t="s">
        <v>3676</v>
      </c>
      <c r="AQ130" t="s">
        <v>3676</v>
      </c>
      <c r="AR130" t="s">
        <v>4409</v>
      </c>
      <c r="AS130" t="s">
        <v>3676</v>
      </c>
      <c r="AT130" t="s">
        <v>3676</v>
      </c>
      <c r="AU130" t="s">
        <v>3676</v>
      </c>
      <c r="AV130" t="s">
        <v>3676</v>
      </c>
      <c r="AW130" t="s">
        <v>3676</v>
      </c>
      <c r="AX130" t="s">
        <v>3852</v>
      </c>
    </row>
    <row r="131" spans="1:50" x14ac:dyDescent="0.25">
      <c r="A131" t="s">
        <v>4394</v>
      </c>
      <c r="B131" t="s">
        <v>4432</v>
      </c>
      <c r="C131" t="s">
        <v>4396</v>
      </c>
      <c r="D131" t="s">
        <v>3665</v>
      </c>
      <c r="E131" t="s">
        <v>3666</v>
      </c>
      <c r="F131" t="s">
        <v>3667</v>
      </c>
      <c r="G131" t="s">
        <v>3685</v>
      </c>
      <c r="H131" t="s">
        <v>4173</v>
      </c>
      <c r="I131" t="s">
        <v>3670</v>
      </c>
      <c r="J131" t="s">
        <v>4433</v>
      </c>
      <c r="K131" t="s">
        <v>4434</v>
      </c>
      <c r="L131" t="s">
        <v>3667</v>
      </c>
      <c r="M131" t="s">
        <v>3667</v>
      </c>
      <c r="N131" t="s">
        <v>3667</v>
      </c>
      <c r="O131" t="s">
        <v>3985</v>
      </c>
      <c r="P131" t="s">
        <v>4435</v>
      </c>
      <c r="Q131" t="s">
        <v>4436</v>
      </c>
      <c r="R131" t="s">
        <v>3668</v>
      </c>
      <c r="S131" t="s">
        <v>3667</v>
      </c>
      <c r="T131" t="s">
        <v>3667</v>
      </c>
      <c r="U131" t="s">
        <v>3667</v>
      </c>
      <c r="V131" t="s">
        <v>3667</v>
      </c>
      <c r="W131" t="s">
        <v>707</v>
      </c>
      <c r="X131" t="s">
        <v>3676</v>
      </c>
      <c r="Y131" t="s">
        <v>3676</v>
      </c>
      <c r="Z131" t="s">
        <v>3676</v>
      </c>
      <c r="AA131" t="s">
        <v>3676</v>
      </c>
      <c r="AB131" t="s">
        <v>3676</v>
      </c>
      <c r="AC131" t="s">
        <v>3676</v>
      </c>
      <c r="AD131" t="s">
        <v>3676</v>
      </c>
      <c r="AE131" t="s">
        <v>3676</v>
      </c>
      <c r="AF131" t="s">
        <v>3676</v>
      </c>
      <c r="AG131" t="s">
        <v>3676</v>
      </c>
      <c r="AH131" t="s">
        <v>3676</v>
      </c>
      <c r="AI131" t="s">
        <v>3676</v>
      </c>
      <c r="AJ131" t="s">
        <v>3676</v>
      </c>
      <c r="AK131" t="s">
        <v>3676</v>
      </c>
      <c r="AL131" t="s">
        <v>3667</v>
      </c>
      <c r="AM131" t="s">
        <v>3667</v>
      </c>
      <c r="AN131" t="s">
        <v>3667</v>
      </c>
      <c r="AO131" t="s">
        <v>707</v>
      </c>
      <c r="AP131" t="s">
        <v>3676</v>
      </c>
      <c r="AQ131" t="s">
        <v>3676</v>
      </c>
      <c r="AR131" t="s">
        <v>707</v>
      </c>
      <c r="AS131" t="s">
        <v>3676</v>
      </c>
      <c r="AT131" t="s">
        <v>3676</v>
      </c>
      <c r="AU131" t="s">
        <v>3676</v>
      </c>
      <c r="AV131" t="s">
        <v>3676</v>
      </c>
      <c r="AW131" t="s">
        <v>3676</v>
      </c>
      <c r="AX131" t="s">
        <v>3852</v>
      </c>
    </row>
    <row r="132" spans="1:50" x14ac:dyDescent="0.25">
      <c r="A132" t="s">
        <v>4437</v>
      </c>
      <c r="B132" t="s">
        <v>4438</v>
      </c>
      <c r="C132" t="s">
        <v>4439</v>
      </c>
      <c r="D132" t="s">
        <v>3665</v>
      </c>
      <c r="E132" t="s">
        <v>3666</v>
      </c>
      <c r="F132" t="s">
        <v>3667</v>
      </c>
      <c r="G132" t="s">
        <v>3668</v>
      </c>
      <c r="H132" t="s">
        <v>3982</v>
      </c>
      <c r="I132" t="s">
        <v>3670</v>
      </c>
      <c r="J132" t="s">
        <v>4440</v>
      </c>
      <c r="K132" t="s">
        <v>4441</v>
      </c>
      <c r="L132" t="s">
        <v>3667</v>
      </c>
      <c r="M132" t="s">
        <v>3667</v>
      </c>
      <c r="N132" t="s">
        <v>3667</v>
      </c>
      <c r="O132" t="s">
        <v>3898</v>
      </c>
      <c r="P132" t="s">
        <v>4442</v>
      </c>
      <c r="Q132" t="s">
        <v>4140</v>
      </c>
      <c r="R132" t="s">
        <v>3668</v>
      </c>
      <c r="S132" t="s">
        <v>3667</v>
      </c>
      <c r="T132" t="s">
        <v>3667</v>
      </c>
      <c r="U132" t="s">
        <v>3667</v>
      </c>
      <c r="V132" t="s">
        <v>3667</v>
      </c>
      <c r="W132" t="s">
        <v>84</v>
      </c>
      <c r="X132" t="s">
        <v>3676</v>
      </c>
      <c r="Y132" t="s">
        <v>3676</v>
      </c>
      <c r="Z132" t="s">
        <v>3676</v>
      </c>
      <c r="AA132" t="s">
        <v>3676</v>
      </c>
      <c r="AB132" t="s">
        <v>3274</v>
      </c>
      <c r="AC132" t="s">
        <v>3676</v>
      </c>
      <c r="AD132" t="s">
        <v>3676</v>
      </c>
      <c r="AE132" t="s">
        <v>3676</v>
      </c>
      <c r="AF132" t="s">
        <v>3676</v>
      </c>
      <c r="AG132" t="s">
        <v>3676</v>
      </c>
      <c r="AH132" t="s">
        <v>3676</v>
      </c>
      <c r="AI132" t="s">
        <v>3676</v>
      </c>
      <c r="AJ132" t="s">
        <v>3676</v>
      </c>
      <c r="AK132" t="s">
        <v>3676</v>
      </c>
      <c r="AL132" t="s">
        <v>3667</v>
      </c>
      <c r="AM132" t="s">
        <v>3667</v>
      </c>
      <c r="AN132" t="s">
        <v>3667</v>
      </c>
      <c r="AO132" t="s">
        <v>375</v>
      </c>
      <c r="AP132" t="s">
        <v>3676</v>
      </c>
      <c r="AQ132" t="s">
        <v>3676</v>
      </c>
      <c r="AR132" t="s">
        <v>375</v>
      </c>
      <c r="AS132" t="s">
        <v>3676</v>
      </c>
      <c r="AT132" t="s">
        <v>3676</v>
      </c>
      <c r="AU132" t="s">
        <v>3676</v>
      </c>
      <c r="AV132" t="s">
        <v>3676</v>
      </c>
      <c r="AW132" t="s">
        <v>3676</v>
      </c>
      <c r="AX132" t="s">
        <v>4443</v>
      </c>
    </row>
    <row r="133" spans="1:50" x14ac:dyDescent="0.25">
      <c r="A133" t="s">
        <v>4437</v>
      </c>
      <c r="B133" t="s">
        <v>4444</v>
      </c>
      <c r="C133" t="s">
        <v>4439</v>
      </c>
      <c r="D133" t="s">
        <v>3665</v>
      </c>
      <c r="E133" t="s">
        <v>3734</v>
      </c>
      <c r="F133" t="s">
        <v>3667</v>
      </c>
      <c r="G133" t="s">
        <v>3668</v>
      </c>
      <c r="H133" t="s">
        <v>3982</v>
      </c>
      <c r="I133" t="s">
        <v>3822</v>
      </c>
      <c r="J133" t="s">
        <v>3699</v>
      </c>
      <c r="K133" t="s">
        <v>3699</v>
      </c>
      <c r="L133" t="s">
        <v>3667</v>
      </c>
      <c r="M133" t="s">
        <v>3667</v>
      </c>
      <c r="N133" t="s">
        <v>3667</v>
      </c>
      <c r="O133" t="s">
        <v>4040</v>
      </c>
      <c r="P133" t="s">
        <v>4445</v>
      </c>
      <c r="Q133" t="s">
        <v>3703</v>
      </c>
      <c r="R133" t="s">
        <v>3668</v>
      </c>
      <c r="S133" t="s">
        <v>3667</v>
      </c>
      <c r="T133" t="s">
        <v>3667</v>
      </c>
      <c r="U133" t="s">
        <v>3667</v>
      </c>
      <c r="V133" t="s">
        <v>3667</v>
      </c>
      <c r="W133" t="s">
        <v>4446</v>
      </c>
      <c r="X133" t="s">
        <v>3676</v>
      </c>
      <c r="Y133" t="s">
        <v>3676</v>
      </c>
      <c r="Z133" t="s">
        <v>3676</v>
      </c>
      <c r="AA133" t="s">
        <v>3676</v>
      </c>
      <c r="AB133" t="s">
        <v>3274</v>
      </c>
      <c r="AC133" t="s">
        <v>3676</v>
      </c>
      <c r="AD133" t="s">
        <v>3676</v>
      </c>
      <c r="AE133" t="s">
        <v>3676</v>
      </c>
      <c r="AF133" t="s">
        <v>3676</v>
      </c>
      <c r="AG133" t="s">
        <v>3676</v>
      </c>
      <c r="AH133" t="s">
        <v>3676</v>
      </c>
      <c r="AI133" t="s">
        <v>3676</v>
      </c>
      <c r="AJ133" t="s">
        <v>3676</v>
      </c>
      <c r="AK133" t="s">
        <v>3676</v>
      </c>
      <c r="AL133" t="s">
        <v>3667</v>
      </c>
      <c r="AM133" t="s">
        <v>3667</v>
      </c>
      <c r="AN133" t="s">
        <v>3667</v>
      </c>
      <c r="AO133" t="s">
        <v>4447</v>
      </c>
      <c r="AP133" t="s">
        <v>3676</v>
      </c>
      <c r="AQ133" t="s">
        <v>3676</v>
      </c>
      <c r="AR133" t="s">
        <v>4447</v>
      </c>
      <c r="AS133" t="s">
        <v>3676</v>
      </c>
      <c r="AT133" t="s">
        <v>3676</v>
      </c>
      <c r="AU133" t="s">
        <v>3676</v>
      </c>
      <c r="AV133" t="s">
        <v>3676</v>
      </c>
      <c r="AW133" t="s">
        <v>3676</v>
      </c>
      <c r="AX133" t="s">
        <v>4448</v>
      </c>
    </row>
    <row r="134" spans="1:50" x14ac:dyDescent="0.25">
      <c r="A134" t="s">
        <v>4437</v>
      </c>
      <c r="B134" t="s">
        <v>4449</v>
      </c>
      <c r="C134" t="s">
        <v>4439</v>
      </c>
      <c r="D134" t="s">
        <v>3665</v>
      </c>
      <c r="E134" t="s">
        <v>3666</v>
      </c>
      <c r="F134" t="s">
        <v>3667</v>
      </c>
      <c r="G134" t="s">
        <v>3668</v>
      </c>
      <c r="H134" t="s">
        <v>3982</v>
      </c>
      <c r="I134" t="s">
        <v>3822</v>
      </c>
      <c r="J134" t="s">
        <v>4450</v>
      </c>
      <c r="K134" t="s">
        <v>4450</v>
      </c>
      <c r="L134" t="s">
        <v>3667</v>
      </c>
      <c r="M134" t="s">
        <v>3667</v>
      </c>
      <c r="N134" t="s">
        <v>3667</v>
      </c>
      <c r="O134" t="s">
        <v>3905</v>
      </c>
      <c r="P134" t="s">
        <v>4451</v>
      </c>
      <c r="Q134" t="s">
        <v>3727</v>
      </c>
      <c r="R134" t="s">
        <v>3668</v>
      </c>
      <c r="S134" t="s">
        <v>3667</v>
      </c>
      <c r="T134" t="s">
        <v>3667</v>
      </c>
      <c r="U134" t="s">
        <v>3667</v>
      </c>
      <c r="V134" t="s">
        <v>3667</v>
      </c>
      <c r="W134" t="s">
        <v>1735</v>
      </c>
      <c r="X134" t="s">
        <v>3676</v>
      </c>
      <c r="Y134" t="s">
        <v>3676</v>
      </c>
      <c r="Z134" t="s">
        <v>3676</v>
      </c>
      <c r="AA134" t="s">
        <v>3676</v>
      </c>
      <c r="AB134" t="s">
        <v>3274</v>
      </c>
      <c r="AC134" t="s">
        <v>3676</v>
      </c>
      <c r="AD134" t="s">
        <v>3676</v>
      </c>
      <c r="AE134" t="s">
        <v>3676</v>
      </c>
      <c r="AF134" t="s">
        <v>3676</v>
      </c>
      <c r="AG134" t="s">
        <v>3676</v>
      </c>
      <c r="AH134" t="s">
        <v>3676</v>
      </c>
      <c r="AI134" t="s">
        <v>3676</v>
      </c>
      <c r="AJ134" t="s">
        <v>3676</v>
      </c>
      <c r="AK134" t="s">
        <v>3676</v>
      </c>
      <c r="AL134" t="s">
        <v>3667</v>
      </c>
      <c r="AM134" t="s">
        <v>3667</v>
      </c>
      <c r="AN134" t="s">
        <v>3667</v>
      </c>
      <c r="AO134" t="s">
        <v>898</v>
      </c>
      <c r="AP134" t="s">
        <v>3676</v>
      </c>
      <c r="AQ134" t="s">
        <v>3676</v>
      </c>
      <c r="AR134" t="s">
        <v>898</v>
      </c>
      <c r="AS134" t="s">
        <v>3676</v>
      </c>
      <c r="AT134" t="s">
        <v>3676</v>
      </c>
      <c r="AU134" t="s">
        <v>3676</v>
      </c>
      <c r="AV134" t="s">
        <v>3676</v>
      </c>
      <c r="AW134" t="s">
        <v>3676</v>
      </c>
      <c r="AX134" t="s">
        <v>4452</v>
      </c>
    </row>
    <row r="135" spans="1:50" x14ac:dyDescent="0.25">
      <c r="A135" t="s">
        <v>4437</v>
      </c>
      <c r="B135" t="s">
        <v>4453</v>
      </c>
      <c r="C135" t="s">
        <v>4439</v>
      </c>
      <c r="D135" t="s">
        <v>3665</v>
      </c>
      <c r="E135" t="s">
        <v>3666</v>
      </c>
      <c r="F135" t="s">
        <v>3667</v>
      </c>
      <c r="G135" t="s">
        <v>3668</v>
      </c>
      <c r="H135" t="s">
        <v>3982</v>
      </c>
      <c r="I135" t="s">
        <v>3822</v>
      </c>
      <c r="J135" t="s">
        <v>4266</v>
      </c>
      <c r="K135" t="s">
        <v>4266</v>
      </c>
      <c r="L135" t="s">
        <v>3667</v>
      </c>
      <c r="M135" t="s">
        <v>3667</v>
      </c>
      <c r="N135" t="s">
        <v>3667</v>
      </c>
      <c r="O135" t="s">
        <v>4385</v>
      </c>
      <c r="P135" t="s">
        <v>3722</v>
      </c>
      <c r="Q135" t="s">
        <v>4454</v>
      </c>
      <c r="R135" t="s">
        <v>3668</v>
      </c>
      <c r="S135" t="s">
        <v>3667</v>
      </c>
      <c r="T135" t="s">
        <v>3667</v>
      </c>
      <c r="U135" t="s">
        <v>3667</v>
      </c>
      <c r="V135" t="s">
        <v>3667</v>
      </c>
      <c r="W135" t="s">
        <v>84</v>
      </c>
      <c r="X135" t="s">
        <v>3676</v>
      </c>
      <c r="Y135" t="s">
        <v>3676</v>
      </c>
      <c r="Z135" t="s">
        <v>3676</v>
      </c>
      <c r="AA135" t="s">
        <v>3676</v>
      </c>
      <c r="AB135" t="s">
        <v>3274</v>
      </c>
      <c r="AC135" t="s">
        <v>3676</v>
      </c>
      <c r="AD135" t="s">
        <v>3676</v>
      </c>
      <c r="AE135" t="s">
        <v>3676</v>
      </c>
      <c r="AF135" t="s">
        <v>3676</v>
      </c>
      <c r="AG135" t="s">
        <v>3676</v>
      </c>
      <c r="AH135" t="s">
        <v>3676</v>
      </c>
      <c r="AI135" t="s">
        <v>3676</v>
      </c>
      <c r="AJ135" t="s">
        <v>3676</v>
      </c>
      <c r="AK135" t="s">
        <v>3676</v>
      </c>
      <c r="AL135" t="s">
        <v>3667</v>
      </c>
      <c r="AM135" t="s">
        <v>3667</v>
      </c>
      <c r="AN135" t="s">
        <v>3667</v>
      </c>
      <c r="AO135" t="s">
        <v>375</v>
      </c>
      <c r="AP135" t="s">
        <v>3676</v>
      </c>
      <c r="AQ135" t="s">
        <v>3676</v>
      </c>
      <c r="AR135" t="s">
        <v>375</v>
      </c>
      <c r="AS135" t="s">
        <v>3676</v>
      </c>
      <c r="AT135" t="s">
        <v>3676</v>
      </c>
      <c r="AU135" t="s">
        <v>3676</v>
      </c>
      <c r="AV135" t="s">
        <v>3676</v>
      </c>
      <c r="AW135" t="s">
        <v>3676</v>
      </c>
      <c r="AX135" t="s">
        <v>4455</v>
      </c>
    </row>
    <row r="136" spans="1:50" x14ac:dyDescent="0.25">
      <c r="A136" t="s">
        <v>4437</v>
      </c>
      <c r="B136" t="s">
        <v>4456</v>
      </c>
      <c r="C136" t="s">
        <v>4439</v>
      </c>
      <c r="D136" t="s">
        <v>3665</v>
      </c>
      <c r="E136" t="s">
        <v>3666</v>
      </c>
      <c r="F136" t="s">
        <v>3667</v>
      </c>
      <c r="G136" t="s">
        <v>3685</v>
      </c>
      <c r="H136" t="s">
        <v>3982</v>
      </c>
      <c r="I136" t="s">
        <v>3670</v>
      </c>
      <c r="J136" t="s">
        <v>4457</v>
      </c>
      <c r="K136" t="s">
        <v>4457</v>
      </c>
      <c r="L136" t="s">
        <v>3667</v>
      </c>
      <c r="M136" t="s">
        <v>3667</v>
      </c>
      <c r="N136" t="s">
        <v>3667</v>
      </c>
      <c r="O136" t="s">
        <v>4458</v>
      </c>
      <c r="P136" t="s">
        <v>4116</v>
      </c>
      <c r="Q136" t="s">
        <v>4459</v>
      </c>
      <c r="R136" t="s">
        <v>3668</v>
      </c>
      <c r="S136" t="s">
        <v>3667</v>
      </c>
      <c r="T136" t="s">
        <v>3667</v>
      </c>
      <c r="U136" t="s">
        <v>3667</v>
      </c>
      <c r="V136" t="s">
        <v>3667</v>
      </c>
      <c r="W136" t="s">
        <v>195</v>
      </c>
      <c r="X136" t="s">
        <v>3676</v>
      </c>
      <c r="Y136" t="s">
        <v>3676</v>
      </c>
      <c r="Z136" t="s">
        <v>3676</v>
      </c>
      <c r="AA136" t="s">
        <v>3676</v>
      </c>
      <c r="AB136" t="s">
        <v>3676</v>
      </c>
      <c r="AC136" t="s">
        <v>3676</v>
      </c>
      <c r="AD136" t="s">
        <v>3676</v>
      </c>
      <c r="AE136" t="s">
        <v>3676</v>
      </c>
      <c r="AF136" t="s">
        <v>3676</v>
      </c>
      <c r="AG136" t="s">
        <v>3676</v>
      </c>
      <c r="AH136" t="s">
        <v>3676</v>
      </c>
      <c r="AI136" t="s">
        <v>3676</v>
      </c>
      <c r="AJ136" t="s">
        <v>3676</v>
      </c>
      <c r="AK136" t="s">
        <v>3676</v>
      </c>
      <c r="AL136" t="s">
        <v>3667</v>
      </c>
      <c r="AM136" t="s">
        <v>3667</v>
      </c>
      <c r="AN136" t="s">
        <v>3667</v>
      </c>
      <c r="AO136" t="s">
        <v>195</v>
      </c>
      <c r="AP136" t="s">
        <v>3676</v>
      </c>
      <c r="AQ136" t="s">
        <v>3676</v>
      </c>
      <c r="AR136" t="s">
        <v>195</v>
      </c>
      <c r="AS136" t="s">
        <v>3676</v>
      </c>
      <c r="AT136" t="s">
        <v>3676</v>
      </c>
      <c r="AU136" t="s">
        <v>3676</v>
      </c>
      <c r="AV136" t="s">
        <v>3676</v>
      </c>
      <c r="AW136" t="s">
        <v>3676</v>
      </c>
      <c r="AX136" t="s">
        <v>4460</v>
      </c>
    </row>
    <row r="137" spans="1:50" x14ac:dyDescent="0.25">
      <c r="A137" t="s">
        <v>4437</v>
      </c>
      <c r="B137" t="s">
        <v>4461</v>
      </c>
      <c r="C137" t="s">
        <v>4439</v>
      </c>
      <c r="D137" t="s">
        <v>3665</v>
      </c>
      <c r="E137" t="s">
        <v>3734</v>
      </c>
      <c r="F137" t="s">
        <v>3667</v>
      </c>
      <c r="G137" t="s">
        <v>3668</v>
      </c>
      <c r="H137" t="s">
        <v>3982</v>
      </c>
      <c r="I137" t="s">
        <v>3670</v>
      </c>
      <c r="J137" t="s">
        <v>4462</v>
      </c>
      <c r="K137" t="s">
        <v>4462</v>
      </c>
      <c r="L137" t="s">
        <v>3667</v>
      </c>
      <c r="M137" t="s">
        <v>3667</v>
      </c>
      <c r="N137" t="s">
        <v>3667</v>
      </c>
      <c r="O137" t="s">
        <v>4463</v>
      </c>
      <c r="P137" t="s">
        <v>4464</v>
      </c>
      <c r="Q137" t="s">
        <v>4465</v>
      </c>
      <c r="R137" t="s">
        <v>3668</v>
      </c>
      <c r="S137" t="s">
        <v>3667</v>
      </c>
      <c r="T137" t="s">
        <v>3667</v>
      </c>
      <c r="U137" t="s">
        <v>3667</v>
      </c>
      <c r="V137" t="s">
        <v>3667</v>
      </c>
      <c r="W137" t="s">
        <v>84</v>
      </c>
      <c r="X137" t="s">
        <v>3676</v>
      </c>
      <c r="Y137" t="s">
        <v>3676</v>
      </c>
      <c r="Z137" t="s">
        <v>3676</v>
      </c>
      <c r="AA137" t="s">
        <v>3676</v>
      </c>
      <c r="AB137" t="s">
        <v>3274</v>
      </c>
      <c r="AC137" t="s">
        <v>3676</v>
      </c>
      <c r="AD137" t="s">
        <v>3676</v>
      </c>
      <c r="AE137" t="s">
        <v>3676</v>
      </c>
      <c r="AF137" t="s">
        <v>3676</v>
      </c>
      <c r="AG137" t="s">
        <v>3676</v>
      </c>
      <c r="AH137" t="s">
        <v>3676</v>
      </c>
      <c r="AI137" t="s">
        <v>3676</v>
      </c>
      <c r="AJ137" t="s">
        <v>3676</v>
      </c>
      <c r="AK137" t="s">
        <v>3676</v>
      </c>
      <c r="AL137" t="s">
        <v>3667</v>
      </c>
      <c r="AM137" t="s">
        <v>3667</v>
      </c>
      <c r="AN137" t="s">
        <v>3667</v>
      </c>
      <c r="AO137" t="s">
        <v>3894</v>
      </c>
      <c r="AP137" t="s">
        <v>3676</v>
      </c>
      <c r="AQ137" t="s">
        <v>3676</v>
      </c>
      <c r="AR137" t="s">
        <v>3894</v>
      </c>
      <c r="AS137" t="s">
        <v>3676</v>
      </c>
      <c r="AT137" t="s">
        <v>3676</v>
      </c>
      <c r="AU137" t="s">
        <v>3676</v>
      </c>
      <c r="AV137" t="s">
        <v>3676</v>
      </c>
      <c r="AW137" t="s">
        <v>3676</v>
      </c>
      <c r="AX137" t="s">
        <v>4466</v>
      </c>
    </row>
    <row r="138" spans="1:50" x14ac:dyDescent="0.25">
      <c r="A138" t="s">
        <v>4437</v>
      </c>
      <c r="B138" t="s">
        <v>4467</v>
      </c>
      <c r="C138" t="s">
        <v>4439</v>
      </c>
      <c r="D138" t="s">
        <v>3665</v>
      </c>
      <c r="E138" t="s">
        <v>3666</v>
      </c>
      <c r="F138" t="s">
        <v>3667</v>
      </c>
      <c r="G138" t="s">
        <v>3685</v>
      </c>
      <c r="H138" t="s">
        <v>3982</v>
      </c>
      <c r="I138" t="s">
        <v>3670</v>
      </c>
      <c r="J138" t="s">
        <v>4280</v>
      </c>
      <c r="K138" t="s">
        <v>4280</v>
      </c>
      <c r="L138" t="s">
        <v>3667</v>
      </c>
      <c r="M138" t="s">
        <v>3667</v>
      </c>
      <c r="N138" t="s">
        <v>3667</v>
      </c>
      <c r="O138" t="s">
        <v>4468</v>
      </c>
      <c r="P138" t="s">
        <v>4459</v>
      </c>
      <c r="Q138" t="s">
        <v>4000</v>
      </c>
      <c r="R138" t="s">
        <v>3668</v>
      </c>
      <c r="S138" t="s">
        <v>3667</v>
      </c>
      <c r="T138" t="s">
        <v>3667</v>
      </c>
      <c r="U138" t="s">
        <v>3667</v>
      </c>
      <c r="V138" t="s">
        <v>3667</v>
      </c>
      <c r="W138" t="s">
        <v>4469</v>
      </c>
      <c r="X138" t="s">
        <v>3676</v>
      </c>
      <c r="Y138" t="s">
        <v>3676</v>
      </c>
      <c r="Z138" t="s">
        <v>3676</v>
      </c>
      <c r="AA138" t="s">
        <v>3676</v>
      </c>
      <c r="AB138" t="s">
        <v>3676</v>
      </c>
      <c r="AC138" t="s">
        <v>3676</v>
      </c>
      <c r="AD138" t="s">
        <v>3676</v>
      </c>
      <c r="AE138" t="s">
        <v>3676</v>
      </c>
      <c r="AF138" t="s">
        <v>3676</v>
      </c>
      <c r="AG138" t="s">
        <v>3676</v>
      </c>
      <c r="AH138" t="s">
        <v>3676</v>
      </c>
      <c r="AI138" t="s">
        <v>3676</v>
      </c>
      <c r="AJ138" t="s">
        <v>3676</v>
      </c>
      <c r="AK138" t="s">
        <v>3676</v>
      </c>
      <c r="AL138" t="s">
        <v>3667</v>
      </c>
      <c r="AM138" t="s">
        <v>3667</v>
      </c>
      <c r="AN138" t="s">
        <v>3667</v>
      </c>
      <c r="AO138" t="s">
        <v>4469</v>
      </c>
      <c r="AP138" t="s">
        <v>3676</v>
      </c>
      <c r="AQ138" t="s">
        <v>3676</v>
      </c>
      <c r="AR138" t="s">
        <v>4469</v>
      </c>
      <c r="AS138" t="s">
        <v>3676</v>
      </c>
      <c r="AT138" t="s">
        <v>3676</v>
      </c>
      <c r="AU138" t="s">
        <v>3676</v>
      </c>
      <c r="AV138" t="s">
        <v>3676</v>
      </c>
      <c r="AW138" t="s">
        <v>3676</v>
      </c>
      <c r="AX138" t="s">
        <v>4470</v>
      </c>
    </row>
    <row r="139" spans="1:50" x14ac:dyDescent="0.25">
      <c r="A139" t="s">
        <v>4437</v>
      </c>
      <c r="B139" t="s">
        <v>4471</v>
      </c>
      <c r="C139" t="s">
        <v>4439</v>
      </c>
      <c r="D139" t="s">
        <v>3665</v>
      </c>
      <c r="E139" t="s">
        <v>3734</v>
      </c>
      <c r="F139" t="s">
        <v>3667</v>
      </c>
      <c r="G139" t="s">
        <v>3668</v>
      </c>
      <c r="H139" t="s">
        <v>3982</v>
      </c>
      <c r="I139" t="s">
        <v>3670</v>
      </c>
      <c r="J139" t="s">
        <v>4472</v>
      </c>
      <c r="K139" t="s">
        <v>4472</v>
      </c>
      <c r="L139" t="s">
        <v>3667</v>
      </c>
      <c r="M139" t="s">
        <v>3667</v>
      </c>
      <c r="N139" t="s">
        <v>3667</v>
      </c>
      <c r="O139" t="s">
        <v>4473</v>
      </c>
      <c r="P139" t="s">
        <v>4474</v>
      </c>
      <c r="Q139" t="s">
        <v>4475</v>
      </c>
      <c r="R139" t="s">
        <v>3668</v>
      </c>
      <c r="S139" t="s">
        <v>3667</v>
      </c>
      <c r="T139" t="s">
        <v>3667</v>
      </c>
      <c r="U139" t="s">
        <v>3667</v>
      </c>
      <c r="V139" t="s">
        <v>3667</v>
      </c>
      <c r="W139" t="s">
        <v>1930</v>
      </c>
      <c r="X139" t="s">
        <v>3676</v>
      </c>
      <c r="Y139" t="s">
        <v>3676</v>
      </c>
      <c r="Z139" t="s">
        <v>3676</v>
      </c>
      <c r="AA139" t="s">
        <v>3676</v>
      </c>
      <c r="AB139" t="s">
        <v>3274</v>
      </c>
      <c r="AC139" t="s">
        <v>3676</v>
      </c>
      <c r="AD139" t="s">
        <v>3676</v>
      </c>
      <c r="AE139" t="s">
        <v>3676</v>
      </c>
      <c r="AF139" t="s">
        <v>3676</v>
      </c>
      <c r="AG139" t="s">
        <v>3676</v>
      </c>
      <c r="AH139" t="s">
        <v>3676</v>
      </c>
      <c r="AI139" t="s">
        <v>3676</v>
      </c>
      <c r="AJ139" t="s">
        <v>3676</v>
      </c>
      <c r="AK139" t="s">
        <v>3676</v>
      </c>
      <c r="AL139" t="s">
        <v>3667</v>
      </c>
      <c r="AM139" t="s">
        <v>3667</v>
      </c>
      <c r="AN139" t="s">
        <v>3667</v>
      </c>
      <c r="AO139" t="s">
        <v>4476</v>
      </c>
      <c r="AP139" t="s">
        <v>3676</v>
      </c>
      <c r="AQ139" t="s">
        <v>3676</v>
      </c>
      <c r="AR139" t="s">
        <v>4476</v>
      </c>
      <c r="AS139" t="s">
        <v>3676</v>
      </c>
      <c r="AT139" t="s">
        <v>3676</v>
      </c>
      <c r="AU139" t="s">
        <v>3676</v>
      </c>
      <c r="AV139" t="s">
        <v>3676</v>
      </c>
      <c r="AW139" t="s">
        <v>3676</v>
      </c>
      <c r="AX139" t="s">
        <v>4477</v>
      </c>
    </row>
    <row r="140" spans="1:50" x14ac:dyDescent="0.25">
      <c r="A140" t="s">
        <v>4437</v>
      </c>
      <c r="B140" t="s">
        <v>4478</v>
      </c>
      <c r="C140" t="s">
        <v>4439</v>
      </c>
      <c r="D140" t="s">
        <v>3665</v>
      </c>
      <c r="E140" t="s">
        <v>3666</v>
      </c>
      <c r="F140" t="s">
        <v>3667</v>
      </c>
      <c r="G140" t="s">
        <v>3668</v>
      </c>
      <c r="H140" t="s">
        <v>3982</v>
      </c>
      <c r="I140" t="s">
        <v>3670</v>
      </c>
      <c r="J140" t="s">
        <v>4479</v>
      </c>
      <c r="K140" t="s">
        <v>4480</v>
      </c>
      <c r="L140" t="s">
        <v>3667</v>
      </c>
      <c r="M140" t="s">
        <v>3667</v>
      </c>
      <c r="N140" t="s">
        <v>3667</v>
      </c>
      <c r="O140" t="s">
        <v>3850</v>
      </c>
      <c r="P140" t="s">
        <v>4481</v>
      </c>
      <c r="Q140" t="s">
        <v>4322</v>
      </c>
      <c r="R140" t="s">
        <v>3668</v>
      </c>
      <c r="S140" t="s">
        <v>3667</v>
      </c>
      <c r="T140" t="s">
        <v>3667</v>
      </c>
      <c r="U140" t="s">
        <v>3667</v>
      </c>
      <c r="V140" t="s">
        <v>3667</v>
      </c>
      <c r="W140" t="s">
        <v>84</v>
      </c>
      <c r="X140" t="s">
        <v>3676</v>
      </c>
      <c r="Y140" t="s">
        <v>3676</v>
      </c>
      <c r="Z140" t="s">
        <v>3676</v>
      </c>
      <c r="AA140" t="s">
        <v>3676</v>
      </c>
      <c r="AB140" t="s">
        <v>3274</v>
      </c>
      <c r="AC140" t="s">
        <v>3676</v>
      </c>
      <c r="AD140" t="s">
        <v>3676</v>
      </c>
      <c r="AE140" t="s">
        <v>3676</v>
      </c>
      <c r="AF140" t="s">
        <v>3676</v>
      </c>
      <c r="AG140" t="s">
        <v>3676</v>
      </c>
      <c r="AH140" t="s">
        <v>3676</v>
      </c>
      <c r="AI140" t="s">
        <v>3676</v>
      </c>
      <c r="AJ140" t="s">
        <v>3676</v>
      </c>
      <c r="AK140" t="s">
        <v>3676</v>
      </c>
      <c r="AL140" t="s">
        <v>3667</v>
      </c>
      <c r="AM140" t="s">
        <v>3667</v>
      </c>
      <c r="AN140" t="s">
        <v>3667</v>
      </c>
      <c r="AO140" t="s">
        <v>375</v>
      </c>
      <c r="AP140" t="s">
        <v>3676</v>
      </c>
      <c r="AQ140" t="s">
        <v>3676</v>
      </c>
      <c r="AR140" t="s">
        <v>375</v>
      </c>
      <c r="AS140" t="s">
        <v>3676</v>
      </c>
      <c r="AT140" t="s">
        <v>3676</v>
      </c>
      <c r="AU140" t="s">
        <v>3676</v>
      </c>
      <c r="AV140" t="s">
        <v>3676</v>
      </c>
      <c r="AW140" t="s">
        <v>3676</v>
      </c>
      <c r="AX140" t="s">
        <v>4482</v>
      </c>
    </row>
    <row r="141" spans="1:50" x14ac:dyDescent="0.25">
      <c r="A141" t="s">
        <v>4437</v>
      </c>
      <c r="B141" t="s">
        <v>4483</v>
      </c>
      <c r="C141" t="s">
        <v>4439</v>
      </c>
      <c r="D141" t="s">
        <v>3665</v>
      </c>
      <c r="E141" t="s">
        <v>3666</v>
      </c>
      <c r="F141" t="s">
        <v>3667</v>
      </c>
      <c r="G141" t="s">
        <v>3685</v>
      </c>
      <c r="H141" t="s">
        <v>3982</v>
      </c>
      <c r="I141" t="s">
        <v>3670</v>
      </c>
      <c r="J141" t="s">
        <v>4484</v>
      </c>
      <c r="K141" t="s">
        <v>4484</v>
      </c>
      <c r="L141" t="s">
        <v>3667</v>
      </c>
      <c r="M141" t="s">
        <v>3667</v>
      </c>
      <c r="N141" t="s">
        <v>3667</v>
      </c>
      <c r="O141" t="s">
        <v>3866</v>
      </c>
      <c r="P141" t="s">
        <v>4485</v>
      </c>
      <c r="Q141" t="s">
        <v>4331</v>
      </c>
      <c r="R141" t="s">
        <v>3668</v>
      </c>
      <c r="S141" t="s">
        <v>3667</v>
      </c>
      <c r="T141" t="s">
        <v>3667</v>
      </c>
      <c r="U141" t="s">
        <v>3667</v>
      </c>
      <c r="V141" t="s">
        <v>3667</v>
      </c>
      <c r="W141" t="s">
        <v>922</v>
      </c>
      <c r="X141" t="s">
        <v>3676</v>
      </c>
      <c r="Y141" t="s">
        <v>3676</v>
      </c>
      <c r="Z141" t="s">
        <v>3676</v>
      </c>
      <c r="AA141" t="s">
        <v>3676</v>
      </c>
      <c r="AB141" t="s">
        <v>3676</v>
      </c>
      <c r="AC141" t="s">
        <v>3676</v>
      </c>
      <c r="AD141" t="s">
        <v>3676</v>
      </c>
      <c r="AE141" t="s">
        <v>3676</v>
      </c>
      <c r="AF141" t="s">
        <v>3676</v>
      </c>
      <c r="AG141" t="s">
        <v>3676</v>
      </c>
      <c r="AH141" t="s">
        <v>3676</v>
      </c>
      <c r="AI141" t="s">
        <v>3676</v>
      </c>
      <c r="AJ141" t="s">
        <v>3676</v>
      </c>
      <c r="AK141" t="s">
        <v>3676</v>
      </c>
      <c r="AL141" t="s">
        <v>3667</v>
      </c>
      <c r="AM141" t="s">
        <v>3667</v>
      </c>
      <c r="AN141" t="s">
        <v>3667</v>
      </c>
      <c r="AO141" t="s">
        <v>922</v>
      </c>
      <c r="AP141" t="s">
        <v>3676</v>
      </c>
      <c r="AQ141" t="s">
        <v>3676</v>
      </c>
      <c r="AR141" t="s">
        <v>922</v>
      </c>
      <c r="AS141" t="s">
        <v>3676</v>
      </c>
      <c r="AT141" t="s">
        <v>3676</v>
      </c>
      <c r="AU141" t="s">
        <v>3676</v>
      </c>
      <c r="AV141" t="s">
        <v>3676</v>
      </c>
      <c r="AW141" t="s">
        <v>3676</v>
      </c>
      <c r="AX141" t="s">
        <v>4486</v>
      </c>
    </row>
    <row r="142" spans="1:50" x14ac:dyDescent="0.25">
      <c r="A142" t="s">
        <v>4487</v>
      </c>
      <c r="B142" t="s">
        <v>4488</v>
      </c>
      <c r="C142" t="s">
        <v>4489</v>
      </c>
      <c r="D142" t="s">
        <v>3665</v>
      </c>
      <c r="E142" t="s">
        <v>3666</v>
      </c>
      <c r="F142" t="s">
        <v>3667</v>
      </c>
      <c r="G142" t="s">
        <v>3685</v>
      </c>
      <c r="H142" t="s">
        <v>4173</v>
      </c>
      <c r="I142" t="s">
        <v>3670</v>
      </c>
      <c r="J142" t="s">
        <v>4490</v>
      </c>
      <c r="K142" t="s">
        <v>4490</v>
      </c>
      <c r="L142" t="s">
        <v>3667</v>
      </c>
      <c r="M142" t="s">
        <v>3667</v>
      </c>
      <c r="N142" t="s">
        <v>3667</v>
      </c>
      <c r="O142" t="s">
        <v>4491</v>
      </c>
      <c r="P142" t="s">
        <v>4492</v>
      </c>
      <c r="Q142" t="s">
        <v>4084</v>
      </c>
      <c r="R142" t="s">
        <v>3668</v>
      </c>
      <c r="S142" t="s">
        <v>3667</v>
      </c>
      <c r="T142" t="s">
        <v>3667</v>
      </c>
      <c r="U142" t="s">
        <v>3667</v>
      </c>
      <c r="V142" t="s">
        <v>3667</v>
      </c>
      <c r="W142" t="s">
        <v>160</v>
      </c>
      <c r="X142" t="s">
        <v>3676</v>
      </c>
      <c r="Y142" t="s">
        <v>3676</v>
      </c>
      <c r="Z142" t="s">
        <v>3676</v>
      </c>
      <c r="AA142" t="s">
        <v>3676</v>
      </c>
      <c r="AB142" t="s">
        <v>3676</v>
      </c>
      <c r="AC142" t="s">
        <v>3676</v>
      </c>
      <c r="AD142" t="s">
        <v>3676</v>
      </c>
      <c r="AE142" t="s">
        <v>3676</v>
      </c>
      <c r="AF142" t="s">
        <v>3676</v>
      </c>
      <c r="AG142" t="s">
        <v>3676</v>
      </c>
      <c r="AH142" t="s">
        <v>3676</v>
      </c>
      <c r="AI142" t="s">
        <v>3676</v>
      </c>
      <c r="AJ142" t="s">
        <v>3676</v>
      </c>
      <c r="AK142" t="s">
        <v>3676</v>
      </c>
      <c r="AL142" t="s">
        <v>3667</v>
      </c>
      <c r="AM142" t="s">
        <v>3667</v>
      </c>
      <c r="AN142" t="s">
        <v>3667</v>
      </c>
      <c r="AO142" t="s">
        <v>160</v>
      </c>
      <c r="AP142" t="s">
        <v>3676</v>
      </c>
      <c r="AQ142" t="s">
        <v>3676</v>
      </c>
      <c r="AR142" t="s">
        <v>160</v>
      </c>
      <c r="AS142" t="s">
        <v>3676</v>
      </c>
      <c r="AT142" t="s">
        <v>3676</v>
      </c>
      <c r="AU142" t="s">
        <v>3676</v>
      </c>
      <c r="AV142" t="s">
        <v>3676</v>
      </c>
      <c r="AW142" t="s">
        <v>3676</v>
      </c>
      <c r="AX142" t="s">
        <v>4493</v>
      </c>
    </row>
    <row r="143" spans="1:50" x14ac:dyDescent="0.25">
      <c r="A143" t="s">
        <v>4487</v>
      </c>
      <c r="B143" t="s">
        <v>4494</v>
      </c>
      <c r="C143" t="s">
        <v>4489</v>
      </c>
      <c r="D143" t="s">
        <v>3665</v>
      </c>
      <c r="E143" t="s">
        <v>3734</v>
      </c>
      <c r="F143" t="s">
        <v>3667</v>
      </c>
      <c r="G143" t="s">
        <v>3668</v>
      </c>
      <c r="H143" t="s">
        <v>4173</v>
      </c>
      <c r="I143" t="s">
        <v>3670</v>
      </c>
      <c r="J143" t="s">
        <v>4322</v>
      </c>
      <c r="K143" t="s">
        <v>4495</v>
      </c>
      <c r="L143" t="s">
        <v>3667</v>
      </c>
      <c r="M143" t="s">
        <v>3667</v>
      </c>
      <c r="N143" t="s">
        <v>3667</v>
      </c>
      <c r="O143" t="s">
        <v>3764</v>
      </c>
      <c r="P143" t="s">
        <v>3760</v>
      </c>
      <c r="Q143" t="s">
        <v>4496</v>
      </c>
      <c r="R143" t="s">
        <v>3668</v>
      </c>
      <c r="S143" t="s">
        <v>3667</v>
      </c>
      <c r="T143" t="s">
        <v>3667</v>
      </c>
      <c r="U143" t="s">
        <v>3667</v>
      </c>
      <c r="V143" t="s">
        <v>3667</v>
      </c>
      <c r="W143" t="s">
        <v>197</v>
      </c>
      <c r="X143" t="s">
        <v>3676</v>
      </c>
      <c r="Y143" t="s">
        <v>3676</v>
      </c>
      <c r="Z143" t="s">
        <v>3676</v>
      </c>
      <c r="AA143" t="s">
        <v>3676</v>
      </c>
      <c r="AB143" t="s">
        <v>3274</v>
      </c>
      <c r="AC143" t="s">
        <v>3676</v>
      </c>
      <c r="AD143" t="s">
        <v>3676</v>
      </c>
      <c r="AE143" t="s">
        <v>3676</v>
      </c>
      <c r="AF143" t="s">
        <v>3676</v>
      </c>
      <c r="AG143" t="s">
        <v>3676</v>
      </c>
      <c r="AH143" t="s">
        <v>3676</v>
      </c>
      <c r="AI143" t="s">
        <v>3676</v>
      </c>
      <c r="AJ143" t="s">
        <v>3676</v>
      </c>
      <c r="AK143" t="s">
        <v>3676</v>
      </c>
      <c r="AL143" t="s">
        <v>3667</v>
      </c>
      <c r="AM143" t="s">
        <v>3667</v>
      </c>
      <c r="AN143" t="s">
        <v>3667</v>
      </c>
      <c r="AO143" t="s">
        <v>1602</v>
      </c>
      <c r="AP143" t="s">
        <v>197</v>
      </c>
      <c r="AQ143" t="s">
        <v>3676</v>
      </c>
      <c r="AR143" t="s">
        <v>4497</v>
      </c>
      <c r="AS143" t="s">
        <v>3676</v>
      </c>
      <c r="AT143" t="s">
        <v>3676</v>
      </c>
      <c r="AU143" t="s">
        <v>3676</v>
      </c>
      <c r="AV143" t="s">
        <v>3676</v>
      </c>
      <c r="AW143" t="s">
        <v>3676</v>
      </c>
      <c r="AX143" t="s">
        <v>4498</v>
      </c>
    </row>
    <row r="144" spans="1:50" x14ac:dyDescent="0.25">
      <c r="A144" t="s">
        <v>4487</v>
      </c>
      <c r="B144" t="s">
        <v>4499</v>
      </c>
      <c r="C144" t="s">
        <v>4489</v>
      </c>
      <c r="D144" t="s">
        <v>3665</v>
      </c>
      <c r="E144" t="s">
        <v>3734</v>
      </c>
      <c r="F144" t="s">
        <v>3667</v>
      </c>
      <c r="G144" t="s">
        <v>3668</v>
      </c>
      <c r="H144" t="s">
        <v>4173</v>
      </c>
      <c r="I144" t="s">
        <v>3670</v>
      </c>
      <c r="J144" t="s">
        <v>4326</v>
      </c>
      <c r="K144" t="s">
        <v>4326</v>
      </c>
      <c r="L144" t="s">
        <v>3667</v>
      </c>
      <c r="M144" t="s">
        <v>3667</v>
      </c>
      <c r="N144" t="s">
        <v>3667</v>
      </c>
      <c r="O144" t="s">
        <v>4420</v>
      </c>
      <c r="P144" t="s">
        <v>4500</v>
      </c>
      <c r="Q144" t="s">
        <v>4501</v>
      </c>
      <c r="R144" t="s">
        <v>3668</v>
      </c>
      <c r="S144" t="s">
        <v>3667</v>
      </c>
      <c r="T144" t="s">
        <v>3667</v>
      </c>
      <c r="U144" t="s">
        <v>3667</v>
      </c>
      <c r="V144" t="s">
        <v>3667</v>
      </c>
      <c r="W144" t="s">
        <v>160</v>
      </c>
      <c r="X144" t="s">
        <v>3676</v>
      </c>
      <c r="Y144" t="s">
        <v>3676</v>
      </c>
      <c r="Z144" t="s">
        <v>3676</v>
      </c>
      <c r="AA144" t="s">
        <v>3676</v>
      </c>
      <c r="AB144" t="s">
        <v>3274</v>
      </c>
      <c r="AC144" t="s">
        <v>3676</v>
      </c>
      <c r="AD144" t="s">
        <v>3676</v>
      </c>
      <c r="AE144" t="s">
        <v>3676</v>
      </c>
      <c r="AF144" t="s">
        <v>3676</v>
      </c>
      <c r="AG144" t="s">
        <v>3676</v>
      </c>
      <c r="AH144" t="s">
        <v>3676</v>
      </c>
      <c r="AI144" t="s">
        <v>3676</v>
      </c>
      <c r="AJ144" t="s">
        <v>3676</v>
      </c>
      <c r="AK144" t="s">
        <v>3676</v>
      </c>
      <c r="AL144" t="s">
        <v>3667</v>
      </c>
      <c r="AM144" t="s">
        <v>3667</v>
      </c>
      <c r="AN144" t="s">
        <v>3667</v>
      </c>
      <c r="AO144" t="s">
        <v>4502</v>
      </c>
      <c r="AP144" t="s">
        <v>160</v>
      </c>
      <c r="AQ144" t="s">
        <v>3676</v>
      </c>
      <c r="AR144" t="s">
        <v>4503</v>
      </c>
      <c r="AS144" t="s">
        <v>3676</v>
      </c>
      <c r="AT144" t="s">
        <v>3676</v>
      </c>
      <c r="AU144" t="s">
        <v>3676</v>
      </c>
      <c r="AV144" t="s">
        <v>3676</v>
      </c>
      <c r="AW144" t="s">
        <v>3676</v>
      </c>
      <c r="AX144" t="s">
        <v>4504</v>
      </c>
    </row>
    <row r="145" spans="1:50" x14ac:dyDescent="0.25">
      <c r="A145" t="s">
        <v>4487</v>
      </c>
      <c r="B145" t="s">
        <v>4505</v>
      </c>
      <c r="C145" t="s">
        <v>4489</v>
      </c>
      <c r="D145" t="s">
        <v>3665</v>
      </c>
      <c r="E145" t="s">
        <v>3666</v>
      </c>
      <c r="F145" t="s">
        <v>3667</v>
      </c>
      <c r="G145" t="s">
        <v>3685</v>
      </c>
      <c r="H145" t="s">
        <v>4173</v>
      </c>
      <c r="I145" t="s">
        <v>3670</v>
      </c>
      <c r="J145" t="s">
        <v>4506</v>
      </c>
      <c r="K145" t="s">
        <v>4506</v>
      </c>
      <c r="L145" t="s">
        <v>3667</v>
      </c>
      <c r="M145" t="s">
        <v>3667</v>
      </c>
      <c r="N145" t="s">
        <v>3667</v>
      </c>
      <c r="O145" t="s">
        <v>3783</v>
      </c>
      <c r="P145" t="s">
        <v>4507</v>
      </c>
      <c r="Q145" t="s">
        <v>4508</v>
      </c>
      <c r="R145" t="s">
        <v>3668</v>
      </c>
      <c r="S145" t="s">
        <v>3667</v>
      </c>
      <c r="T145" t="s">
        <v>3667</v>
      </c>
      <c r="U145" t="s">
        <v>3667</v>
      </c>
      <c r="V145" t="s">
        <v>3667</v>
      </c>
      <c r="W145" t="s">
        <v>90</v>
      </c>
      <c r="X145" t="s">
        <v>3676</v>
      </c>
      <c r="Y145" t="s">
        <v>3676</v>
      </c>
      <c r="Z145" t="s">
        <v>3676</v>
      </c>
      <c r="AA145" t="s">
        <v>3676</v>
      </c>
      <c r="AB145" t="s">
        <v>3676</v>
      </c>
      <c r="AC145" t="s">
        <v>3676</v>
      </c>
      <c r="AD145" t="s">
        <v>3676</v>
      </c>
      <c r="AE145" t="s">
        <v>3676</v>
      </c>
      <c r="AF145" t="s">
        <v>3676</v>
      </c>
      <c r="AG145" t="s">
        <v>3676</v>
      </c>
      <c r="AH145" t="s">
        <v>3676</v>
      </c>
      <c r="AI145" t="s">
        <v>3676</v>
      </c>
      <c r="AJ145" t="s">
        <v>3676</v>
      </c>
      <c r="AK145" t="s">
        <v>3676</v>
      </c>
      <c r="AL145" t="s">
        <v>3667</v>
      </c>
      <c r="AM145" t="s">
        <v>3667</v>
      </c>
      <c r="AN145" t="s">
        <v>3667</v>
      </c>
      <c r="AO145" t="s">
        <v>90</v>
      </c>
      <c r="AP145" t="s">
        <v>3676</v>
      </c>
      <c r="AQ145" t="s">
        <v>3676</v>
      </c>
      <c r="AR145" t="s">
        <v>90</v>
      </c>
      <c r="AS145" t="s">
        <v>3676</v>
      </c>
      <c r="AT145" t="s">
        <v>3676</v>
      </c>
      <c r="AU145" t="s">
        <v>3676</v>
      </c>
      <c r="AV145" t="s">
        <v>3676</v>
      </c>
      <c r="AW145" t="s">
        <v>3676</v>
      </c>
      <c r="AX145" t="s">
        <v>4509</v>
      </c>
    </row>
    <row r="146" spans="1:50" x14ac:dyDescent="0.25">
      <c r="A146" t="s">
        <v>4510</v>
      </c>
      <c r="B146" t="s">
        <v>4511</v>
      </c>
      <c r="C146" t="s">
        <v>4512</v>
      </c>
      <c r="D146" t="s">
        <v>3937</v>
      </c>
      <c r="E146" t="s">
        <v>3666</v>
      </c>
      <c r="F146" t="s">
        <v>3667</v>
      </c>
      <c r="G146" t="s">
        <v>3685</v>
      </c>
      <c r="H146" t="s">
        <v>4355</v>
      </c>
      <c r="I146" t="s">
        <v>3670</v>
      </c>
      <c r="J146" t="s">
        <v>4513</v>
      </c>
      <c r="K146" t="s">
        <v>4513</v>
      </c>
      <c r="L146" t="s">
        <v>4514</v>
      </c>
      <c r="M146" t="s">
        <v>4515</v>
      </c>
      <c r="N146" t="s">
        <v>4516</v>
      </c>
      <c r="O146" t="s">
        <v>4515</v>
      </c>
      <c r="P146" t="s">
        <v>4517</v>
      </c>
      <c r="Q146" t="s">
        <v>4518</v>
      </c>
      <c r="R146" t="s">
        <v>3668</v>
      </c>
      <c r="S146" t="s">
        <v>3667</v>
      </c>
      <c r="T146" t="s">
        <v>3667</v>
      </c>
      <c r="U146" t="s">
        <v>3667</v>
      </c>
      <c r="V146" t="s">
        <v>3667</v>
      </c>
      <c r="W146" t="s">
        <v>4519</v>
      </c>
      <c r="X146" t="s">
        <v>3676</v>
      </c>
      <c r="Y146" t="s">
        <v>3676</v>
      </c>
      <c r="Z146" t="s">
        <v>3676</v>
      </c>
      <c r="AA146" t="s">
        <v>3676</v>
      </c>
      <c r="AB146" t="s">
        <v>3676</v>
      </c>
      <c r="AC146" t="s">
        <v>3676</v>
      </c>
      <c r="AD146" t="s">
        <v>3676</v>
      </c>
      <c r="AE146" t="s">
        <v>3676</v>
      </c>
      <c r="AF146" t="s">
        <v>3676</v>
      </c>
      <c r="AG146" t="s">
        <v>3676</v>
      </c>
      <c r="AH146" t="s">
        <v>3676</v>
      </c>
      <c r="AI146" t="s">
        <v>3676</v>
      </c>
      <c r="AJ146" t="s">
        <v>3676</v>
      </c>
      <c r="AK146" t="s">
        <v>3676</v>
      </c>
      <c r="AL146" t="s">
        <v>3667</v>
      </c>
      <c r="AM146" t="s">
        <v>3667</v>
      </c>
      <c r="AN146" t="s">
        <v>3667</v>
      </c>
      <c r="AO146" t="s">
        <v>4519</v>
      </c>
      <c r="AP146" t="s">
        <v>3676</v>
      </c>
      <c r="AQ146" t="s">
        <v>3676</v>
      </c>
      <c r="AR146" t="s">
        <v>4519</v>
      </c>
      <c r="AS146" t="s">
        <v>3676</v>
      </c>
      <c r="AT146" t="s">
        <v>3676</v>
      </c>
      <c r="AU146" t="s">
        <v>3676</v>
      </c>
      <c r="AV146" t="s">
        <v>3676</v>
      </c>
      <c r="AW146" t="s">
        <v>3676</v>
      </c>
      <c r="AX146" t="s">
        <v>4520</v>
      </c>
    </row>
    <row r="147" spans="1:50" x14ac:dyDescent="0.25">
      <c r="A147" t="s">
        <v>4521</v>
      </c>
      <c r="B147" t="s">
        <v>4522</v>
      </c>
      <c r="C147" t="s">
        <v>4523</v>
      </c>
      <c r="D147" t="s">
        <v>3665</v>
      </c>
      <c r="E147" t="s">
        <v>3666</v>
      </c>
      <c r="F147" t="s">
        <v>3667</v>
      </c>
      <c r="G147" t="s">
        <v>3668</v>
      </c>
      <c r="H147" t="s">
        <v>4524</v>
      </c>
      <c r="I147" t="s">
        <v>3670</v>
      </c>
      <c r="J147" t="s">
        <v>4525</v>
      </c>
      <c r="K147" t="s">
        <v>4526</v>
      </c>
      <c r="L147" t="s">
        <v>3667</v>
      </c>
      <c r="M147" t="s">
        <v>3667</v>
      </c>
      <c r="N147" t="s">
        <v>3667</v>
      </c>
      <c r="O147" t="s">
        <v>3673</v>
      </c>
      <c r="P147" t="s">
        <v>4527</v>
      </c>
      <c r="Q147" t="s">
        <v>3964</v>
      </c>
      <c r="R147" t="s">
        <v>3668</v>
      </c>
      <c r="S147" t="s">
        <v>3667</v>
      </c>
      <c r="T147" t="s">
        <v>3667</v>
      </c>
      <c r="U147" t="s">
        <v>3667</v>
      </c>
      <c r="V147" t="s">
        <v>3667</v>
      </c>
      <c r="W147" t="s">
        <v>306</v>
      </c>
      <c r="X147" t="s">
        <v>3676</v>
      </c>
      <c r="Y147" t="s">
        <v>3676</v>
      </c>
      <c r="Z147" t="s">
        <v>3676</v>
      </c>
      <c r="AA147" t="s">
        <v>3676</v>
      </c>
      <c r="AB147" t="s">
        <v>3274</v>
      </c>
      <c r="AC147" t="s">
        <v>3676</v>
      </c>
      <c r="AD147" t="s">
        <v>3676</v>
      </c>
      <c r="AE147" t="s">
        <v>3676</v>
      </c>
      <c r="AF147" t="s">
        <v>3676</v>
      </c>
      <c r="AG147" t="s">
        <v>3676</v>
      </c>
      <c r="AH147" t="s">
        <v>3676</v>
      </c>
      <c r="AI147" t="s">
        <v>3676</v>
      </c>
      <c r="AJ147" t="s">
        <v>3676</v>
      </c>
      <c r="AK147" t="s">
        <v>3676</v>
      </c>
      <c r="AL147" t="s">
        <v>3667</v>
      </c>
      <c r="AM147" t="s">
        <v>3667</v>
      </c>
      <c r="AN147" t="s">
        <v>3667</v>
      </c>
      <c r="AO147" t="s">
        <v>982</v>
      </c>
      <c r="AP147" t="s">
        <v>3676</v>
      </c>
      <c r="AQ147" t="s">
        <v>3676</v>
      </c>
      <c r="AR147" t="s">
        <v>982</v>
      </c>
      <c r="AS147" t="s">
        <v>3676</v>
      </c>
      <c r="AT147" t="s">
        <v>3676</v>
      </c>
      <c r="AU147" t="s">
        <v>3676</v>
      </c>
      <c r="AV147" t="s">
        <v>3676</v>
      </c>
      <c r="AW147" t="s">
        <v>3676</v>
      </c>
      <c r="AX147" t="s">
        <v>4528</v>
      </c>
    </row>
    <row r="148" spans="1:50" x14ac:dyDescent="0.25">
      <c r="A148" t="s">
        <v>4521</v>
      </c>
      <c r="B148" t="s">
        <v>4529</v>
      </c>
      <c r="C148" t="s">
        <v>4523</v>
      </c>
      <c r="D148" t="s">
        <v>3665</v>
      </c>
      <c r="E148" t="s">
        <v>3666</v>
      </c>
      <c r="F148" t="s">
        <v>3667</v>
      </c>
      <c r="G148" t="s">
        <v>3668</v>
      </c>
      <c r="H148" t="s">
        <v>4524</v>
      </c>
      <c r="I148" t="s">
        <v>3670</v>
      </c>
      <c r="J148" t="s">
        <v>4530</v>
      </c>
      <c r="K148" t="s">
        <v>4530</v>
      </c>
      <c r="L148" t="s">
        <v>3667</v>
      </c>
      <c r="M148" t="s">
        <v>3667</v>
      </c>
      <c r="N148" t="s">
        <v>3667</v>
      </c>
      <c r="O148" t="s">
        <v>4531</v>
      </c>
      <c r="P148" t="s">
        <v>4532</v>
      </c>
      <c r="Q148" t="s">
        <v>3793</v>
      </c>
      <c r="R148" t="s">
        <v>3668</v>
      </c>
      <c r="S148" t="s">
        <v>3667</v>
      </c>
      <c r="T148" t="s">
        <v>3667</v>
      </c>
      <c r="U148" t="s">
        <v>3667</v>
      </c>
      <c r="V148" t="s">
        <v>3667</v>
      </c>
      <c r="W148" t="s">
        <v>968</v>
      </c>
      <c r="X148" t="s">
        <v>3676</v>
      </c>
      <c r="Y148" t="s">
        <v>3676</v>
      </c>
      <c r="Z148" t="s">
        <v>3676</v>
      </c>
      <c r="AA148" t="s">
        <v>3676</v>
      </c>
      <c r="AB148" t="s">
        <v>3274</v>
      </c>
      <c r="AC148" t="s">
        <v>3676</v>
      </c>
      <c r="AD148" t="s">
        <v>3676</v>
      </c>
      <c r="AE148" t="s">
        <v>3676</v>
      </c>
      <c r="AF148" t="s">
        <v>3676</v>
      </c>
      <c r="AG148" t="s">
        <v>3676</v>
      </c>
      <c r="AH148" t="s">
        <v>3676</v>
      </c>
      <c r="AI148" t="s">
        <v>3676</v>
      </c>
      <c r="AJ148" t="s">
        <v>3676</v>
      </c>
      <c r="AK148" t="s">
        <v>3676</v>
      </c>
      <c r="AL148" t="s">
        <v>3667</v>
      </c>
      <c r="AM148" t="s">
        <v>3667</v>
      </c>
      <c r="AN148" t="s">
        <v>3667</v>
      </c>
      <c r="AO148" t="s">
        <v>408</v>
      </c>
      <c r="AP148" t="s">
        <v>3676</v>
      </c>
      <c r="AQ148" t="s">
        <v>3676</v>
      </c>
      <c r="AR148" t="s">
        <v>408</v>
      </c>
      <c r="AS148" t="s">
        <v>3676</v>
      </c>
      <c r="AT148" t="s">
        <v>3676</v>
      </c>
      <c r="AU148" t="s">
        <v>3676</v>
      </c>
      <c r="AV148" t="s">
        <v>3676</v>
      </c>
      <c r="AW148" t="s">
        <v>3676</v>
      </c>
      <c r="AX148" t="s">
        <v>4533</v>
      </c>
    </row>
    <row r="149" spans="1:50" x14ac:dyDescent="0.25">
      <c r="A149" t="s">
        <v>4521</v>
      </c>
      <c r="B149" t="s">
        <v>4534</v>
      </c>
      <c r="C149" t="s">
        <v>4523</v>
      </c>
      <c r="D149" t="s">
        <v>3665</v>
      </c>
      <c r="E149" t="s">
        <v>3666</v>
      </c>
      <c r="F149" t="s">
        <v>3667</v>
      </c>
      <c r="G149" t="s">
        <v>3668</v>
      </c>
      <c r="H149" t="s">
        <v>4524</v>
      </c>
      <c r="I149" t="s">
        <v>3670</v>
      </c>
      <c r="J149" t="s">
        <v>4535</v>
      </c>
      <c r="K149" t="s">
        <v>4535</v>
      </c>
      <c r="L149" t="s">
        <v>3667</v>
      </c>
      <c r="M149" t="s">
        <v>3667</v>
      </c>
      <c r="N149" t="s">
        <v>3667</v>
      </c>
      <c r="O149" t="s">
        <v>3701</v>
      </c>
      <c r="P149" t="s">
        <v>4536</v>
      </c>
      <c r="Q149" t="s">
        <v>4537</v>
      </c>
      <c r="R149" t="s">
        <v>3685</v>
      </c>
      <c r="S149" t="s">
        <v>4538</v>
      </c>
      <c r="T149" t="s">
        <v>3667</v>
      </c>
      <c r="U149" t="s">
        <v>3667</v>
      </c>
      <c r="V149" t="s">
        <v>3667</v>
      </c>
      <c r="W149" t="s">
        <v>3462</v>
      </c>
      <c r="X149" t="s">
        <v>3676</v>
      </c>
      <c r="Y149" t="s">
        <v>3676</v>
      </c>
      <c r="Z149" t="s">
        <v>3676</v>
      </c>
      <c r="AA149" t="s">
        <v>3676</v>
      </c>
      <c r="AB149" t="s">
        <v>3274</v>
      </c>
      <c r="AC149" t="s">
        <v>3676</v>
      </c>
      <c r="AD149" t="s">
        <v>3676</v>
      </c>
      <c r="AE149" t="s">
        <v>3676</v>
      </c>
      <c r="AF149" t="s">
        <v>3676</v>
      </c>
      <c r="AG149" t="s">
        <v>3676</v>
      </c>
      <c r="AH149" t="s">
        <v>3676</v>
      </c>
      <c r="AI149" t="s">
        <v>84</v>
      </c>
      <c r="AJ149" t="s">
        <v>3676</v>
      </c>
      <c r="AK149" t="s">
        <v>3676</v>
      </c>
      <c r="AL149" t="s">
        <v>3667</v>
      </c>
      <c r="AM149" t="s">
        <v>3667</v>
      </c>
      <c r="AN149" t="s">
        <v>3667</v>
      </c>
      <c r="AO149" t="s">
        <v>131</v>
      </c>
      <c r="AP149" t="s">
        <v>3676</v>
      </c>
      <c r="AQ149" t="s">
        <v>3676</v>
      </c>
      <c r="AR149" t="s">
        <v>131</v>
      </c>
      <c r="AS149" t="s">
        <v>3676</v>
      </c>
      <c r="AT149" t="s">
        <v>3676</v>
      </c>
      <c r="AU149" t="s">
        <v>3676</v>
      </c>
      <c r="AV149" t="s">
        <v>3676</v>
      </c>
      <c r="AW149" t="s">
        <v>3676</v>
      </c>
      <c r="AX149" t="s">
        <v>4539</v>
      </c>
    </row>
    <row r="150" spans="1:50" x14ac:dyDescent="0.25">
      <c r="A150" t="s">
        <v>4521</v>
      </c>
      <c r="B150" t="s">
        <v>4540</v>
      </c>
      <c r="C150" t="s">
        <v>4523</v>
      </c>
      <c r="D150" t="s">
        <v>3665</v>
      </c>
      <c r="E150" t="s">
        <v>3666</v>
      </c>
      <c r="F150" t="s">
        <v>3667</v>
      </c>
      <c r="G150" t="s">
        <v>3668</v>
      </c>
      <c r="H150" t="s">
        <v>4524</v>
      </c>
      <c r="I150" t="s">
        <v>3670</v>
      </c>
      <c r="J150" t="s">
        <v>3694</v>
      </c>
      <c r="K150" t="s">
        <v>3694</v>
      </c>
      <c r="L150" t="s">
        <v>3667</v>
      </c>
      <c r="M150" t="s">
        <v>3667</v>
      </c>
      <c r="N150" t="s">
        <v>3667</v>
      </c>
      <c r="O150" t="s">
        <v>3701</v>
      </c>
      <c r="P150" t="s">
        <v>4445</v>
      </c>
      <c r="Q150" t="s">
        <v>3703</v>
      </c>
      <c r="R150" t="s">
        <v>3668</v>
      </c>
      <c r="S150" t="s">
        <v>3667</v>
      </c>
      <c r="T150" t="s">
        <v>3667</v>
      </c>
      <c r="U150" t="s">
        <v>3667</v>
      </c>
      <c r="V150" t="s">
        <v>3667</v>
      </c>
      <c r="W150" t="s">
        <v>322</v>
      </c>
      <c r="X150" t="s">
        <v>3676</v>
      </c>
      <c r="Y150" t="s">
        <v>3676</v>
      </c>
      <c r="Z150" t="s">
        <v>3676</v>
      </c>
      <c r="AA150" t="s">
        <v>3676</v>
      </c>
      <c r="AB150" t="s">
        <v>3274</v>
      </c>
      <c r="AC150" t="s">
        <v>3676</v>
      </c>
      <c r="AD150" t="s">
        <v>3676</v>
      </c>
      <c r="AE150" t="s">
        <v>3676</v>
      </c>
      <c r="AF150" t="s">
        <v>3676</v>
      </c>
      <c r="AG150" t="s">
        <v>3676</v>
      </c>
      <c r="AH150" t="s">
        <v>3676</v>
      </c>
      <c r="AI150" t="s">
        <v>3676</v>
      </c>
      <c r="AJ150" t="s">
        <v>3676</v>
      </c>
      <c r="AK150" t="s">
        <v>3676</v>
      </c>
      <c r="AL150" t="s">
        <v>3667</v>
      </c>
      <c r="AM150" t="s">
        <v>3667</v>
      </c>
      <c r="AN150" t="s">
        <v>3667</v>
      </c>
      <c r="AO150" t="s">
        <v>112</v>
      </c>
      <c r="AP150" t="s">
        <v>3676</v>
      </c>
      <c r="AQ150" t="s">
        <v>3676</v>
      </c>
      <c r="AR150" t="s">
        <v>112</v>
      </c>
      <c r="AS150" t="s">
        <v>3676</v>
      </c>
      <c r="AT150" t="s">
        <v>3676</v>
      </c>
      <c r="AU150" t="s">
        <v>3676</v>
      </c>
      <c r="AV150" t="s">
        <v>3676</v>
      </c>
      <c r="AW150" t="s">
        <v>3676</v>
      </c>
      <c r="AX150" t="s">
        <v>4541</v>
      </c>
    </row>
    <row r="151" spans="1:50" x14ac:dyDescent="0.25">
      <c r="A151" t="s">
        <v>4521</v>
      </c>
      <c r="B151" t="s">
        <v>4542</v>
      </c>
      <c r="C151" t="s">
        <v>4523</v>
      </c>
      <c r="D151" t="s">
        <v>3665</v>
      </c>
      <c r="E151" t="s">
        <v>3666</v>
      </c>
      <c r="F151" t="s">
        <v>3667</v>
      </c>
      <c r="G151" t="s">
        <v>3685</v>
      </c>
      <c r="H151" t="s">
        <v>4524</v>
      </c>
      <c r="I151" t="s">
        <v>3822</v>
      </c>
      <c r="J151" t="s">
        <v>4543</v>
      </c>
      <c r="K151" t="s">
        <v>3708</v>
      </c>
      <c r="L151" t="s">
        <v>3667</v>
      </c>
      <c r="M151" t="s">
        <v>3667</v>
      </c>
      <c r="N151" t="s">
        <v>3667</v>
      </c>
      <c r="O151" t="s">
        <v>4544</v>
      </c>
      <c r="P151" t="s">
        <v>4545</v>
      </c>
      <c r="Q151" t="s">
        <v>4546</v>
      </c>
      <c r="R151" t="s">
        <v>3668</v>
      </c>
      <c r="S151" t="s">
        <v>3667</v>
      </c>
      <c r="T151" t="s">
        <v>3667</v>
      </c>
      <c r="U151" t="s">
        <v>3667</v>
      </c>
      <c r="V151" t="s">
        <v>3667</v>
      </c>
      <c r="W151" t="s">
        <v>4446</v>
      </c>
      <c r="X151" t="s">
        <v>3676</v>
      </c>
      <c r="Y151" t="s">
        <v>3676</v>
      </c>
      <c r="Z151" t="s">
        <v>3676</v>
      </c>
      <c r="AA151" t="s">
        <v>3676</v>
      </c>
      <c r="AB151" t="s">
        <v>3676</v>
      </c>
      <c r="AC151" t="s">
        <v>3676</v>
      </c>
      <c r="AD151" t="s">
        <v>3676</v>
      </c>
      <c r="AE151" t="s">
        <v>3676</v>
      </c>
      <c r="AF151" t="s">
        <v>3676</v>
      </c>
      <c r="AG151" t="s">
        <v>3676</v>
      </c>
      <c r="AH151" t="s">
        <v>3676</v>
      </c>
      <c r="AI151" t="s">
        <v>3676</v>
      </c>
      <c r="AJ151" t="s">
        <v>3676</v>
      </c>
      <c r="AK151" t="s">
        <v>3676</v>
      </c>
      <c r="AL151" t="s">
        <v>3667</v>
      </c>
      <c r="AM151" t="s">
        <v>3667</v>
      </c>
      <c r="AN151" t="s">
        <v>3667</v>
      </c>
      <c r="AO151" t="s">
        <v>4446</v>
      </c>
      <c r="AP151" t="s">
        <v>3676</v>
      </c>
      <c r="AQ151" t="s">
        <v>3676</v>
      </c>
      <c r="AR151" t="s">
        <v>4446</v>
      </c>
      <c r="AS151" t="s">
        <v>3676</v>
      </c>
      <c r="AT151" t="s">
        <v>3676</v>
      </c>
      <c r="AU151" t="s">
        <v>3676</v>
      </c>
      <c r="AV151" t="s">
        <v>3676</v>
      </c>
      <c r="AW151" t="s">
        <v>3676</v>
      </c>
      <c r="AX151" t="s">
        <v>4547</v>
      </c>
    </row>
    <row r="152" spans="1:50" x14ac:dyDescent="0.25">
      <c r="A152" t="s">
        <v>4521</v>
      </c>
      <c r="B152" t="s">
        <v>4548</v>
      </c>
      <c r="C152" t="s">
        <v>4523</v>
      </c>
      <c r="D152" t="s">
        <v>3665</v>
      </c>
      <c r="E152" t="s">
        <v>3666</v>
      </c>
      <c r="F152" t="s">
        <v>3667</v>
      </c>
      <c r="G152" t="s">
        <v>3685</v>
      </c>
      <c r="H152" t="s">
        <v>4524</v>
      </c>
      <c r="I152" t="s">
        <v>3670</v>
      </c>
      <c r="J152" t="s">
        <v>3814</v>
      </c>
      <c r="K152" t="s">
        <v>3814</v>
      </c>
      <c r="L152" t="s">
        <v>3667</v>
      </c>
      <c r="M152" t="s">
        <v>3667</v>
      </c>
      <c r="N152" t="s">
        <v>3667</v>
      </c>
      <c r="O152" t="s">
        <v>4549</v>
      </c>
      <c r="P152" t="s">
        <v>4550</v>
      </c>
      <c r="Q152" t="s">
        <v>3721</v>
      </c>
      <c r="R152" t="s">
        <v>3668</v>
      </c>
      <c r="S152" t="s">
        <v>3667</v>
      </c>
      <c r="T152" t="s">
        <v>3667</v>
      </c>
      <c r="U152" t="s">
        <v>3667</v>
      </c>
      <c r="V152" t="s">
        <v>3667</v>
      </c>
      <c r="W152" t="s">
        <v>1477</v>
      </c>
      <c r="X152" t="s">
        <v>3676</v>
      </c>
      <c r="Y152" t="s">
        <v>3676</v>
      </c>
      <c r="Z152" t="s">
        <v>3676</v>
      </c>
      <c r="AA152" t="s">
        <v>3676</v>
      </c>
      <c r="AB152" t="s">
        <v>3676</v>
      </c>
      <c r="AC152" t="s">
        <v>3676</v>
      </c>
      <c r="AD152" t="s">
        <v>3676</v>
      </c>
      <c r="AE152" t="s">
        <v>3676</v>
      </c>
      <c r="AF152" t="s">
        <v>3676</v>
      </c>
      <c r="AG152" t="s">
        <v>3676</v>
      </c>
      <c r="AH152" t="s">
        <v>3676</v>
      </c>
      <c r="AI152" t="s">
        <v>3676</v>
      </c>
      <c r="AJ152" t="s">
        <v>3676</v>
      </c>
      <c r="AK152" t="s">
        <v>3676</v>
      </c>
      <c r="AL152" t="s">
        <v>3667</v>
      </c>
      <c r="AM152" t="s">
        <v>3667</v>
      </c>
      <c r="AN152" t="s">
        <v>3667</v>
      </c>
      <c r="AO152" t="s">
        <v>1477</v>
      </c>
      <c r="AP152" t="s">
        <v>3676</v>
      </c>
      <c r="AQ152" t="s">
        <v>3676</v>
      </c>
      <c r="AR152" t="s">
        <v>1477</v>
      </c>
      <c r="AS152" t="s">
        <v>3676</v>
      </c>
      <c r="AT152" t="s">
        <v>3676</v>
      </c>
      <c r="AU152" t="s">
        <v>3676</v>
      </c>
      <c r="AV152" t="s">
        <v>3676</v>
      </c>
      <c r="AW152" t="s">
        <v>3676</v>
      </c>
      <c r="AX152" t="s">
        <v>4551</v>
      </c>
    </row>
    <row r="153" spans="1:50" x14ac:dyDescent="0.25">
      <c r="A153" t="s">
        <v>4521</v>
      </c>
      <c r="B153" t="s">
        <v>4552</v>
      </c>
      <c r="C153" t="s">
        <v>4523</v>
      </c>
      <c r="D153" t="s">
        <v>3665</v>
      </c>
      <c r="E153" t="s">
        <v>3666</v>
      </c>
      <c r="F153" t="s">
        <v>3667</v>
      </c>
      <c r="G153" t="s">
        <v>3668</v>
      </c>
      <c r="H153" t="s">
        <v>4524</v>
      </c>
      <c r="I153" t="s">
        <v>3670</v>
      </c>
      <c r="J153" t="s">
        <v>4069</v>
      </c>
      <c r="K153" t="s">
        <v>4069</v>
      </c>
      <c r="L153" t="s">
        <v>3667</v>
      </c>
      <c r="M153" t="s">
        <v>3667</v>
      </c>
      <c r="N153" t="s">
        <v>3667</v>
      </c>
      <c r="O153" t="s">
        <v>4185</v>
      </c>
      <c r="P153" t="s">
        <v>4553</v>
      </c>
      <c r="Q153" t="s">
        <v>4554</v>
      </c>
      <c r="R153" t="s">
        <v>3668</v>
      </c>
      <c r="S153" t="s">
        <v>3667</v>
      </c>
      <c r="T153" t="s">
        <v>3667</v>
      </c>
      <c r="U153" t="s">
        <v>3667</v>
      </c>
      <c r="V153" t="s">
        <v>3667</v>
      </c>
      <c r="W153" t="s">
        <v>1477</v>
      </c>
      <c r="X153" t="s">
        <v>3676</v>
      </c>
      <c r="Y153" t="s">
        <v>3676</v>
      </c>
      <c r="Z153" t="s">
        <v>3676</v>
      </c>
      <c r="AA153" t="s">
        <v>3676</v>
      </c>
      <c r="AB153" t="s">
        <v>3274</v>
      </c>
      <c r="AC153" t="s">
        <v>3676</v>
      </c>
      <c r="AD153" t="s">
        <v>3676</v>
      </c>
      <c r="AE153" t="s">
        <v>3676</v>
      </c>
      <c r="AF153" t="s">
        <v>3676</v>
      </c>
      <c r="AG153" t="s">
        <v>3676</v>
      </c>
      <c r="AH153" t="s">
        <v>3676</v>
      </c>
      <c r="AI153" t="s">
        <v>3676</v>
      </c>
      <c r="AJ153" t="s">
        <v>3676</v>
      </c>
      <c r="AK153" t="s">
        <v>3676</v>
      </c>
      <c r="AL153" t="s">
        <v>3667</v>
      </c>
      <c r="AM153" t="s">
        <v>3667</v>
      </c>
      <c r="AN153" t="s">
        <v>3667</v>
      </c>
      <c r="AO153" t="s">
        <v>122</v>
      </c>
      <c r="AP153" t="s">
        <v>3676</v>
      </c>
      <c r="AQ153" t="s">
        <v>3676</v>
      </c>
      <c r="AR153" t="s">
        <v>122</v>
      </c>
      <c r="AS153" t="s">
        <v>3676</v>
      </c>
      <c r="AT153" t="s">
        <v>3676</v>
      </c>
      <c r="AU153" t="s">
        <v>3676</v>
      </c>
      <c r="AV153" t="s">
        <v>3676</v>
      </c>
      <c r="AW153" t="s">
        <v>3676</v>
      </c>
      <c r="AX153" t="s">
        <v>4551</v>
      </c>
    </row>
    <row r="154" spans="1:50" x14ac:dyDescent="0.25">
      <c r="A154" t="s">
        <v>4521</v>
      </c>
      <c r="B154" t="s">
        <v>4555</v>
      </c>
      <c r="C154" t="s">
        <v>4523</v>
      </c>
      <c r="D154" t="s">
        <v>3665</v>
      </c>
      <c r="E154" t="s">
        <v>3666</v>
      </c>
      <c r="F154" t="s">
        <v>3667</v>
      </c>
      <c r="G154" t="s">
        <v>3685</v>
      </c>
      <c r="H154" t="s">
        <v>4524</v>
      </c>
      <c r="I154" t="s">
        <v>3670</v>
      </c>
      <c r="J154" t="s">
        <v>4556</v>
      </c>
      <c r="K154" t="s">
        <v>4556</v>
      </c>
      <c r="L154" t="s">
        <v>3667</v>
      </c>
      <c r="M154" t="s">
        <v>3667</v>
      </c>
      <c r="N154" t="s">
        <v>3667</v>
      </c>
      <c r="O154" t="s">
        <v>4116</v>
      </c>
      <c r="P154" t="s">
        <v>4284</v>
      </c>
      <c r="Q154" t="s">
        <v>4557</v>
      </c>
      <c r="R154" t="s">
        <v>3668</v>
      </c>
      <c r="S154" t="s">
        <v>3667</v>
      </c>
      <c r="T154" t="s">
        <v>3667</v>
      </c>
      <c r="U154" t="s">
        <v>3667</v>
      </c>
      <c r="V154" t="s">
        <v>3667</v>
      </c>
      <c r="W154" t="s">
        <v>84</v>
      </c>
      <c r="X154" t="s">
        <v>3676</v>
      </c>
      <c r="Y154" t="s">
        <v>3676</v>
      </c>
      <c r="Z154" t="s">
        <v>3676</v>
      </c>
      <c r="AA154" t="s">
        <v>3676</v>
      </c>
      <c r="AB154" t="s">
        <v>3676</v>
      </c>
      <c r="AC154" t="s">
        <v>3676</v>
      </c>
      <c r="AD154" t="s">
        <v>3676</v>
      </c>
      <c r="AE154" t="s">
        <v>3676</v>
      </c>
      <c r="AF154" t="s">
        <v>3676</v>
      </c>
      <c r="AG154" t="s">
        <v>3676</v>
      </c>
      <c r="AH154" t="s">
        <v>3676</v>
      </c>
      <c r="AI154" t="s">
        <v>3676</v>
      </c>
      <c r="AJ154" t="s">
        <v>3676</v>
      </c>
      <c r="AK154" t="s">
        <v>3676</v>
      </c>
      <c r="AL154" t="s">
        <v>3667</v>
      </c>
      <c r="AM154" t="s">
        <v>3667</v>
      </c>
      <c r="AN154" t="s">
        <v>3667</v>
      </c>
      <c r="AO154" t="s">
        <v>84</v>
      </c>
      <c r="AP154" t="s">
        <v>3676</v>
      </c>
      <c r="AQ154" t="s">
        <v>3676</v>
      </c>
      <c r="AR154" t="s">
        <v>84</v>
      </c>
      <c r="AS154" t="s">
        <v>3676</v>
      </c>
      <c r="AT154" t="s">
        <v>3676</v>
      </c>
      <c r="AU154" t="s">
        <v>3676</v>
      </c>
      <c r="AV154" t="s">
        <v>3676</v>
      </c>
      <c r="AW154" t="s">
        <v>3676</v>
      </c>
      <c r="AX154" t="s">
        <v>4558</v>
      </c>
    </row>
    <row r="155" spans="1:50" x14ac:dyDescent="0.25">
      <c r="A155" t="s">
        <v>4521</v>
      </c>
      <c r="B155" t="s">
        <v>4559</v>
      </c>
      <c r="C155" t="s">
        <v>4523</v>
      </c>
      <c r="D155" t="s">
        <v>3665</v>
      </c>
      <c r="E155" t="s">
        <v>3734</v>
      </c>
      <c r="F155" t="s">
        <v>3667</v>
      </c>
      <c r="G155" t="s">
        <v>3668</v>
      </c>
      <c r="H155" t="s">
        <v>4524</v>
      </c>
      <c r="I155" t="s">
        <v>3670</v>
      </c>
      <c r="J155" t="s">
        <v>4560</v>
      </c>
      <c r="K155" t="s">
        <v>4561</v>
      </c>
      <c r="L155" t="s">
        <v>3667</v>
      </c>
      <c r="M155" t="s">
        <v>3667</v>
      </c>
      <c r="N155" t="s">
        <v>3667</v>
      </c>
      <c r="O155" t="s">
        <v>4562</v>
      </c>
      <c r="P155" t="s">
        <v>4563</v>
      </c>
      <c r="Q155" t="s">
        <v>4564</v>
      </c>
      <c r="R155" t="s">
        <v>3668</v>
      </c>
      <c r="S155" t="s">
        <v>3667</v>
      </c>
      <c r="T155" t="s">
        <v>3667</v>
      </c>
      <c r="U155" t="s">
        <v>3667</v>
      </c>
      <c r="V155" t="s">
        <v>3667</v>
      </c>
      <c r="W155" t="s">
        <v>2957</v>
      </c>
      <c r="X155" t="s">
        <v>3676</v>
      </c>
      <c r="Y155" t="s">
        <v>3676</v>
      </c>
      <c r="Z155" t="s">
        <v>3676</v>
      </c>
      <c r="AA155" t="s">
        <v>3676</v>
      </c>
      <c r="AB155" t="s">
        <v>3274</v>
      </c>
      <c r="AC155" t="s">
        <v>3676</v>
      </c>
      <c r="AD155" t="s">
        <v>3676</v>
      </c>
      <c r="AE155" t="s">
        <v>3676</v>
      </c>
      <c r="AF155" t="s">
        <v>3676</v>
      </c>
      <c r="AG155" t="s">
        <v>3676</v>
      </c>
      <c r="AH155" t="s">
        <v>3676</v>
      </c>
      <c r="AI155" t="s">
        <v>3676</v>
      </c>
      <c r="AJ155" t="s">
        <v>3676</v>
      </c>
      <c r="AK155" t="s">
        <v>3676</v>
      </c>
      <c r="AL155" t="s">
        <v>3667</v>
      </c>
      <c r="AM155" t="s">
        <v>3667</v>
      </c>
      <c r="AN155" t="s">
        <v>3667</v>
      </c>
      <c r="AO155" t="s">
        <v>4565</v>
      </c>
      <c r="AP155" t="s">
        <v>2957</v>
      </c>
      <c r="AQ155" t="s">
        <v>3676</v>
      </c>
      <c r="AR155" t="s">
        <v>4566</v>
      </c>
      <c r="AS155" t="s">
        <v>3676</v>
      </c>
      <c r="AT155" t="s">
        <v>3676</v>
      </c>
      <c r="AU155" t="s">
        <v>3676</v>
      </c>
      <c r="AV155" t="s">
        <v>3676</v>
      </c>
      <c r="AW155" t="s">
        <v>3676</v>
      </c>
      <c r="AX155" t="s">
        <v>4567</v>
      </c>
    </row>
    <row r="156" spans="1:50" x14ac:dyDescent="0.25">
      <c r="A156" t="s">
        <v>4521</v>
      </c>
      <c r="B156" t="s">
        <v>4568</v>
      </c>
      <c r="C156" t="s">
        <v>4523</v>
      </c>
      <c r="D156" t="s">
        <v>3665</v>
      </c>
      <c r="E156" t="s">
        <v>3734</v>
      </c>
      <c r="F156" t="s">
        <v>3667</v>
      </c>
      <c r="G156" t="s">
        <v>3668</v>
      </c>
      <c r="H156" t="s">
        <v>4524</v>
      </c>
      <c r="I156" t="s">
        <v>3670</v>
      </c>
      <c r="J156" t="s">
        <v>4569</v>
      </c>
      <c r="K156" t="s">
        <v>4569</v>
      </c>
      <c r="L156" t="s">
        <v>3667</v>
      </c>
      <c r="M156" t="s">
        <v>3667</v>
      </c>
      <c r="N156" t="s">
        <v>3667</v>
      </c>
      <c r="O156" t="s">
        <v>4570</v>
      </c>
      <c r="P156" t="s">
        <v>4571</v>
      </c>
      <c r="Q156" t="s">
        <v>4079</v>
      </c>
      <c r="R156" t="s">
        <v>3668</v>
      </c>
      <c r="S156" t="s">
        <v>3667</v>
      </c>
      <c r="T156" t="s">
        <v>3667</v>
      </c>
      <c r="U156" t="s">
        <v>3667</v>
      </c>
      <c r="V156" t="s">
        <v>3667</v>
      </c>
      <c r="W156" t="s">
        <v>1477</v>
      </c>
      <c r="X156" t="s">
        <v>3676</v>
      </c>
      <c r="Y156" t="s">
        <v>3676</v>
      </c>
      <c r="Z156" t="s">
        <v>3676</v>
      </c>
      <c r="AA156" t="s">
        <v>3676</v>
      </c>
      <c r="AB156" t="s">
        <v>3274</v>
      </c>
      <c r="AC156" t="s">
        <v>3676</v>
      </c>
      <c r="AD156" t="s">
        <v>3676</v>
      </c>
      <c r="AE156" t="s">
        <v>3676</v>
      </c>
      <c r="AF156" t="s">
        <v>3676</v>
      </c>
      <c r="AG156" t="s">
        <v>3676</v>
      </c>
      <c r="AH156" t="s">
        <v>3676</v>
      </c>
      <c r="AI156" t="s">
        <v>3676</v>
      </c>
      <c r="AJ156" t="s">
        <v>3676</v>
      </c>
      <c r="AK156" t="s">
        <v>3676</v>
      </c>
      <c r="AL156" t="s">
        <v>3667</v>
      </c>
      <c r="AM156" t="s">
        <v>3667</v>
      </c>
      <c r="AN156" t="s">
        <v>3667</v>
      </c>
      <c r="AO156" t="s">
        <v>4572</v>
      </c>
      <c r="AP156" t="s">
        <v>1477</v>
      </c>
      <c r="AQ156" t="s">
        <v>3676</v>
      </c>
      <c r="AR156" t="s">
        <v>4573</v>
      </c>
      <c r="AS156" t="s">
        <v>3676</v>
      </c>
      <c r="AT156" t="s">
        <v>3676</v>
      </c>
      <c r="AU156" t="s">
        <v>3676</v>
      </c>
      <c r="AV156" t="s">
        <v>3676</v>
      </c>
      <c r="AW156" t="s">
        <v>3676</v>
      </c>
      <c r="AX156" t="s">
        <v>4551</v>
      </c>
    </row>
    <row r="157" spans="1:50" x14ac:dyDescent="0.25">
      <c r="A157" t="s">
        <v>4521</v>
      </c>
      <c r="B157" t="s">
        <v>4574</v>
      </c>
      <c r="C157" t="s">
        <v>4523</v>
      </c>
      <c r="D157" t="s">
        <v>3665</v>
      </c>
      <c r="E157" t="s">
        <v>3666</v>
      </c>
      <c r="F157" t="s">
        <v>3667</v>
      </c>
      <c r="G157" t="s">
        <v>3668</v>
      </c>
      <c r="H157" t="s">
        <v>4524</v>
      </c>
      <c r="I157" t="s">
        <v>3670</v>
      </c>
      <c r="J157" t="s">
        <v>4575</v>
      </c>
      <c r="K157" t="s">
        <v>4575</v>
      </c>
      <c r="L157" t="s">
        <v>3667</v>
      </c>
      <c r="M157" t="s">
        <v>3667</v>
      </c>
      <c r="N157" t="s">
        <v>3667</v>
      </c>
      <c r="O157" t="s">
        <v>4576</v>
      </c>
      <c r="P157" t="s">
        <v>4078</v>
      </c>
      <c r="Q157" t="s">
        <v>4418</v>
      </c>
      <c r="R157" t="s">
        <v>3668</v>
      </c>
      <c r="S157" t="s">
        <v>3667</v>
      </c>
      <c r="T157" t="s">
        <v>3667</v>
      </c>
      <c r="U157" t="s">
        <v>3667</v>
      </c>
      <c r="V157" t="s">
        <v>3667</v>
      </c>
      <c r="W157" t="s">
        <v>46</v>
      </c>
      <c r="X157" t="s">
        <v>3676</v>
      </c>
      <c r="Y157" t="s">
        <v>3676</v>
      </c>
      <c r="Z157" t="s">
        <v>3676</v>
      </c>
      <c r="AA157" t="s">
        <v>3676</v>
      </c>
      <c r="AB157" t="s">
        <v>3274</v>
      </c>
      <c r="AC157" t="s">
        <v>3676</v>
      </c>
      <c r="AD157" t="s">
        <v>3676</v>
      </c>
      <c r="AE157" t="s">
        <v>3676</v>
      </c>
      <c r="AF157" t="s">
        <v>3676</v>
      </c>
      <c r="AG157" t="s">
        <v>3676</v>
      </c>
      <c r="AH157" t="s">
        <v>3676</v>
      </c>
      <c r="AI157" t="s">
        <v>3676</v>
      </c>
      <c r="AJ157" t="s">
        <v>3676</v>
      </c>
      <c r="AK157" t="s">
        <v>3676</v>
      </c>
      <c r="AL157" t="s">
        <v>3667</v>
      </c>
      <c r="AM157" t="s">
        <v>3667</v>
      </c>
      <c r="AN157" t="s">
        <v>3667</v>
      </c>
      <c r="AO157" t="s">
        <v>240</v>
      </c>
      <c r="AP157" t="s">
        <v>3676</v>
      </c>
      <c r="AQ157" t="s">
        <v>3676</v>
      </c>
      <c r="AR157" t="s">
        <v>240</v>
      </c>
      <c r="AS157" t="s">
        <v>3676</v>
      </c>
      <c r="AT157" t="s">
        <v>3676</v>
      </c>
      <c r="AU157" t="s">
        <v>3676</v>
      </c>
      <c r="AV157" t="s">
        <v>3676</v>
      </c>
      <c r="AW157" t="s">
        <v>3676</v>
      </c>
      <c r="AX157" t="s">
        <v>4577</v>
      </c>
    </row>
    <row r="158" spans="1:50" x14ac:dyDescent="0.25">
      <c r="A158" t="s">
        <v>4521</v>
      </c>
      <c r="B158" t="s">
        <v>4578</v>
      </c>
      <c r="C158" t="s">
        <v>4523</v>
      </c>
      <c r="D158" t="s">
        <v>3665</v>
      </c>
      <c r="E158" t="s">
        <v>3666</v>
      </c>
      <c r="F158" t="s">
        <v>3667</v>
      </c>
      <c r="G158" t="s">
        <v>3668</v>
      </c>
      <c r="H158" t="s">
        <v>4524</v>
      </c>
      <c r="I158" t="s">
        <v>3670</v>
      </c>
      <c r="J158" t="s">
        <v>4579</v>
      </c>
      <c r="K158" t="s">
        <v>4579</v>
      </c>
      <c r="L158" t="s">
        <v>3667</v>
      </c>
      <c r="M158" t="s">
        <v>3667</v>
      </c>
      <c r="N158" t="s">
        <v>3667</v>
      </c>
      <c r="O158" t="s">
        <v>3758</v>
      </c>
      <c r="P158" t="s">
        <v>4580</v>
      </c>
      <c r="Q158" t="s">
        <v>4581</v>
      </c>
      <c r="R158" t="s">
        <v>3668</v>
      </c>
      <c r="S158" t="s">
        <v>3667</v>
      </c>
      <c r="T158" t="s">
        <v>3667</v>
      </c>
      <c r="U158" t="s">
        <v>3667</v>
      </c>
      <c r="V158" t="s">
        <v>3667</v>
      </c>
      <c r="W158" t="s">
        <v>1087</v>
      </c>
      <c r="X158" t="s">
        <v>3676</v>
      </c>
      <c r="Y158" t="s">
        <v>3676</v>
      </c>
      <c r="Z158" t="s">
        <v>3676</v>
      </c>
      <c r="AA158" t="s">
        <v>3676</v>
      </c>
      <c r="AB158" t="s">
        <v>3274</v>
      </c>
      <c r="AC158" t="s">
        <v>3676</v>
      </c>
      <c r="AD158" t="s">
        <v>3676</v>
      </c>
      <c r="AE158" t="s">
        <v>3676</v>
      </c>
      <c r="AF158" t="s">
        <v>3676</v>
      </c>
      <c r="AG158" t="s">
        <v>3676</v>
      </c>
      <c r="AH158" t="s">
        <v>3676</v>
      </c>
      <c r="AI158" t="s">
        <v>3676</v>
      </c>
      <c r="AJ158" t="s">
        <v>3676</v>
      </c>
      <c r="AK158" t="s">
        <v>3676</v>
      </c>
      <c r="AL158" t="s">
        <v>3667</v>
      </c>
      <c r="AM158" t="s">
        <v>3667</v>
      </c>
      <c r="AN158" t="s">
        <v>3667</v>
      </c>
      <c r="AO158" t="s">
        <v>81</v>
      </c>
      <c r="AP158" t="s">
        <v>3676</v>
      </c>
      <c r="AQ158" t="s">
        <v>3676</v>
      </c>
      <c r="AR158" t="s">
        <v>81</v>
      </c>
      <c r="AS158" t="s">
        <v>3676</v>
      </c>
      <c r="AT158" t="s">
        <v>3676</v>
      </c>
      <c r="AU158" t="s">
        <v>3676</v>
      </c>
      <c r="AV158" t="s">
        <v>3676</v>
      </c>
      <c r="AW158" t="s">
        <v>3676</v>
      </c>
      <c r="AX158" t="s">
        <v>4582</v>
      </c>
    </row>
    <row r="159" spans="1:50" x14ac:dyDescent="0.25">
      <c r="A159" t="s">
        <v>4521</v>
      </c>
      <c r="B159" t="s">
        <v>4583</v>
      </c>
      <c r="C159" t="s">
        <v>4523</v>
      </c>
      <c r="D159" t="s">
        <v>3665</v>
      </c>
      <c r="E159" t="s">
        <v>3734</v>
      </c>
      <c r="F159" t="s">
        <v>3667</v>
      </c>
      <c r="G159" t="s">
        <v>3668</v>
      </c>
      <c r="H159" t="s">
        <v>4524</v>
      </c>
      <c r="I159" t="s">
        <v>3670</v>
      </c>
      <c r="J159" t="s">
        <v>3760</v>
      </c>
      <c r="K159" t="s">
        <v>4325</v>
      </c>
      <c r="L159" t="s">
        <v>3667</v>
      </c>
      <c r="M159" t="s">
        <v>3667</v>
      </c>
      <c r="N159" t="s">
        <v>3667</v>
      </c>
      <c r="O159" t="s">
        <v>4584</v>
      </c>
      <c r="P159" t="s">
        <v>4585</v>
      </c>
      <c r="Q159" t="s">
        <v>4328</v>
      </c>
      <c r="R159" t="s">
        <v>3668</v>
      </c>
      <c r="S159" t="s">
        <v>3667</v>
      </c>
      <c r="T159" t="s">
        <v>3667</v>
      </c>
      <c r="U159" t="s">
        <v>3667</v>
      </c>
      <c r="V159" t="s">
        <v>3667</v>
      </c>
      <c r="W159" t="s">
        <v>1647</v>
      </c>
      <c r="X159" t="s">
        <v>3676</v>
      </c>
      <c r="Y159" t="s">
        <v>3676</v>
      </c>
      <c r="Z159" t="s">
        <v>3676</v>
      </c>
      <c r="AA159" t="s">
        <v>3676</v>
      </c>
      <c r="AB159" t="s">
        <v>3274</v>
      </c>
      <c r="AC159" t="s">
        <v>3676</v>
      </c>
      <c r="AD159" t="s">
        <v>3676</v>
      </c>
      <c r="AE159" t="s">
        <v>3676</v>
      </c>
      <c r="AF159" t="s">
        <v>3676</v>
      </c>
      <c r="AG159" t="s">
        <v>3676</v>
      </c>
      <c r="AH159" t="s">
        <v>3676</v>
      </c>
      <c r="AI159" t="s">
        <v>3676</v>
      </c>
      <c r="AJ159" t="s">
        <v>3676</v>
      </c>
      <c r="AK159" t="s">
        <v>3676</v>
      </c>
      <c r="AL159" t="s">
        <v>3667</v>
      </c>
      <c r="AM159" t="s">
        <v>3667</v>
      </c>
      <c r="AN159" t="s">
        <v>3667</v>
      </c>
      <c r="AO159" t="s">
        <v>4586</v>
      </c>
      <c r="AP159" t="s">
        <v>1647</v>
      </c>
      <c r="AQ159" t="s">
        <v>3676</v>
      </c>
      <c r="AR159" t="s">
        <v>4587</v>
      </c>
      <c r="AS159" t="s">
        <v>3676</v>
      </c>
      <c r="AT159" t="s">
        <v>3676</v>
      </c>
      <c r="AU159" t="s">
        <v>3676</v>
      </c>
      <c r="AV159" t="s">
        <v>3676</v>
      </c>
      <c r="AW159" t="s">
        <v>3676</v>
      </c>
      <c r="AX159" t="s">
        <v>4588</v>
      </c>
    </row>
    <row r="160" spans="1:50" x14ac:dyDescent="0.25">
      <c r="A160" t="s">
        <v>4521</v>
      </c>
      <c r="B160" t="s">
        <v>4589</v>
      </c>
      <c r="C160" t="s">
        <v>4523</v>
      </c>
      <c r="D160" t="s">
        <v>3665</v>
      </c>
      <c r="E160" t="s">
        <v>3666</v>
      </c>
      <c r="F160" t="s">
        <v>3667</v>
      </c>
      <c r="G160" t="s">
        <v>3685</v>
      </c>
      <c r="H160" t="s">
        <v>4524</v>
      </c>
      <c r="I160" t="s">
        <v>3822</v>
      </c>
      <c r="J160" t="s">
        <v>4434</v>
      </c>
      <c r="K160" t="s">
        <v>4434</v>
      </c>
      <c r="L160" t="s">
        <v>3667</v>
      </c>
      <c r="M160" t="s">
        <v>3667</v>
      </c>
      <c r="N160" t="s">
        <v>3667</v>
      </c>
      <c r="O160" t="s">
        <v>4020</v>
      </c>
      <c r="P160" t="s">
        <v>4435</v>
      </c>
      <c r="Q160" t="s">
        <v>4436</v>
      </c>
      <c r="R160" t="s">
        <v>3668</v>
      </c>
      <c r="S160" t="s">
        <v>3667</v>
      </c>
      <c r="T160" t="s">
        <v>3667</v>
      </c>
      <c r="U160" t="s">
        <v>3667</v>
      </c>
      <c r="V160" t="s">
        <v>3667</v>
      </c>
      <c r="W160" t="s">
        <v>440</v>
      </c>
      <c r="X160" t="s">
        <v>3676</v>
      </c>
      <c r="Y160" t="s">
        <v>3676</v>
      </c>
      <c r="Z160" t="s">
        <v>3676</v>
      </c>
      <c r="AA160" t="s">
        <v>3676</v>
      </c>
      <c r="AB160" t="s">
        <v>3676</v>
      </c>
      <c r="AC160" t="s">
        <v>3676</v>
      </c>
      <c r="AD160" t="s">
        <v>3676</v>
      </c>
      <c r="AE160" t="s">
        <v>3676</v>
      </c>
      <c r="AF160" t="s">
        <v>3676</v>
      </c>
      <c r="AG160" t="s">
        <v>3676</v>
      </c>
      <c r="AH160" t="s">
        <v>3676</v>
      </c>
      <c r="AI160" t="s">
        <v>3676</v>
      </c>
      <c r="AJ160" t="s">
        <v>3676</v>
      </c>
      <c r="AK160" t="s">
        <v>3676</v>
      </c>
      <c r="AL160" t="s">
        <v>3667</v>
      </c>
      <c r="AM160" t="s">
        <v>3667</v>
      </c>
      <c r="AN160" t="s">
        <v>3667</v>
      </c>
      <c r="AO160" t="s">
        <v>440</v>
      </c>
      <c r="AP160" t="s">
        <v>3676</v>
      </c>
      <c r="AQ160" t="s">
        <v>3676</v>
      </c>
      <c r="AR160" t="s">
        <v>440</v>
      </c>
      <c r="AS160" t="s">
        <v>3676</v>
      </c>
      <c r="AT160" t="s">
        <v>3676</v>
      </c>
      <c r="AU160" t="s">
        <v>3676</v>
      </c>
      <c r="AV160" t="s">
        <v>3676</v>
      </c>
      <c r="AW160" t="s">
        <v>3676</v>
      </c>
      <c r="AX160" t="s">
        <v>4590</v>
      </c>
    </row>
    <row r="161" spans="1:50" x14ac:dyDescent="0.25">
      <c r="A161" t="s">
        <v>4521</v>
      </c>
      <c r="B161" t="s">
        <v>4591</v>
      </c>
      <c r="C161" t="s">
        <v>4523</v>
      </c>
      <c r="D161" t="s">
        <v>3665</v>
      </c>
      <c r="E161" t="s">
        <v>3666</v>
      </c>
      <c r="F161" t="s">
        <v>3667</v>
      </c>
      <c r="G161" t="s">
        <v>3685</v>
      </c>
      <c r="H161" t="s">
        <v>4524</v>
      </c>
      <c r="I161" t="s">
        <v>3822</v>
      </c>
      <c r="J161" t="s">
        <v>4592</v>
      </c>
      <c r="K161" t="s">
        <v>4592</v>
      </c>
      <c r="L161" t="s">
        <v>3667</v>
      </c>
      <c r="M161" t="s">
        <v>3667</v>
      </c>
      <c r="N161" t="s">
        <v>3667</v>
      </c>
      <c r="O161" t="s">
        <v>4020</v>
      </c>
      <c r="P161" t="s">
        <v>4593</v>
      </c>
      <c r="Q161" t="s">
        <v>4594</v>
      </c>
      <c r="R161" t="s">
        <v>3668</v>
      </c>
      <c r="S161" t="s">
        <v>3667</v>
      </c>
      <c r="T161" t="s">
        <v>3667</v>
      </c>
      <c r="U161" t="s">
        <v>3667</v>
      </c>
      <c r="V161" t="s">
        <v>3667</v>
      </c>
      <c r="W161" t="s">
        <v>84</v>
      </c>
      <c r="X161" t="s">
        <v>3676</v>
      </c>
      <c r="Y161" t="s">
        <v>3676</v>
      </c>
      <c r="Z161" t="s">
        <v>3676</v>
      </c>
      <c r="AA161" t="s">
        <v>3676</v>
      </c>
      <c r="AB161" t="s">
        <v>3676</v>
      </c>
      <c r="AC161" t="s">
        <v>3676</v>
      </c>
      <c r="AD161" t="s">
        <v>3676</v>
      </c>
      <c r="AE161" t="s">
        <v>3676</v>
      </c>
      <c r="AF161" t="s">
        <v>3676</v>
      </c>
      <c r="AG161" t="s">
        <v>3676</v>
      </c>
      <c r="AH161" t="s">
        <v>3676</v>
      </c>
      <c r="AI161" t="s">
        <v>3676</v>
      </c>
      <c r="AJ161" t="s">
        <v>3676</v>
      </c>
      <c r="AK161" t="s">
        <v>3676</v>
      </c>
      <c r="AL161" t="s">
        <v>3667</v>
      </c>
      <c r="AM161" t="s">
        <v>3667</v>
      </c>
      <c r="AN161" t="s">
        <v>3667</v>
      </c>
      <c r="AO161" t="s">
        <v>84</v>
      </c>
      <c r="AP161" t="s">
        <v>3676</v>
      </c>
      <c r="AQ161" t="s">
        <v>3676</v>
      </c>
      <c r="AR161" t="s">
        <v>84</v>
      </c>
      <c r="AS161" t="s">
        <v>3676</v>
      </c>
      <c r="AT161" t="s">
        <v>3676</v>
      </c>
      <c r="AU161" t="s">
        <v>3676</v>
      </c>
      <c r="AV161" t="s">
        <v>3676</v>
      </c>
      <c r="AW161" t="s">
        <v>3676</v>
      </c>
      <c r="AX161" t="s">
        <v>4595</v>
      </c>
    </row>
    <row r="162" spans="1:50" x14ac:dyDescent="0.25">
      <c r="A162" t="s">
        <v>4596</v>
      </c>
      <c r="B162" t="s">
        <v>4597</v>
      </c>
      <c r="C162" t="s">
        <v>4598</v>
      </c>
      <c r="D162" t="s">
        <v>3937</v>
      </c>
      <c r="E162" t="s">
        <v>3666</v>
      </c>
      <c r="F162" t="s">
        <v>3667</v>
      </c>
      <c r="G162" t="s">
        <v>3685</v>
      </c>
      <c r="H162" t="s">
        <v>3982</v>
      </c>
      <c r="I162" t="s">
        <v>3670</v>
      </c>
      <c r="J162" t="s">
        <v>4322</v>
      </c>
      <c r="K162" t="s">
        <v>4322</v>
      </c>
      <c r="L162" t="s">
        <v>4599</v>
      </c>
      <c r="M162" t="s">
        <v>4600</v>
      </c>
      <c r="N162" t="s">
        <v>4601</v>
      </c>
      <c r="O162" t="s">
        <v>4602</v>
      </c>
      <c r="P162" t="s">
        <v>4603</v>
      </c>
      <c r="Q162" t="s">
        <v>4604</v>
      </c>
      <c r="R162" t="s">
        <v>3668</v>
      </c>
      <c r="S162" t="s">
        <v>3667</v>
      </c>
      <c r="T162" t="s">
        <v>3667</v>
      </c>
      <c r="U162" t="s">
        <v>3667</v>
      </c>
      <c r="V162" t="s">
        <v>3667</v>
      </c>
      <c r="W162" t="s">
        <v>68</v>
      </c>
      <c r="X162" t="s">
        <v>3676</v>
      </c>
      <c r="Y162" t="s">
        <v>3676</v>
      </c>
      <c r="Z162" t="s">
        <v>3676</v>
      </c>
      <c r="AA162" t="s">
        <v>3676</v>
      </c>
      <c r="AB162" t="s">
        <v>3676</v>
      </c>
      <c r="AC162" t="s">
        <v>3676</v>
      </c>
      <c r="AD162" t="s">
        <v>3676</v>
      </c>
      <c r="AE162" t="s">
        <v>3676</v>
      </c>
      <c r="AF162" t="s">
        <v>3676</v>
      </c>
      <c r="AG162" t="s">
        <v>3676</v>
      </c>
      <c r="AH162" t="s">
        <v>3676</v>
      </c>
      <c r="AI162" t="s">
        <v>3676</v>
      </c>
      <c r="AJ162" t="s">
        <v>3676</v>
      </c>
      <c r="AK162" t="s">
        <v>3676</v>
      </c>
      <c r="AL162" t="s">
        <v>3667</v>
      </c>
      <c r="AM162" t="s">
        <v>3667</v>
      </c>
      <c r="AN162" t="s">
        <v>3667</v>
      </c>
      <c r="AO162" t="s">
        <v>68</v>
      </c>
      <c r="AP162" t="s">
        <v>3676</v>
      </c>
      <c r="AQ162" t="s">
        <v>3676</v>
      </c>
      <c r="AR162" t="s">
        <v>68</v>
      </c>
      <c r="AS162" t="s">
        <v>3676</v>
      </c>
      <c r="AT162" t="s">
        <v>3676</v>
      </c>
      <c r="AU162" t="s">
        <v>3676</v>
      </c>
      <c r="AV162" t="s">
        <v>3676</v>
      </c>
      <c r="AW162" t="s">
        <v>3676</v>
      </c>
      <c r="AX162" t="s">
        <v>4605</v>
      </c>
    </row>
    <row r="163" spans="1:50" x14ac:dyDescent="0.25">
      <c r="A163" t="s">
        <v>4606</v>
      </c>
      <c r="B163" t="s">
        <v>4607</v>
      </c>
      <c r="C163" t="s">
        <v>4608</v>
      </c>
      <c r="D163" t="s">
        <v>3665</v>
      </c>
      <c r="E163" t="s">
        <v>3666</v>
      </c>
      <c r="F163" t="s">
        <v>3667</v>
      </c>
      <c r="G163" t="s">
        <v>3668</v>
      </c>
      <c r="H163" t="s">
        <v>3790</v>
      </c>
      <c r="I163" t="s">
        <v>3670</v>
      </c>
      <c r="J163" t="s">
        <v>3674</v>
      </c>
      <c r="K163" t="s">
        <v>3674</v>
      </c>
      <c r="L163" t="s">
        <v>3667</v>
      </c>
      <c r="M163" t="s">
        <v>3667</v>
      </c>
      <c r="N163" t="s">
        <v>3667</v>
      </c>
      <c r="O163" t="s">
        <v>4609</v>
      </c>
      <c r="P163" t="s">
        <v>4610</v>
      </c>
      <c r="Q163" t="s">
        <v>4611</v>
      </c>
      <c r="R163" t="s">
        <v>3685</v>
      </c>
      <c r="S163" t="s">
        <v>4612</v>
      </c>
      <c r="T163" t="s">
        <v>3667</v>
      </c>
      <c r="U163" t="s">
        <v>3667</v>
      </c>
      <c r="V163" t="s">
        <v>3667</v>
      </c>
      <c r="W163" t="s">
        <v>823</v>
      </c>
      <c r="X163" t="s">
        <v>3676</v>
      </c>
      <c r="Y163" t="s">
        <v>3676</v>
      </c>
      <c r="Z163" t="s">
        <v>3676</v>
      </c>
      <c r="AA163" t="s">
        <v>3676</v>
      </c>
      <c r="AB163" t="s">
        <v>3274</v>
      </c>
      <c r="AC163" t="s">
        <v>3676</v>
      </c>
      <c r="AD163" t="s">
        <v>3676</v>
      </c>
      <c r="AE163" t="s">
        <v>3676</v>
      </c>
      <c r="AF163" t="s">
        <v>3676</v>
      </c>
      <c r="AG163" t="s">
        <v>3676</v>
      </c>
      <c r="AH163" t="s">
        <v>3676</v>
      </c>
      <c r="AI163" t="s">
        <v>4613</v>
      </c>
      <c r="AJ163" t="s">
        <v>3676</v>
      </c>
      <c r="AK163" t="s">
        <v>3676</v>
      </c>
      <c r="AL163" t="s">
        <v>3667</v>
      </c>
      <c r="AM163" t="s">
        <v>3667</v>
      </c>
      <c r="AN163" t="s">
        <v>3667</v>
      </c>
      <c r="AO163" t="s">
        <v>57</v>
      </c>
      <c r="AP163" t="s">
        <v>3676</v>
      </c>
      <c r="AQ163" t="s">
        <v>3676</v>
      </c>
      <c r="AR163" t="s">
        <v>57</v>
      </c>
      <c r="AS163" t="s">
        <v>3676</v>
      </c>
      <c r="AT163" t="s">
        <v>3676</v>
      </c>
      <c r="AU163" t="s">
        <v>3676</v>
      </c>
      <c r="AV163" t="s">
        <v>3676</v>
      </c>
      <c r="AW163" t="s">
        <v>3676</v>
      </c>
      <c r="AX163" t="s">
        <v>3754</v>
      </c>
    </row>
    <row r="164" spans="1:50" x14ac:dyDescent="0.25">
      <c r="A164" t="s">
        <v>4606</v>
      </c>
      <c r="B164" t="s">
        <v>4614</v>
      </c>
      <c r="C164" t="s">
        <v>4608</v>
      </c>
      <c r="D164" t="s">
        <v>3665</v>
      </c>
      <c r="E164" t="s">
        <v>3666</v>
      </c>
      <c r="F164" t="s">
        <v>3667</v>
      </c>
      <c r="G164" t="s">
        <v>3668</v>
      </c>
      <c r="H164" t="s">
        <v>3790</v>
      </c>
      <c r="I164" t="s">
        <v>3670</v>
      </c>
      <c r="J164" t="s">
        <v>4615</v>
      </c>
      <c r="K164" t="s">
        <v>4615</v>
      </c>
      <c r="L164" t="s">
        <v>3667</v>
      </c>
      <c r="M164" t="s">
        <v>3667</v>
      </c>
      <c r="N164" t="s">
        <v>3667</v>
      </c>
      <c r="O164" t="s">
        <v>4616</v>
      </c>
      <c r="P164" t="s">
        <v>4617</v>
      </c>
      <c r="Q164" t="s">
        <v>4618</v>
      </c>
      <c r="R164" t="s">
        <v>3668</v>
      </c>
      <c r="S164" t="s">
        <v>3667</v>
      </c>
      <c r="T164" t="s">
        <v>3667</v>
      </c>
      <c r="U164" t="s">
        <v>3667</v>
      </c>
      <c r="V164" t="s">
        <v>3667</v>
      </c>
      <c r="W164" t="s">
        <v>887</v>
      </c>
      <c r="X164" t="s">
        <v>3676</v>
      </c>
      <c r="Y164" t="s">
        <v>3676</v>
      </c>
      <c r="Z164" t="s">
        <v>3676</v>
      </c>
      <c r="AA164" t="s">
        <v>3676</v>
      </c>
      <c r="AB164" t="s">
        <v>3274</v>
      </c>
      <c r="AC164" t="s">
        <v>3676</v>
      </c>
      <c r="AD164" t="s">
        <v>3676</v>
      </c>
      <c r="AE164" t="s">
        <v>3676</v>
      </c>
      <c r="AF164" t="s">
        <v>3676</v>
      </c>
      <c r="AG164" t="s">
        <v>3676</v>
      </c>
      <c r="AH164" t="s">
        <v>3676</v>
      </c>
      <c r="AI164" t="s">
        <v>3676</v>
      </c>
      <c r="AJ164" t="s">
        <v>3676</v>
      </c>
      <c r="AK164" t="s">
        <v>3676</v>
      </c>
      <c r="AL164" t="s">
        <v>3667</v>
      </c>
      <c r="AM164" t="s">
        <v>3667</v>
      </c>
      <c r="AN164" t="s">
        <v>3667</v>
      </c>
      <c r="AO164" t="s">
        <v>3179</v>
      </c>
      <c r="AP164" t="s">
        <v>3676</v>
      </c>
      <c r="AQ164" t="s">
        <v>3676</v>
      </c>
      <c r="AR164" t="s">
        <v>3179</v>
      </c>
      <c r="AS164" t="s">
        <v>3676</v>
      </c>
      <c r="AT164" t="s">
        <v>3676</v>
      </c>
      <c r="AU164" t="s">
        <v>3676</v>
      </c>
      <c r="AV164" t="s">
        <v>3676</v>
      </c>
      <c r="AW164" t="s">
        <v>3676</v>
      </c>
      <c r="AX164" t="s">
        <v>4619</v>
      </c>
    </row>
    <row r="165" spans="1:50" x14ac:dyDescent="0.25">
      <c r="A165" t="s">
        <v>4606</v>
      </c>
      <c r="B165" t="s">
        <v>4620</v>
      </c>
      <c r="C165" t="s">
        <v>4608</v>
      </c>
      <c r="D165" t="s">
        <v>3665</v>
      </c>
      <c r="E165" t="s">
        <v>3734</v>
      </c>
      <c r="F165" t="s">
        <v>3667</v>
      </c>
      <c r="G165" t="s">
        <v>3668</v>
      </c>
      <c r="H165" t="s">
        <v>3790</v>
      </c>
      <c r="I165" t="s">
        <v>3670</v>
      </c>
      <c r="J165" t="s">
        <v>4621</v>
      </c>
      <c r="K165" t="s">
        <v>4621</v>
      </c>
      <c r="L165" t="s">
        <v>3667</v>
      </c>
      <c r="M165" t="s">
        <v>3667</v>
      </c>
      <c r="N165" t="s">
        <v>3667</v>
      </c>
      <c r="O165" t="s">
        <v>4616</v>
      </c>
      <c r="P165" t="s">
        <v>4622</v>
      </c>
      <c r="Q165" t="s">
        <v>4623</v>
      </c>
      <c r="R165" t="s">
        <v>3668</v>
      </c>
      <c r="S165" t="s">
        <v>3667</v>
      </c>
      <c r="T165" t="s">
        <v>3667</v>
      </c>
      <c r="U165" t="s">
        <v>3667</v>
      </c>
      <c r="V165" t="s">
        <v>3667</v>
      </c>
      <c r="W165" t="s">
        <v>2269</v>
      </c>
      <c r="X165" t="s">
        <v>3676</v>
      </c>
      <c r="Y165" t="s">
        <v>3676</v>
      </c>
      <c r="Z165" t="s">
        <v>3676</v>
      </c>
      <c r="AA165" t="s">
        <v>3676</v>
      </c>
      <c r="AB165" t="s">
        <v>3274</v>
      </c>
      <c r="AC165" t="s">
        <v>3676</v>
      </c>
      <c r="AD165" t="s">
        <v>3676</v>
      </c>
      <c r="AE165" t="s">
        <v>3676</v>
      </c>
      <c r="AF165" t="s">
        <v>3676</v>
      </c>
      <c r="AG165" t="s">
        <v>3676</v>
      </c>
      <c r="AH165" t="s">
        <v>3676</v>
      </c>
      <c r="AI165" t="s">
        <v>3676</v>
      </c>
      <c r="AJ165" t="s">
        <v>3676</v>
      </c>
      <c r="AK165" t="s">
        <v>3676</v>
      </c>
      <c r="AL165" t="s">
        <v>3667</v>
      </c>
      <c r="AM165" t="s">
        <v>3667</v>
      </c>
      <c r="AN165" t="s">
        <v>3667</v>
      </c>
      <c r="AO165" t="s">
        <v>3735</v>
      </c>
      <c r="AP165" t="s">
        <v>2269</v>
      </c>
      <c r="AQ165" t="s">
        <v>3676</v>
      </c>
      <c r="AR165" t="s">
        <v>3736</v>
      </c>
      <c r="AS165" t="s">
        <v>3676</v>
      </c>
      <c r="AT165" t="s">
        <v>3676</v>
      </c>
      <c r="AU165" t="s">
        <v>3676</v>
      </c>
      <c r="AV165" t="s">
        <v>3676</v>
      </c>
      <c r="AW165" t="s">
        <v>3676</v>
      </c>
      <c r="AX165" t="s">
        <v>3737</v>
      </c>
    </row>
    <row r="166" spans="1:50" x14ac:dyDescent="0.25">
      <c r="A166" t="s">
        <v>4606</v>
      </c>
      <c r="B166" t="s">
        <v>4624</v>
      </c>
      <c r="C166" t="s">
        <v>4608</v>
      </c>
      <c r="D166" t="s">
        <v>3665</v>
      </c>
      <c r="E166" t="s">
        <v>3734</v>
      </c>
      <c r="F166" t="s">
        <v>3667</v>
      </c>
      <c r="G166" t="s">
        <v>3685</v>
      </c>
      <c r="H166" t="s">
        <v>3790</v>
      </c>
      <c r="I166" t="s">
        <v>3670</v>
      </c>
      <c r="J166" t="s">
        <v>4625</v>
      </c>
      <c r="K166" t="s">
        <v>4625</v>
      </c>
      <c r="L166" t="s">
        <v>3667</v>
      </c>
      <c r="M166" t="s">
        <v>3667</v>
      </c>
      <c r="N166" t="s">
        <v>3667</v>
      </c>
      <c r="O166" t="s">
        <v>4626</v>
      </c>
      <c r="P166" t="s">
        <v>4220</v>
      </c>
      <c r="Q166" t="s">
        <v>3902</v>
      </c>
      <c r="R166" t="s">
        <v>3668</v>
      </c>
      <c r="S166" t="s">
        <v>3667</v>
      </c>
      <c r="T166" t="s">
        <v>3667</v>
      </c>
      <c r="U166" t="s">
        <v>3667</v>
      </c>
      <c r="V166" t="s">
        <v>3667</v>
      </c>
      <c r="W166" t="s">
        <v>3462</v>
      </c>
      <c r="X166" t="s">
        <v>3676</v>
      </c>
      <c r="Y166" t="s">
        <v>3676</v>
      </c>
      <c r="Z166" t="s">
        <v>3676</v>
      </c>
      <c r="AA166" t="s">
        <v>3676</v>
      </c>
      <c r="AB166" t="s">
        <v>3676</v>
      </c>
      <c r="AC166" t="s">
        <v>3676</v>
      </c>
      <c r="AD166" t="s">
        <v>3676</v>
      </c>
      <c r="AE166" t="s">
        <v>3676</v>
      </c>
      <c r="AF166" t="s">
        <v>3676</v>
      </c>
      <c r="AG166" t="s">
        <v>3676</v>
      </c>
      <c r="AH166" t="s">
        <v>3676</v>
      </c>
      <c r="AI166" t="s">
        <v>3676</v>
      </c>
      <c r="AJ166" t="s">
        <v>3676</v>
      </c>
      <c r="AK166" t="s">
        <v>3676</v>
      </c>
      <c r="AL166" t="s">
        <v>3667</v>
      </c>
      <c r="AM166" t="s">
        <v>3667</v>
      </c>
      <c r="AN166" t="s">
        <v>3667</v>
      </c>
      <c r="AO166" t="s">
        <v>3462</v>
      </c>
      <c r="AP166" t="s">
        <v>3676</v>
      </c>
      <c r="AQ166" t="s">
        <v>3676</v>
      </c>
      <c r="AR166" t="s">
        <v>3462</v>
      </c>
      <c r="AS166" t="s">
        <v>3676</v>
      </c>
      <c r="AT166" t="s">
        <v>3676</v>
      </c>
      <c r="AU166" t="s">
        <v>3676</v>
      </c>
      <c r="AV166" t="s">
        <v>3676</v>
      </c>
      <c r="AW166" t="s">
        <v>3676</v>
      </c>
      <c r="AX166" t="s">
        <v>4627</v>
      </c>
    </row>
    <row r="167" spans="1:50" x14ac:dyDescent="0.25">
      <c r="A167" t="s">
        <v>4606</v>
      </c>
      <c r="B167" t="s">
        <v>4628</v>
      </c>
      <c r="C167" t="s">
        <v>4608</v>
      </c>
      <c r="D167" t="s">
        <v>3665</v>
      </c>
      <c r="E167" t="s">
        <v>3666</v>
      </c>
      <c r="F167" t="s">
        <v>3667</v>
      </c>
      <c r="G167" t="s">
        <v>3685</v>
      </c>
      <c r="H167" t="s">
        <v>3790</v>
      </c>
      <c r="I167" t="s">
        <v>3670</v>
      </c>
      <c r="J167" t="s">
        <v>4629</v>
      </c>
      <c r="K167" t="s">
        <v>4629</v>
      </c>
      <c r="L167" t="s">
        <v>3667</v>
      </c>
      <c r="M167" t="s">
        <v>3667</v>
      </c>
      <c r="N167" t="s">
        <v>3667</v>
      </c>
      <c r="O167" t="s">
        <v>4630</v>
      </c>
      <c r="P167" t="s">
        <v>4631</v>
      </c>
      <c r="Q167" t="s">
        <v>3700</v>
      </c>
      <c r="R167" t="s">
        <v>3668</v>
      </c>
      <c r="S167" t="s">
        <v>3667</v>
      </c>
      <c r="T167" t="s">
        <v>3667</v>
      </c>
      <c r="U167" t="s">
        <v>3667</v>
      </c>
      <c r="V167" t="s">
        <v>3667</v>
      </c>
      <c r="W167" t="s">
        <v>306</v>
      </c>
      <c r="X167" t="s">
        <v>3676</v>
      </c>
      <c r="Y167" t="s">
        <v>3676</v>
      </c>
      <c r="Z167" t="s">
        <v>3676</v>
      </c>
      <c r="AA167" t="s">
        <v>3676</v>
      </c>
      <c r="AB167" t="s">
        <v>3676</v>
      </c>
      <c r="AC167" t="s">
        <v>3676</v>
      </c>
      <c r="AD167" t="s">
        <v>3676</v>
      </c>
      <c r="AE167" t="s">
        <v>3676</v>
      </c>
      <c r="AF167" t="s">
        <v>3676</v>
      </c>
      <c r="AG167" t="s">
        <v>3676</v>
      </c>
      <c r="AH167" t="s">
        <v>3676</v>
      </c>
      <c r="AI167" t="s">
        <v>3676</v>
      </c>
      <c r="AJ167" t="s">
        <v>3676</v>
      </c>
      <c r="AK167" t="s">
        <v>3676</v>
      </c>
      <c r="AL167" t="s">
        <v>3667</v>
      </c>
      <c r="AM167" t="s">
        <v>3667</v>
      </c>
      <c r="AN167" t="s">
        <v>3667</v>
      </c>
      <c r="AO167" t="s">
        <v>306</v>
      </c>
      <c r="AP167" t="s">
        <v>3676</v>
      </c>
      <c r="AQ167" t="s">
        <v>3676</v>
      </c>
      <c r="AR167" t="s">
        <v>306</v>
      </c>
      <c r="AS167" t="s">
        <v>3676</v>
      </c>
      <c r="AT167" t="s">
        <v>3676</v>
      </c>
      <c r="AU167" t="s">
        <v>3676</v>
      </c>
      <c r="AV167" t="s">
        <v>3676</v>
      </c>
      <c r="AW167" t="s">
        <v>3676</v>
      </c>
      <c r="AX167" t="s">
        <v>4632</v>
      </c>
    </row>
    <row r="168" spans="1:50" x14ac:dyDescent="0.25">
      <c r="A168" t="s">
        <v>4606</v>
      </c>
      <c r="B168" t="s">
        <v>4633</v>
      </c>
      <c r="C168" t="s">
        <v>4608</v>
      </c>
      <c r="D168" t="s">
        <v>3665</v>
      </c>
      <c r="E168" t="s">
        <v>3734</v>
      </c>
      <c r="F168" t="s">
        <v>3667</v>
      </c>
      <c r="G168" t="s">
        <v>3668</v>
      </c>
      <c r="H168" t="s">
        <v>3790</v>
      </c>
      <c r="I168" t="s">
        <v>3670</v>
      </c>
      <c r="J168" t="s">
        <v>4634</v>
      </c>
      <c r="K168" t="s">
        <v>4634</v>
      </c>
      <c r="L168" t="s">
        <v>3667</v>
      </c>
      <c r="M168" t="s">
        <v>3667</v>
      </c>
      <c r="N168" t="s">
        <v>3667</v>
      </c>
      <c r="O168" t="s">
        <v>4635</v>
      </c>
      <c r="P168" t="s">
        <v>3713</v>
      </c>
      <c r="Q168" t="s">
        <v>4636</v>
      </c>
      <c r="R168" t="s">
        <v>3668</v>
      </c>
      <c r="S168" t="s">
        <v>3667</v>
      </c>
      <c r="T168" t="s">
        <v>3667</v>
      </c>
      <c r="U168" t="s">
        <v>3667</v>
      </c>
      <c r="V168" t="s">
        <v>3667</v>
      </c>
      <c r="W168" t="s">
        <v>2209</v>
      </c>
      <c r="X168" t="s">
        <v>3676</v>
      </c>
      <c r="Y168" t="s">
        <v>3676</v>
      </c>
      <c r="Z168" t="s">
        <v>3676</v>
      </c>
      <c r="AA168" t="s">
        <v>3676</v>
      </c>
      <c r="AB168" t="s">
        <v>3274</v>
      </c>
      <c r="AC168" t="s">
        <v>3676</v>
      </c>
      <c r="AD168" t="s">
        <v>3676</v>
      </c>
      <c r="AE168" t="s">
        <v>3676</v>
      </c>
      <c r="AF168" t="s">
        <v>3676</v>
      </c>
      <c r="AG168" t="s">
        <v>3676</v>
      </c>
      <c r="AH168" t="s">
        <v>3676</v>
      </c>
      <c r="AI168" t="s">
        <v>3676</v>
      </c>
      <c r="AJ168" t="s">
        <v>3676</v>
      </c>
      <c r="AK168" t="s">
        <v>3676</v>
      </c>
      <c r="AL168" t="s">
        <v>3667</v>
      </c>
      <c r="AM168" t="s">
        <v>3667</v>
      </c>
      <c r="AN168" t="s">
        <v>3667</v>
      </c>
      <c r="AO168" t="s">
        <v>4637</v>
      </c>
      <c r="AP168" t="s">
        <v>3676</v>
      </c>
      <c r="AQ168" t="s">
        <v>3676</v>
      </c>
      <c r="AR168" t="s">
        <v>4637</v>
      </c>
      <c r="AS168" t="s">
        <v>3676</v>
      </c>
      <c r="AT168" t="s">
        <v>3676</v>
      </c>
      <c r="AU168" t="s">
        <v>3676</v>
      </c>
      <c r="AV168" t="s">
        <v>3676</v>
      </c>
      <c r="AW168" t="s">
        <v>3676</v>
      </c>
      <c r="AX168" t="s">
        <v>4638</v>
      </c>
    </row>
    <row r="169" spans="1:50" x14ac:dyDescent="0.25">
      <c r="A169" t="s">
        <v>4606</v>
      </c>
      <c r="B169" t="s">
        <v>4639</v>
      </c>
      <c r="C169" t="s">
        <v>4608</v>
      </c>
      <c r="D169" t="s">
        <v>3665</v>
      </c>
      <c r="E169" t="s">
        <v>3734</v>
      </c>
      <c r="F169" t="s">
        <v>3667</v>
      </c>
      <c r="G169" t="s">
        <v>3668</v>
      </c>
      <c r="H169" t="s">
        <v>3790</v>
      </c>
      <c r="I169" t="s">
        <v>3670</v>
      </c>
      <c r="J169" t="s">
        <v>3707</v>
      </c>
      <c r="K169" t="s">
        <v>3707</v>
      </c>
      <c r="L169" t="s">
        <v>3667</v>
      </c>
      <c r="M169" t="s">
        <v>3667</v>
      </c>
      <c r="N169" t="s">
        <v>3667</v>
      </c>
      <c r="O169" t="s">
        <v>4635</v>
      </c>
      <c r="P169" t="s">
        <v>4640</v>
      </c>
      <c r="Q169" t="s">
        <v>3709</v>
      </c>
      <c r="R169" t="s">
        <v>3668</v>
      </c>
      <c r="S169" t="s">
        <v>3667</v>
      </c>
      <c r="T169" t="s">
        <v>3667</v>
      </c>
      <c r="U169" t="s">
        <v>3667</v>
      </c>
      <c r="V169" t="s">
        <v>3667</v>
      </c>
      <c r="W169" t="s">
        <v>2255</v>
      </c>
      <c r="X169" t="s">
        <v>3676</v>
      </c>
      <c r="Y169" t="s">
        <v>3676</v>
      </c>
      <c r="Z169" t="s">
        <v>3676</v>
      </c>
      <c r="AA169" t="s">
        <v>3676</v>
      </c>
      <c r="AB169" t="s">
        <v>3274</v>
      </c>
      <c r="AC169" t="s">
        <v>3676</v>
      </c>
      <c r="AD169" t="s">
        <v>3676</v>
      </c>
      <c r="AE169" t="s">
        <v>3676</v>
      </c>
      <c r="AF169" t="s">
        <v>3676</v>
      </c>
      <c r="AG169" t="s">
        <v>3676</v>
      </c>
      <c r="AH169" t="s">
        <v>3676</v>
      </c>
      <c r="AI169" t="s">
        <v>3676</v>
      </c>
      <c r="AJ169" t="s">
        <v>3676</v>
      </c>
      <c r="AK169" t="s">
        <v>3676</v>
      </c>
      <c r="AL169" t="s">
        <v>3667</v>
      </c>
      <c r="AM169" t="s">
        <v>3667</v>
      </c>
      <c r="AN169" t="s">
        <v>3667</v>
      </c>
      <c r="AO169" t="s">
        <v>4641</v>
      </c>
      <c r="AP169" t="s">
        <v>2255</v>
      </c>
      <c r="AQ169" t="s">
        <v>3676</v>
      </c>
      <c r="AR169" t="s">
        <v>4642</v>
      </c>
      <c r="AS169" t="s">
        <v>3676</v>
      </c>
      <c r="AT169" t="s">
        <v>3676</v>
      </c>
      <c r="AU169" t="s">
        <v>3676</v>
      </c>
      <c r="AV169" t="s">
        <v>3676</v>
      </c>
      <c r="AW169" t="s">
        <v>3676</v>
      </c>
      <c r="AX169" t="s">
        <v>4643</v>
      </c>
    </row>
    <row r="170" spans="1:50" x14ac:dyDescent="0.25">
      <c r="A170" t="s">
        <v>4606</v>
      </c>
      <c r="B170" t="s">
        <v>4644</v>
      </c>
      <c r="C170" t="s">
        <v>4608</v>
      </c>
      <c r="D170" t="s">
        <v>3665</v>
      </c>
      <c r="E170" t="s">
        <v>3666</v>
      </c>
      <c r="F170" t="s">
        <v>3667</v>
      </c>
      <c r="G170" t="s">
        <v>3685</v>
      </c>
      <c r="H170" t="s">
        <v>3790</v>
      </c>
      <c r="I170" t="s">
        <v>3670</v>
      </c>
      <c r="J170" t="s">
        <v>4537</v>
      </c>
      <c r="K170" t="s">
        <v>4537</v>
      </c>
      <c r="L170" t="s">
        <v>3667</v>
      </c>
      <c r="M170" t="s">
        <v>3667</v>
      </c>
      <c r="N170" t="s">
        <v>3667</v>
      </c>
      <c r="O170" t="s">
        <v>4645</v>
      </c>
      <c r="P170" t="s">
        <v>4646</v>
      </c>
      <c r="Q170" t="s">
        <v>4647</v>
      </c>
      <c r="R170" t="s">
        <v>3668</v>
      </c>
      <c r="S170" t="s">
        <v>3667</v>
      </c>
      <c r="T170" t="s">
        <v>3667</v>
      </c>
      <c r="U170" t="s">
        <v>3667</v>
      </c>
      <c r="V170" t="s">
        <v>3667</v>
      </c>
      <c r="W170" t="s">
        <v>1242</v>
      </c>
      <c r="X170" t="s">
        <v>3676</v>
      </c>
      <c r="Y170" t="s">
        <v>3676</v>
      </c>
      <c r="Z170" t="s">
        <v>3676</v>
      </c>
      <c r="AA170" t="s">
        <v>3676</v>
      </c>
      <c r="AB170" t="s">
        <v>3676</v>
      </c>
      <c r="AC170" t="s">
        <v>3676</v>
      </c>
      <c r="AD170" t="s">
        <v>3676</v>
      </c>
      <c r="AE170" t="s">
        <v>3676</v>
      </c>
      <c r="AF170" t="s">
        <v>3676</v>
      </c>
      <c r="AG170" t="s">
        <v>3676</v>
      </c>
      <c r="AH170" t="s">
        <v>3676</v>
      </c>
      <c r="AI170" t="s">
        <v>3676</v>
      </c>
      <c r="AJ170" t="s">
        <v>3676</v>
      </c>
      <c r="AK170" t="s">
        <v>3676</v>
      </c>
      <c r="AL170" t="s">
        <v>3667</v>
      </c>
      <c r="AM170" t="s">
        <v>3667</v>
      </c>
      <c r="AN170" t="s">
        <v>3667</v>
      </c>
      <c r="AO170" t="s">
        <v>1242</v>
      </c>
      <c r="AP170" t="s">
        <v>3676</v>
      </c>
      <c r="AQ170" t="s">
        <v>3676</v>
      </c>
      <c r="AR170" t="s">
        <v>1242</v>
      </c>
      <c r="AS170" t="s">
        <v>3676</v>
      </c>
      <c r="AT170" t="s">
        <v>3676</v>
      </c>
      <c r="AU170" t="s">
        <v>3676</v>
      </c>
      <c r="AV170" t="s">
        <v>3676</v>
      </c>
      <c r="AW170" t="s">
        <v>3676</v>
      </c>
      <c r="AX170" t="s">
        <v>4648</v>
      </c>
    </row>
    <row r="171" spans="1:50" x14ac:dyDescent="0.25">
      <c r="A171" t="s">
        <v>4606</v>
      </c>
      <c r="B171" t="s">
        <v>4649</v>
      </c>
      <c r="C171" t="s">
        <v>4608</v>
      </c>
      <c r="D171" t="s">
        <v>3665</v>
      </c>
      <c r="E171" t="s">
        <v>3666</v>
      </c>
      <c r="F171" t="s">
        <v>3667</v>
      </c>
      <c r="G171" t="s">
        <v>3668</v>
      </c>
      <c r="H171" t="s">
        <v>3790</v>
      </c>
      <c r="I171" t="s">
        <v>3670</v>
      </c>
      <c r="J171" t="s">
        <v>4650</v>
      </c>
      <c r="K171" t="s">
        <v>4650</v>
      </c>
      <c r="L171" t="s">
        <v>3667</v>
      </c>
      <c r="M171" t="s">
        <v>3667</v>
      </c>
      <c r="N171" t="s">
        <v>3667</v>
      </c>
      <c r="O171" t="s">
        <v>4651</v>
      </c>
      <c r="P171" t="s">
        <v>3850</v>
      </c>
      <c r="Q171" t="s">
        <v>4086</v>
      </c>
      <c r="R171" t="s">
        <v>3668</v>
      </c>
      <c r="S171" t="s">
        <v>3667</v>
      </c>
      <c r="T171" t="s">
        <v>3667</v>
      </c>
      <c r="U171" t="s">
        <v>3667</v>
      </c>
      <c r="V171" t="s">
        <v>3667</v>
      </c>
      <c r="W171" t="s">
        <v>2269</v>
      </c>
      <c r="X171" t="s">
        <v>3676</v>
      </c>
      <c r="Y171" t="s">
        <v>3676</v>
      </c>
      <c r="Z171" t="s">
        <v>3676</v>
      </c>
      <c r="AA171" t="s">
        <v>3676</v>
      </c>
      <c r="AB171" t="s">
        <v>3274</v>
      </c>
      <c r="AC171" t="s">
        <v>3676</v>
      </c>
      <c r="AD171" t="s">
        <v>3676</v>
      </c>
      <c r="AE171" t="s">
        <v>3676</v>
      </c>
      <c r="AF171" t="s">
        <v>3676</v>
      </c>
      <c r="AG171" t="s">
        <v>3676</v>
      </c>
      <c r="AH171" t="s">
        <v>3676</v>
      </c>
      <c r="AI171" t="s">
        <v>3676</v>
      </c>
      <c r="AJ171" t="s">
        <v>3676</v>
      </c>
      <c r="AK171" t="s">
        <v>3676</v>
      </c>
      <c r="AL171" t="s">
        <v>3667</v>
      </c>
      <c r="AM171" t="s">
        <v>3667</v>
      </c>
      <c r="AN171" t="s">
        <v>3667</v>
      </c>
      <c r="AO171" t="s">
        <v>739</v>
      </c>
      <c r="AP171" t="s">
        <v>3676</v>
      </c>
      <c r="AQ171" t="s">
        <v>3676</v>
      </c>
      <c r="AR171" t="s">
        <v>739</v>
      </c>
      <c r="AS171" t="s">
        <v>3676</v>
      </c>
      <c r="AT171" t="s">
        <v>3676</v>
      </c>
      <c r="AU171" t="s">
        <v>3676</v>
      </c>
      <c r="AV171" t="s">
        <v>3676</v>
      </c>
      <c r="AW171" t="s">
        <v>3676</v>
      </c>
      <c r="AX171" t="s">
        <v>4652</v>
      </c>
    </row>
    <row r="172" spans="1:50" x14ac:dyDescent="0.25">
      <c r="A172" t="s">
        <v>4606</v>
      </c>
      <c r="B172" t="s">
        <v>4653</v>
      </c>
      <c r="C172" t="s">
        <v>4608</v>
      </c>
      <c r="D172" t="s">
        <v>3665</v>
      </c>
      <c r="E172" t="s">
        <v>3666</v>
      </c>
      <c r="F172" t="s">
        <v>3667</v>
      </c>
      <c r="G172" t="s">
        <v>3685</v>
      </c>
      <c r="H172" t="s">
        <v>3790</v>
      </c>
      <c r="I172" t="s">
        <v>3670</v>
      </c>
      <c r="J172" t="s">
        <v>4654</v>
      </c>
      <c r="K172" t="s">
        <v>4654</v>
      </c>
      <c r="L172" t="s">
        <v>3667</v>
      </c>
      <c r="M172" t="s">
        <v>3667</v>
      </c>
      <c r="N172" t="s">
        <v>3667</v>
      </c>
      <c r="O172" t="s">
        <v>4581</v>
      </c>
      <c r="P172" t="s">
        <v>4655</v>
      </c>
      <c r="Q172" t="s">
        <v>4656</v>
      </c>
      <c r="R172" t="s">
        <v>3668</v>
      </c>
      <c r="S172" t="s">
        <v>3667</v>
      </c>
      <c r="T172" t="s">
        <v>3667</v>
      </c>
      <c r="U172" t="s">
        <v>3667</v>
      </c>
      <c r="V172" t="s">
        <v>3667</v>
      </c>
      <c r="W172" t="s">
        <v>2255</v>
      </c>
      <c r="X172" t="s">
        <v>3676</v>
      </c>
      <c r="Y172" t="s">
        <v>3676</v>
      </c>
      <c r="Z172" t="s">
        <v>3676</v>
      </c>
      <c r="AA172" t="s">
        <v>3676</v>
      </c>
      <c r="AB172" t="s">
        <v>3676</v>
      </c>
      <c r="AC172" t="s">
        <v>3676</v>
      </c>
      <c r="AD172" t="s">
        <v>3676</v>
      </c>
      <c r="AE172" t="s">
        <v>3676</v>
      </c>
      <c r="AF172" t="s">
        <v>3676</v>
      </c>
      <c r="AG172" t="s">
        <v>3676</v>
      </c>
      <c r="AH172" t="s">
        <v>3676</v>
      </c>
      <c r="AI172" t="s">
        <v>3676</v>
      </c>
      <c r="AJ172" t="s">
        <v>3676</v>
      </c>
      <c r="AK172" t="s">
        <v>3676</v>
      </c>
      <c r="AL172" t="s">
        <v>3667</v>
      </c>
      <c r="AM172" t="s">
        <v>3667</v>
      </c>
      <c r="AN172" t="s">
        <v>3667</v>
      </c>
      <c r="AO172" t="s">
        <v>2255</v>
      </c>
      <c r="AP172" t="s">
        <v>3676</v>
      </c>
      <c r="AQ172" t="s">
        <v>3676</v>
      </c>
      <c r="AR172" t="s">
        <v>2255</v>
      </c>
      <c r="AS172" t="s">
        <v>3676</v>
      </c>
      <c r="AT172" t="s">
        <v>3676</v>
      </c>
      <c r="AU172" t="s">
        <v>3676</v>
      </c>
      <c r="AV172" t="s">
        <v>3676</v>
      </c>
      <c r="AW172" t="s">
        <v>3676</v>
      </c>
      <c r="AX172" t="s">
        <v>4092</v>
      </c>
    </row>
    <row r="173" spans="1:50" x14ac:dyDescent="0.25">
      <c r="A173" t="s">
        <v>4606</v>
      </c>
      <c r="B173" t="s">
        <v>4657</v>
      </c>
      <c r="C173" t="s">
        <v>4608</v>
      </c>
      <c r="D173" t="s">
        <v>3665</v>
      </c>
      <c r="E173" t="s">
        <v>3666</v>
      </c>
      <c r="F173" t="s">
        <v>3667</v>
      </c>
      <c r="G173" t="s">
        <v>3685</v>
      </c>
      <c r="H173" t="s">
        <v>3790</v>
      </c>
      <c r="I173" t="s">
        <v>3670</v>
      </c>
      <c r="J173" t="s">
        <v>3772</v>
      </c>
      <c r="K173" t="s">
        <v>3772</v>
      </c>
      <c r="L173" t="s">
        <v>3667</v>
      </c>
      <c r="M173" t="s">
        <v>3667</v>
      </c>
      <c r="N173" t="s">
        <v>3667</v>
      </c>
      <c r="O173" t="s">
        <v>4658</v>
      </c>
      <c r="P173" t="s">
        <v>4335</v>
      </c>
      <c r="Q173" t="s">
        <v>4659</v>
      </c>
      <c r="R173" t="s">
        <v>3668</v>
      </c>
      <c r="S173" t="s">
        <v>3667</v>
      </c>
      <c r="T173" t="s">
        <v>3667</v>
      </c>
      <c r="U173" t="s">
        <v>3667</v>
      </c>
      <c r="V173" t="s">
        <v>3667</v>
      </c>
      <c r="W173" t="s">
        <v>200</v>
      </c>
      <c r="X173" t="s">
        <v>3676</v>
      </c>
      <c r="Y173" t="s">
        <v>3676</v>
      </c>
      <c r="Z173" t="s">
        <v>3676</v>
      </c>
      <c r="AA173" t="s">
        <v>3676</v>
      </c>
      <c r="AB173" t="s">
        <v>3676</v>
      </c>
      <c r="AC173" t="s">
        <v>3676</v>
      </c>
      <c r="AD173" t="s">
        <v>3676</v>
      </c>
      <c r="AE173" t="s">
        <v>3676</v>
      </c>
      <c r="AF173" t="s">
        <v>3676</v>
      </c>
      <c r="AG173" t="s">
        <v>3676</v>
      </c>
      <c r="AH173" t="s">
        <v>3676</v>
      </c>
      <c r="AI173" t="s">
        <v>3676</v>
      </c>
      <c r="AJ173" t="s">
        <v>3676</v>
      </c>
      <c r="AK173" t="s">
        <v>3676</v>
      </c>
      <c r="AL173" t="s">
        <v>3667</v>
      </c>
      <c r="AM173" t="s">
        <v>3667</v>
      </c>
      <c r="AN173" t="s">
        <v>3667</v>
      </c>
      <c r="AO173" t="s">
        <v>200</v>
      </c>
      <c r="AP173" t="s">
        <v>3676</v>
      </c>
      <c r="AQ173" t="s">
        <v>3676</v>
      </c>
      <c r="AR173" t="s">
        <v>200</v>
      </c>
      <c r="AS173" t="s">
        <v>3676</v>
      </c>
      <c r="AT173" t="s">
        <v>3676</v>
      </c>
      <c r="AU173" t="s">
        <v>3676</v>
      </c>
      <c r="AV173" t="s">
        <v>3676</v>
      </c>
      <c r="AW173" t="s">
        <v>3676</v>
      </c>
      <c r="AX173" t="s">
        <v>4660</v>
      </c>
    </row>
    <row r="174" spans="1:50" x14ac:dyDescent="0.25">
      <c r="A174" t="s">
        <v>4606</v>
      </c>
      <c r="B174" t="s">
        <v>4661</v>
      </c>
      <c r="C174" t="s">
        <v>4608</v>
      </c>
      <c r="D174" t="s">
        <v>3665</v>
      </c>
      <c r="E174" t="s">
        <v>3666</v>
      </c>
      <c r="F174" t="s">
        <v>3667</v>
      </c>
      <c r="G174" t="s">
        <v>3668</v>
      </c>
      <c r="H174" t="s">
        <v>3790</v>
      </c>
      <c r="I174" t="s">
        <v>3670</v>
      </c>
      <c r="J174" t="s">
        <v>4662</v>
      </c>
      <c r="K174" t="s">
        <v>4662</v>
      </c>
      <c r="L174" t="s">
        <v>3667</v>
      </c>
      <c r="M174" t="s">
        <v>3667</v>
      </c>
      <c r="N174" t="s">
        <v>3667</v>
      </c>
      <c r="O174" t="s">
        <v>4663</v>
      </c>
      <c r="P174" t="s">
        <v>4664</v>
      </c>
      <c r="Q174" t="s">
        <v>4436</v>
      </c>
      <c r="R174" t="s">
        <v>3668</v>
      </c>
      <c r="S174" t="s">
        <v>3667</v>
      </c>
      <c r="T174" t="s">
        <v>3667</v>
      </c>
      <c r="U174" t="s">
        <v>3667</v>
      </c>
      <c r="V174" t="s">
        <v>3667</v>
      </c>
      <c r="W174" t="s">
        <v>1690</v>
      </c>
      <c r="X174" t="s">
        <v>3676</v>
      </c>
      <c r="Y174" t="s">
        <v>3676</v>
      </c>
      <c r="Z174" t="s">
        <v>3676</v>
      </c>
      <c r="AA174" t="s">
        <v>3676</v>
      </c>
      <c r="AB174" t="s">
        <v>3274</v>
      </c>
      <c r="AC174" t="s">
        <v>3676</v>
      </c>
      <c r="AD174" t="s">
        <v>3676</v>
      </c>
      <c r="AE174" t="s">
        <v>3676</v>
      </c>
      <c r="AF174" t="s">
        <v>3676</v>
      </c>
      <c r="AG174" t="s">
        <v>3676</v>
      </c>
      <c r="AH174" t="s">
        <v>3676</v>
      </c>
      <c r="AI174" t="s">
        <v>3676</v>
      </c>
      <c r="AJ174" t="s">
        <v>3676</v>
      </c>
      <c r="AK174" t="s">
        <v>3676</v>
      </c>
      <c r="AL174" t="s">
        <v>3667</v>
      </c>
      <c r="AM174" t="s">
        <v>3667</v>
      </c>
      <c r="AN174" t="s">
        <v>3667</v>
      </c>
      <c r="AO174" t="s">
        <v>1738</v>
      </c>
      <c r="AP174" t="s">
        <v>3676</v>
      </c>
      <c r="AQ174" t="s">
        <v>3676</v>
      </c>
      <c r="AR174" t="s">
        <v>1738</v>
      </c>
      <c r="AS174" t="s">
        <v>3676</v>
      </c>
      <c r="AT174" t="s">
        <v>3676</v>
      </c>
      <c r="AU174" t="s">
        <v>3676</v>
      </c>
      <c r="AV174" t="s">
        <v>3676</v>
      </c>
      <c r="AW174" t="s">
        <v>3676</v>
      </c>
      <c r="AX174" t="s">
        <v>4665</v>
      </c>
    </row>
    <row r="175" spans="1:50" x14ac:dyDescent="0.25">
      <c r="A175" t="s">
        <v>4666</v>
      </c>
      <c r="B175" t="s">
        <v>4667</v>
      </c>
      <c r="C175" t="s">
        <v>4668</v>
      </c>
      <c r="D175" t="s">
        <v>3665</v>
      </c>
      <c r="E175" t="s">
        <v>3666</v>
      </c>
      <c r="F175" t="s">
        <v>3667</v>
      </c>
      <c r="G175" t="s">
        <v>3668</v>
      </c>
      <c r="H175" t="s">
        <v>4669</v>
      </c>
      <c r="I175" t="s">
        <v>3670</v>
      </c>
      <c r="J175" t="s">
        <v>4670</v>
      </c>
      <c r="K175" t="s">
        <v>4670</v>
      </c>
      <c r="L175" t="s">
        <v>3667</v>
      </c>
      <c r="M175" t="s">
        <v>3667</v>
      </c>
      <c r="N175" t="s">
        <v>3667</v>
      </c>
      <c r="O175" t="s">
        <v>4671</v>
      </c>
      <c r="P175" t="s">
        <v>4672</v>
      </c>
      <c r="Q175" t="s">
        <v>4673</v>
      </c>
      <c r="R175" t="s">
        <v>3668</v>
      </c>
      <c r="S175" t="s">
        <v>3667</v>
      </c>
      <c r="T175" t="s">
        <v>3667</v>
      </c>
      <c r="U175" t="s">
        <v>3667</v>
      </c>
      <c r="V175" t="s">
        <v>3667</v>
      </c>
      <c r="W175" t="s">
        <v>189</v>
      </c>
      <c r="X175" t="s">
        <v>3676</v>
      </c>
      <c r="Y175" t="s">
        <v>3676</v>
      </c>
      <c r="Z175" t="s">
        <v>3676</v>
      </c>
      <c r="AA175" t="s">
        <v>3676</v>
      </c>
      <c r="AB175" t="s">
        <v>3274</v>
      </c>
      <c r="AC175" t="s">
        <v>3676</v>
      </c>
      <c r="AD175" t="s">
        <v>3676</v>
      </c>
      <c r="AE175" t="s">
        <v>3676</v>
      </c>
      <c r="AF175" t="s">
        <v>3676</v>
      </c>
      <c r="AG175" t="s">
        <v>3676</v>
      </c>
      <c r="AH175" t="s">
        <v>3676</v>
      </c>
      <c r="AI175" t="s">
        <v>3676</v>
      </c>
      <c r="AJ175" t="s">
        <v>3676</v>
      </c>
      <c r="AK175" t="s">
        <v>3676</v>
      </c>
      <c r="AL175" t="s">
        <v>3667</v>
      </c>
      <c r="AM175" t="s">
        <v>3667</v>
      </c>
      <c r="AN175" t="s">
        <v>3667</v>
      </c>
      <c r="AO175" t="s">
        <v>2968</v>
      </c>
      <c r="AP175" t="s">
        <v>3676</v>
      </c>
      <c r="AQ175" t="s">
        <v>3676</v>
      </c>
      <c r="AR175" t="s">
        <v>2968</v>
      </c>
      <c r="AS175" t="s">
        <v>3676</v>
      </c>
      <c r="AT175" t="s">
        <v>3676</v>
      </c>
      <c r="AU175" t="s">
        <v>3676</v>
      </c>
      <c r="AV175" t="s">
        <v>3676</v>
      </c>
      <c r="AW175" t="s">
        <v>3676</v>
      </c>
      <c r="AX175" t="s">
        <v>4674</v>
      </c>
    </row>
    <row r="176" spans="1:50" x14ac:dyDescent="0.25">
      <c r="A176" t="s">
        <v>4666</v>
      </c>
      <c r="B176" t="s">
        <v>4675</v>
      </c>
      <c r="C176" t="s">
        <v>4668</v>
      </c>
      <c r="D176" t="s">
        <v>3665</v>
      </c>
      <c r="E176" t="s">
        <v>3666</v>
      </c>
      <c r="F176" t="s">
        <v>3667</v>
      </c>
      <c r="G176" t="s">
        <v>3685</v>
      </c>
      <c r="H176" t="s">
        <v>4669</v>
      </c>
      <c r="I176" t="s">
        <v>3822</v>
      </c>
      <c r="J176" t="s">
        <v>3702</v>
      </c>
      <c r="K176" t="s">
        <v>3702</v>
      </c>
      <c r="L176" t="s">
        <v>3667</v>
      </c>
      <c r="M176" t="s">
        <v>3667</v>
      </c>
      <c r="N176" t="s">
        <v>3667</v>
      </c>
      <c r="O176" t="s">
        <v>4676</v>
      </c>
      <c r="P176" t="s">
        <v>4543</v>
      </c>
      <c r="Q176" t="s">
        <v>3926</v>
      </c>
      <c r="R176" t="s">
        <v>3668</v>
      </c>
      <c r="S176" t="s">
        <v>3667</v>
      </c>
      <c r="T176" t="s">
        <v>3667</v>
      </c>
      <c r="U176" t="s">
        <v>3667</v>
      </c>
      <c r="V176" t="s">
        <v>3667</v>
      </c>
      <c r="W176" t="s">
        <v>654</v>
      </c>
      <c r="X176" t="s">
        <v>3676</v>
      </c>
      <c r="Y176" t="s">
        <v>3676</v>
      </c>
      <c r="Z176" t="s">
        <v>3676</v>
      </c>
      <c r="AA176" t="s">
        <v>3676</v>
      </c>
      <c r="AB176" t="s">
        <v>3676</v>
      </c>
      <c r="AC176" t="s">
        <v>3676</v>
      </c>
      <c r="AD176" t="s">
        <v>3676</v>
      </c>
      <c r="AE176" t="s">
        <v>3676</v>
      </c>
      <c r="AF176" t="s">
        <v>3676</v>
      </c>
      <c r="AG176" t="s">
        <v>3676</v>
      </c>
      <c r="AH176" t="s">
        <v>3676</v>
      </c>
      <c r="AI176" t="s">
        <v>3676</v>
      </c>
      <c r="AJ176" t="s">
        <v>3676</v>
      </c>
      <c r="AK176" t="s">
        <v>3676</v>
      </c>
      <c r="AL176" t="s">
        <v>3667</v>
      </c>
      <c r="AM176" t="s">
        <v>3667</v>
      </c>
      <c r="AN176" t="s">
        <v>3667</v>
      </c>
      <c r="AO176" t="s">
        <v>654</v>
      </c>
      <c r="AP176" t="s">
        <v>3676</v>
      </c>
      <c r="AQ176" t="s">
        <v>3676</v>
      </c>
      <c r="AR176" t="s">
        <v>654</v>
      </c>
      <c r="AS176" t="s">
        <v>3676</v>
      </c>
      <c r="AT176" t="s">
        <v>3676</v>
      </c>
      <c r="AU176" t="s">
        <v>3676</v>
      </c>
      <c r="AV176" t="s">
        <v>3676</v>
      </c>
      <c r="AW176" t="s">
        <v>3676</v>
      </c>
      <c r="AX176" t="s">
        <v>4677</v>
      </c>
    </row>
    <row r="177" spans="1:50" x14ac:dyDescent="0.25">
      <c r="A177" t="s">
        <v>4666</v>
      </c>
      <c r="B177" t="s">
        <v>4678</v>
      </c>
      <c r="C177" t="s">
        <v>4668</v>
      </c>
      <c r="D177" t="s">
        <v>3665</v>
      </c>
      <c r="E177" t="s">
        <v>3666</v>
      </c>
      <c r="F177" t="s">
        <v>3667</v>
      </c>
      <c r="G177" t="s">
        <v>3668</v>
      </c>
      <c r="H177" t="s">
        <v>4669</v>
      </c>
      <c r="I177" t="s">
        <v>3670</v>
      </c>
      <c r="J177" t="s">
        <v>4679</v>
      </c>
      <c r="K177" t="s">
        <v>4679</v>
      </c>
      <c r="L177" t="s">
        <v>3667</v>
      </c>
      <c r="M177" t="s">
        <v>3667</v>
      </c>
      <c r="N177" t="s">
        <v>3667</v>
      </c>
      <c r="O177" t="s">
        <v>4680</v>
      </c>
      <c r="P177" t="s">
        <v>4681</v>
      </c>
      <c r="Q177" t="s">
        <v>4682</v>
      </c>
      <c r="R177" t="s">
        <v>3668</v>
      </c>
      <c r="S177" t="s">
        <v>3667</v>
      </c>
      <c r="T177" t="s">
        <v>3667</v>
      </c>
      <c r="U177" t="s">
        <v>3667</v>
      </c>
      <c r="V177" t="s">
        <v>3667</v>
      </c>
      <c r="W177" t="s">
        <v>654</v>
      </c>
      <c r="X177" t="s">
        <v>3676</v>
      </c>
      <c r="Y177" t="s">
        <v>3676</v>
      </c>
      <c r="Z177" t="s">
        <v>3676</v>
      </c>
      <c r="AA177" t="s">
        <v>3676</v>
      </c>
      <c r="AB177" t="s">
        <v>3274</v>
      </c>
      <c r="AC177" t="s">
        <v>3676</v>
      </c>
      <c r="AD177" t="s">
        <v>3676</v>
      </c>
      <c r="AE177" t="s">
        <v>3676</v>
      </c>
      <c r="AF177" t="s">
        <v>3676</v>
      </c>
      <c r="AG177" t="s">
        <v>3676</v>
      </c>
      <c r="AH177" t="s">
        <v>3676</v>
      </c>
      <c r="AI177" t="s">
        <v>3676</v>
      </c>
      <c r="AJ177" t="s">
        <v>3676</v>
      </c>
      <c r="AK177" t="s">
        <v>3676</v>
      </c>
      <c r="AL177" t="s">
        <v>3667</v>
      </c>
      <c r="AM177" t="s">
        <v>3667</v>
      </c>
      <c r="AN177" t="s">
        <v>3667</v>
      </c>
      <c r="AO177" t="s">
        <v>462</v>
      </c>
      <c r="AP177" t="s">
        <v>3676</v>
      </c>
      <c r="AQ177" t="s">
        <v>3676</v>
      </c>
      <c r="AR177" t="s">
        <v>462</v>
      </c>
      <c r="AS177" t="s">
        <v>3676</v>
      </c>
      <c r="AT177" t="s">
        <v>3676</v>
      </c>
      <c r="AU177" t="s">
        <v>3676</v>
      </c>
      <c r="AV177" t="s">
        <v>3676</v>
      </c>
      <c r="AW177" t="s">
        <v>3676</v>
      </c>
      <c r="AX177" t="s">
        <v>4683</v>
      </c>
    </row>
    <row r="178" spans="1:50" x14ac:dyDescent="0.25">
      <c r="A178" t="s">
        <v>4666</v>
      </c>
      <c r="B178" t="s">
        <v>4684</v>
      </c>
      <c r="C178" t="s">
        <v>4668</v>
      </c>
      <c r="D178" t="s">
        <v>3665</v>
      </c>
      <c r="E178" t="s">
        <v>3666</v>
      </c>
      <c r="F178" t="s">
        <v>3667</v>
      </c>
      <c r="G178" t="s">
        <v>3668</v>
      </c>
      <c r="H178" t="s">
        <v>4669</v>
      </c>
      <c r="I178" t="s">
        <v>3670</v>
      </c>
      <c r="J178" t="s">
        <v>3784</v>
      </c>
      <c r="K178" t="s">
        <v>3784</v>
      </c>
      <c r="L178" t="s">
        <v>3667</v>
      </c>
      <c r="M178" t="s">
        <v>3667</v>
      </c>
      <c r="N178" t="s">
        <v>3667</v>
      </c>
      <c r="O178" t="s">
        <v>4331</v>
      </c>
      <c r="P178" t="s">
        <v>4685</v>
      </c>
      <c r="Q178" t="s">
        <v>3882</v>
      </c>
      <c r="R178" t="s">
        <v>3668</v>
      </c>
      <c r="S178" t="s">
        <v>3667</v>
      </c>
      <c r="T178" t="s">
        <v>3667</v>
      </c>
      <c r="U178" t="s">
        <v>3667</v>
      </c>
      <c r="V178" t="s">
        <v>3667</v>
      </c>
      <c r="W178" t="s">
        <v>481</v>
      </c>
      <c r="X178" t="s">
        <v>3676</v>
      </c>
      <c r="Y178" t="s">
        <v>3676</v>
      </c>
      <c r="Z178" t="s">
        <v>3676</v>
      </c>
      <c r="AA178" t="s">
        <v>3676</v>
      </c>
      <c r="AB178" t="s">
        <v>3274</v>
      </c>
      <c r="AC178" t="s">
        <v>3676</v>
      </c>
      <c r="AD178" t="s">
        <v>3676</v>
      </c>
      <c r="AE178" t="s">
        <v>3676</v>
      </c>
      <c r="AF178" t="s">
        <v>3676</v>
      </c>
      <c r="AG178" t="s">
        <v>3676</v>
      </c>
      <c r="AH178" t="s">
        <v>3676</v>
      </c>
      <c r="AI178" t="s">
        <v>3676</v>
      </c>
      <c r="AJ178" t="s">
        <v>3676</v>
      </c>
      <c r="AK178" t="s">
        <v>3676</v>
      </c>
      <c r="AL178" t="s">
        <v>3667</v>
      </c>
      <c r="AM178" t="s">
        <v>3667</v>
      </c>
      <c r="AN178" t="s">
        <v>3667</v>
      </c>
      <c r="AO178" t="s">
        <v>301</v>
      </c>
      <c r="AP178" t="s">
        <v>3676</v>
      </c>
      <c r="AQ178" t="s">
        <v>3676</v>
      </c>
      <c r="AR178" t="s">
        <v>301</v>
      </c>
      <c r="AS178" t="s">
        <v>3676</v>
      </c>
      <c r="AT178" t="s">
        <v>3676</v>
      </c>
      <c r="AU178" t="s">
        <v>3676</v>
      </c>
      <c r="AV178" t="s">
        <v>3676</v>
      </c>
      <c r="AW178" t="s">
        <v>3676</v>
      </c>
      <c r="AX178" t="s">
        <v>4686</v>
      </c>
    </row>
    <row r="179" spans="1:50" x14ac:dyDescent="0.25">
      <c r="A179" t="s">
        <v>4687</v>
      </c>
      <c r="B179" t="s">
        <v>4688</v>
      </c>
      <c r="C179" t="s">
        <v>4689</v>
      </c>
      <c r="D179" t="s">
        <v>3937</v>
      </c>
      <c r="E179" t="s">
        <v>3666</v>
      </c>
      <c r="F179" t="s">
        <v>3667</v>
      </c>
      <c r="G179" t="s">
        <v>3668</v>
      </c>
      <c r="H179" t="s">
        <v>3790</v>
      </c>
      <c r="I179" t="s">
        <v>3670</v>
      </c>
      <c r="J179" t="s">
        <v>3898</v>
      </c>
      <c r="K179" t="s">
        <v>3898</v>
      </c>
      <c r="L179" t="s">
        <v>4626</v>
      </c>
      <c r="M179" t="s">
        <v>4622</v>
      </c>
      <c r="N179" t="s">
        <v>3681</v>
      </c>
      <c r="O179" t="s">
        <v>4690</v>
      </c>
      <c r="P179" t="s">
        <v>4691</v>
      </c>
      <c r="Q179" t="s">
        <v>4139</v>
      </c>
      <c r="R179" t="s">
        <v>3668</v>
      </c>
      <c r="S179" t="s">
        <v>3667</v>
      </c>
      <c r="T179" t="s">
        <v>3667</v>
      </c>
      <c r="U179" t="s">
        <v>3667</v>
      </c>
      <c r="V179" t="s">
        <v>3667</v>
      </c>
      <c r="W179" t="s">
        <v>20</v>
      </c>
      <c r="X179" t="s">
        <v>3676</v>
      </c>
      <c r="Y179" t="s">
        <v>3676</v>
      </c>
      <c r="Z179" t="s">
        <v>3676</v>
      </c>
      <c r="AA179" t="s">
        <v>3676</v>
      </c>
      <c r="AB179" t="s">
        <v>3676</v>
      </c>
      <c r="AC179" t="s">
        <v>3676</v>
      </c>
      <c r="AD179" t="s">
        <v>3676</v>
      </c>
      <c r="AE179" t="s">
        <v>3676</v>
      </c>
      <c r="AF179" t="s">
        <v>3676</v>
      </c>
      <c r="AG179" t="s">
        <v>3676</v>
      </c>
      <c r="AH179" t="s">
        <v>3676</v>
      </c>
      <c r="AI179" t="s">
        <v>3676</v>
      </c>
      <c r="AJ179" t="s">
        <v>3676</v>
      </c>
      <c r="AK179" t="s">
        <v>3676</v>
      </c>
      <c r="AL179" t="s">
        <v>3667</v>
      </c>
      <c r="AM179" t="s">
        <v>3667</v>
      </c>
      <c r="AN179" t="s">
        <v>3667</v>
      </c>
      <c r="AO179" t="s">
        <v>20</v>
      </c>
      <c r="AP179" t="s">
        <v>3676</v>
      </c>
      <c r="AQ179" t="s">
        <v>3676</v>
      </c>
      <c r="AR179" t="s">
        <v>20</v>
      </c>
      <c r="AS179" t="s">
        <v>3676</v>
      </c>
      <c r="AT179" t="s">
        <v>3676</v>
      </c>
      <c r="AU179" t="s">
        <v>3676</v>
      </c>
      <c r="AV179" t="s">
        <v>3676</v>
      </c>
      <c r="AW179" t="s">
        <v>3676</v>
      </c>
      <c r="AX179" t="s">
        <v>4692</v>
      </c>
    </row>
    <row r="180" spans="1:50" x14ac:dyDescent="0.25">
      <c r="A180" t="s">
        <v>4687</v>
      </c>
      <c r="B180" t="s">
        <v>4693</v>
      </c>
      <c r="C180" t="s">
        <v>4689</v>
      </c>
      <c r="D180" t="s">
        <v>3937</v>
      </c>
      <c r="E180" t="s">
        <v>3666</v>
      </c>
      <c r="F180" t="s">
        <v>3667</v>
      </c>
      <c r="G180" t="s">
        <v>3685</v>
      </c>
      <c r="H180" t="s">
        <v>3790</v>
      </c>
      <c r="I180" t="s">
        <v>3670</v>
      </c>
      <c r="J180" t="s">
        <v>4694</v>
      </c>
      <c r="K180" t="s">
        <v>4694</v>
      </c>
      <c r="L180" t="s">
        <v>4695</v>
      </c>
      <c r="M180" t="s">
        <v>4696</v>
      </c>
      <c r="N180" t="s">
        <v>4151</v>
      </c>
      <c r="O180" t="s">
        <v>4695</v>
      </c>
      <c r="P180" t="s">
        <v>4697</v>
      </c>
      <c r="Q180" t="s">
        <v>4412</v>
      </c>
      <c r="R180" t="s">
        <v>3668</v>
      </c>
      <c r="S180" t="s">
        <v>3667</v>
      </c>
      <c r="T180" t="s">
        <v>3667</v>
      </c>
      <c r="U180" t="s">
        <v>3667</v>
      </c>
      <c r="V180" t="s">
        <v>3667</v>
      </c>
      <c r="W180" t="s">
        <v>128</v>
      </c>
      <c r="X180" t="s">
        <v>3676</v>
      </c>
      <c r="Y180" t="s">
        <v>3676</v>
      </c>
      <c r="Z180" t="s">
        <v>3676</v>
      </c>
      <c r="AA180" t="s">
        <v>3676</v>
      </c>
      <c r="AB180" t="s">
        <v>3676</v>
      </c>
      <c r="AC180" t="s">
        <v>3676</v>
      </c>
      <c r="AD180" t="s">
        <v>3676</v>
      </c>
      <c r="AE180" t="s">
        <v>3676</v>
      </c>
      <c r="AF180" t="s">
        <v>3676</v>
      </c>
      <c r="AG180" t="s">
        <v>3676</v>
      </c>
      <c r="AH180" t="s">
        <v>3676</v>
      </c>
      <c r="AI180" t="s">
        <v>3676</v>
      </c>
      <c r="AJ180" t="s">
        <v>3676</v>
      </c>
      <c r="AK180" t="s">
        <v>3676</v>
      </c>
      <c r="AL180" t="s">
        <v>3667</v>
      </c>
      <c r="AM180" t="s">
        <v>3667</v>
      </c>
      <c r="AN180" t="s">
        <v>3667</v>
      </c>
      <c r="AO180" t="s">
        <v>128</v>
      </c>
      <c r="AP180" t="s">
        <v>3676</v>
      </c>
      <c r="AQ180" t="s">
        <v>3676</v>
      </c>
      <c r="AR180" t="s">
        <v>128</v>
      </c>
      <c r="AS180" t="s">
        <v>3676</v>
      </c>
      <c r="AT180" t="s">
        <v>3676</v>
      </c>
      <c r="AU180" t="s">
        <v>3676</v>
      </c>
      <c r="AV180" t="s">
        <v>3676</v>
      </c>
      <c r="AW180" t="s">
        <v>3676</v>
      </c>
      <c r="AX180" t="s">
        <v>4698</v>
      </c>
    </row>
    <row r="181" spans="1:50" x14ac:dyDescent="0.25">
      <c r="A181" t="s">
        <v>4687</v>
      </c>
      <c r="B181" t="s">
        <v>4699</v>
      </c>
      <c r="C181" t="s">
        <v>4689</v>
      </c>
      <c r="D181" t="s">
        <v>3937</v>
      </c>
      <c r="E181" t="s">
        <v>3666</v>
      </c>
      <c r="F181" t="s">
        <v>3667</v>
      </c>
      <c r="G181" t="s">
        <v>3685</v>
      </c>
      <c r="H181" t="s">
        <v>3790</v>
      </c>
      <c r="I181" t="s">
        <v>3670</v>
      </c>
      <c r="J181" t="s">
        <v>4700</v>
      </c>
      <c r="K181" t="s">
        <v>4700</v>
      </c>
      <c r="L181" t="s">
        <v>4255</v>
      </c>
      <c r="M181" t="s">
        <v>4047</v>
      </c>
      <c r="N181" t="s">
        <v>4255</v>
      </c>
      <c r="O181" t="s">
        <v>4243</v>
      </c>
      <c r="P181" t="s">
        <v>4185</v>
      </c>
      <c r="Q181" t="s">
        <v>4701</v>
      </c>
      <c r="R181" t="s">
        <v>3668</v>
      </c>
      <c r="S181" t="s">
        <v>3667</v>
      </c>
      <c r="T181" t="s">
        <v>3667</v>
      </c>
      <c r="U181" t="s">
        <v>3667</v>
      </c>
      <c r="V181" t="s">
        <v>3667</v>
      </c>
      <c r="W181" t="s">
        <v>1997</v>
      </c>
      <c r="X181" t="s">
        <v>3676</v>
      </c>
      <c r="Y181" t="s">
        <v>3676</v>
      </c>
      <c r="Z181" t="s">
        <v>3676</v>
      </c>
      <c r="AA181" t="s">
        <v>3676</v>
      </c>
      <c r="AB181" t="s">
        <v>3676</v>
      </c>
      <c r="AC181" t="s">
        <v>3676</v>
      </c>
      <c r="AD181" t="s">
        <v>3676</v>
      </c>
      <c r="AE181" t="s">
        <v>3676</v>
      </c>
      <c r="AF181" t="s">
        <v>3676</v>
      </c>
      <c r="AG181" t="s">
        <v>3676</v>
      </c>
      <c r="AH181" t="s">
        <v>3676</v>
      </c>
      <c r="AI181" t="s">
        <v>3676</v>
      </c>
      <c r="AJ181" t="s">
        <v>3676</v>
      </c>
      <c r="AK181" t="s">
        <v>3676</v>
      </c>
      <c r="AL181" t="s">
        <v>3667</v>
      </c>
      <c r="AM181" t="s">
        <v>3667</v>
      </c>
      <c r="AN181" t="s">
        <v>3667</v>
      </c>
      <c r="AO181" t="s">
        <v>1997</v>
      </c>
      <c r="AP181" t="s">
        <v>3676</v>
      </c>
      <c r="AQ181" t="s">
        <v>3676</v>
      </c>
      <c r="AR181" t="s">
        <v>1997</v>
      </c>
      <c r="AS181" t="s">
        <v>3676</v>
      </c>
      <c r="AT181" t="s">
        <v>3676</v>
      </c>
      <c r="AU181" t="s">
        <v>3676</v>
      </c>
      <c r="AV181" t="s">
        <v>3676</v>
      </c>
      <c r="AW181" t="s">
        <v>3676</v>
      </c>
      <c r="AX181" t="s">
        <v>4702</v>
      </c>
    </row>
    <row r="182" spans="1:50" x14ac:dyDescent="0.25">
      <c r="A182" t="s">
        <v>4687</v>
      </c>
      <c r="B182" t="s">
        <v>4703</v>
      </c>
      <c r="C182" t="s">
        <v>4689</v>
      </c>
      <c r="D182" t="s">
        <v>3937</v>
      </c>
      <c r="E182" t="s">
        <v>3666</v>
      </c>
      <c r="F182" t="s">
        <v>3667</v>
      </c>
      <c r="G182" t="s">
        <v>3668</v>
      </c>
      <c r="H182" t="s">
        <v>3790</v>
      </c>
      <c r="I182" t="s">
        <v>3670</v>
      </c>
      <c r="J182" t="s">
        <v>4279</v>
      </c>
      <c r="K182" t="s">
        <v>4279</v>
      </c>
      <c r="L182" t="s">
        <v>4704</v>
      </c>
      <c r="M182" t="s">
        <v>4283</v>
      </c>
      <c r="N182" t="s">
        <v>4556</v>
      </c>
      <c r="O182" t="s">
        <v>4705</v>
      </c>
      <c r="P182" t="s">
        <v>4463</v>
      </c>
      <c r="Q182" t="s">
        <v>4706</v>
      </c>
      <c r="R182" t="s">
        <v>3668</v>
      </c>
      <c r="S182" t="s">
        <v>3667</v>
      </c>
      <c r="T182" t="s">
        <v>3667</v>
      </c>
      <c r="U182" t="s">
        <v>3667</v>
      </c>
      <c r="V182" t="s">
        <v>3667</v>
      </c>
      <c r="W182" t="s">
        <v>1436</v>
      </c>
      <c r="X182" t="s">
        <v>3676</v>
      </c>
      <c r="Y182" t="s">
        <v>3676</v>
      </c>
      <c r="Z182" t="s">
        <v>3676</v>
      </c>
      <c r="AA182" t="s">
        <v>3676</v>
      </c>
      <c r="AB182" t="s">
        <v>3676</v>
      </c>
      <c r="AC182" t="s">
        <v>3676</v>
      </c>
      <c r="AD182" t="s">
        <v>3676</v>
      </c>
      <c r="AE182" t="s">
        <v>3676</v>
      </c>
      <c r="AF182" t="s">
        <v>3676</v>
      </c>
      <c r="AG182" t="s">
        <v>3676</v>
      </c>
      <c r="AH182" t="s">
        <v>3676</v>
      </c>
      <c r="AI182" t="s">
        <v>3676</v>
      </c>
      <c r="AJ182" t="s">
        <v>3676</v>
      </c>
      <c r="AK182" t="s">
        <v>3676</v>
      </c>
      <c r="AL182" t="s">
        <v>3667</v>
      </c>
      <c r="AM182" t="s">
        <v>3667</v>
      </c>
      <c r="AN182" t="s">
        <v>3667</v>
      </c>
      <c r="AO182" t="s">
        <v>1436</v>
      </c>
      <c r="AP182" t="s">
        <v>3676</v>
      </c>
      <c r="AQ182" t="s">
        <v>3676</v>
      </c>
      <c r="AR182" t="s">
        <v>1436</v>
      </c>
      <c r="AS182" t="s">
        <v>3676</v>
      </c>
      <c r="AT182" t="s">
        <v>3676</v>
      </c>
      <c r="AU182" t="s">
        <v>3676</v>
      </c>
      <c r="AV182" t="s">
        <v>3676</v>
      </c>
      <c r="AW182" t="s">
        <v>3676</v>
      </c>
      <c r="AX182" t="s">
        <v>4707</v>
      </c>
    </row>
    <row r="183" spans="1:50" x14ac:dyDescent="0.25">
      <c r="A183" t="s">
        <v>4687</v>
      </c>
      <c r="B183" t="s">
        <v>4708</v>
      </c>
      <c r="C183" t="s">
        <v>4689</v>
      </c>
      <c r="D183" t="s">
        <v>3937</v>
      </c>
      <c r="E183" t="s">
        <v>3666</v>
      </c>
      <c r="F183" t="s">
        <v>3667</v>
      </c>
      <c r="G183" t="s">
        <v>3668</v>
      </c>
      <c r="H183" t="s">
        <v>3790</v>
      </c>
      <c r="I183" t="s">
        <v>3670</v>
      </c>
      <c r="J183" t="s">
        <v>4709</v>
      </c>
      <c r="K183" t="s">
        <v>4709</v>
      </c>
      <c r="L183" t="s">
        <v>4710</v>
      </c>
      <c r="M183" t="s">
        <v>4711</v>
      </c>
      <c r="N183" t="s">
        <v>4712</v>
      </c>
      <c r="O183" t="s">
        <v>4711</v>
      </c>
      <c r="P183" t="s">
        <v>4713</v>
      </c>
      <c r="Q183" t="s">
        <v>4714</v>
      </c>
      <c r="R183" t="s">
        <v>3668</v>
      </c>
      <c r="S183" t="s">
        <v>3667</v>
      </c>
      <c r="T183" t="s">
        <v>3667</v>
      </c>
      <c r="U183" t="s">
        <v>3667</v>
      </c>
      <c r="V183" t="s">
        <v>3667</v>
      </c>
      <c r="W183" t="s">
        <v>458</v>
      </c>
      <c r="X183" t="s">
        <v>3676</v>
      </c>
      <c r="Y183" t="s">
        <v>3676</v>
      </c>
      <c r="Z183" t="s">
        <v>3676</v>
      </c>
      <c r="AA183" t="s">
        <v>3676</v>
      </c>
      <c r="AB183" t="s">
        <v>3676</v>
      </c>
      <c r="AC183" t="s">
        <v>3676</v>
      </c>
      <c r="AD183" t="s">
        <v>3676</v>
      </c>
      <c r="AE183" t="s">
        <v>3676</v>
      </c>
      <c r="AF183" t="s">
        <v>3676</v>
      </c>
      <c r="AG183" t="s">
        <v>3676</v>
      </c>
      <c r="AH183" t="s">
        <v>3676</v>
      </c>
      <c r="AI183" t="s">
        <v>3676</v>
      </c>
      <c r="AJ183" t="s">
        <v>3676</v>
      </c>
      <c r="AK183" t="s">
        <v>3676</v>
      </c>
      <c r="AL183" t="s">
        <v>3667</v>
      </c>
      <c r="AM183" t="s">
        <v>3667</v>
      </c>
      <c r="AN183" t="s">
        <v>3667</v>
      </c>
      <c r="AO183" t="s">
        <v>458</v>
      </c>
      <c r="AP183" t="s">
        <v>3676</v>
      </c>
      <c r="AQ183" t="s">
        <v>3676</v>
      </c>
      <c r="AR183" t="s">
        <v>458</v>
      </c>
      <c r="AS183" t="s">
        <v>3676</v>
      </c>
      <c r="AT183" t="s">
        <v>3676</v>
      </c>
      <c r="AU183" t="s">
        <v>3676</v>
      </c>
      <c r="AV183" t="s">
        <v>3676</v>
      </c>
      <c r="AW183" t="s">
        <v>3676</v>
      </c>
      <c r="AX183" t="s">
        <v>4715</v>
      </c>
    </row>
    <row r="184" spans="1:50" x14ac:dyDescent="0.25">
      <c r="A184" t="s">
        <v>4687</v>
      </c>
      <c r="B184" t="s">
        <v>4716</v>
      </c>
      <c r="C184" t="s">
        <v>4689</v>
      </c>
      <c r="D184" t="s">
        <v>3937</v>
      </c>
      <c r="E184" t="s">
        <v>3666</v>
      </c>
      <c r="F184" t="s">
        <v>3667</v>
      </c>
      <c r="G184" t="s">
        <v>3668</v>
      </c>
      <c r="H184" t="s">
        <v>3790</v>
      </c>
      <c r="I184" t="s">
        <v>3670</v>
      </c>
      <c r="J184" t="s">
        <v>4717</v>
      </c>
      <c r="K184" t="s">
        <v>4717</v>
      </c>
      <c r="L184" t="s">
        <v>4718</v>
      </c>
      <c r="M184" t="s">
        <v>4719</v>
      </c>
      <c r="N184" t="s">
        <v>4720</v>
      </c>
      <c r="O184" t="s">
        <v>4721</v>
      </c>
      <c r="P184" t="s">
        <v>4722</v>
      </c>
      <c r="Q184" t="s">
        <v>4723</v>
      </c>
      <c r="R184" t="s">
        <v>3668</v>
      </c>
      <c r="S184" t="s">
        <v>3667</v>
      </c>
      <c r="T184" t="s">
        <v>3667</v>
      </c>
      <c r="U184" t="s">
        <v>3667</v>
      </c>
      <c r="V184" t="s">
        <v>3667</v>
      </c>
      <c r="W184" t="s">
        <v>3258</v>
      </c>
      <c r="X184" t="s">
        <v>3676</v>
      </c>
      <c r="Y184" t="s">
        <v>3676</v>
      </c>
      <c r="Z184" t="s">
        <v>3676</v>
      </c>
      <c r="AA184" t="s">
        <v>3676</v>
      </c>
      <c r="AB184" t="s">
        <v>3676</v>
      </c>
      <c r="AC184" t="s">
        <v>3676</v>
      </c>
      <c r="AD184" t="s">
        <v>3676</v>
      </c>
      <c r="AE184" t="s">
        <v>3676</v>
      </c>
      <c r="AF184" t="s">
        <v>3676</v>
      </c>
      <c r="AG184" t="s">
        <v>3676</v>
      </c>
      <c r="AH184" t="s">
        <v>3676</v>
      </c>
      <c r="AI184" t="s">
        <v>3676</v>
      </c>
      <c r="AJ184" t="s">
        <v>3676</v>
      </c>
      <c r="AK184" t="s">
        <v>3676</v>
      </c>
      <c r="AL184" t="s">
        <v>3667</v>
      </c>
      <c r="AM184" t="s">
        <v>3667</v>
      </c>
      <c r="AN184" t="s">
        <v>3667</v>
      </c>
      <c r="AO184" t="s">
        <v>3258</v>
      </c>
      <c r="AP184" t="s">
        <v>3676</v>
      </c>
      <c r="AQ184" t="s">
        <v>3676</v>
      </c>
      <c r="AR184" t="s">
        <v>3258</v>
      </c>
      <c r="AS184" t="s">
        <v>3676</v>
      </c>
      <c r="AT184" t="s">
        <v>3676</v>
      </c>
      <c r="AU184" t="s">
        <v>3676</v>
      </c>
      <c r="AV184" t="s">
        <v>3676</v>
      </c>
      <c r="AW184" t="s">
        <v>3676</v>
      </c>
      <c r="AX184" t="s">
        <v>4724</v>
      </c>
    </row>
    <row r="185" spans="1:50" x14ac:dyDescent="0.25">
      <c r="A185" t="s">
        <v>4725</v>
      </c>
      <c r="B185" t="s">
        <v>4726</v>
      </c>
      <c r="C185" t="s">
        <v>4727</v>
      </c>
      <c r="D185" t="s">
        <v>3665</v>
      </c>
      <c r="E185" t="s">
        <v>3666</v>
      </c>
      <c r="F185" t="s">
        <v>3667</v>
      </c>
      <c r="G185" t="s">
        <v>3668</v>
      </c>
      <c r="H185" t="s">
        <v>4728</v>
      </c>
      <c r="I185" t="s">
        <v>3670</v>
      </c>
      <c r="J185" t="s">
        <v>4729</v>
      </c>
      <c r="K185" t="s">
        <v>4729</v>
      </c>
      <c r="L185" t="s">
        <v>3667</v>
      </c>
      <c r="M185" t="s">
        <v>3667</v>
      </c>
      <c r="N185" t="s">
        <v>3667</v>
      </c>
      <c r="O185" t="s">
        <v>4730</v>
      </c>
      <c r="P185" t="s">
        <v>3840</v>
      </c>
      <c r="Q185" t="s">
        <v>3747</v>
      </c>
      <c r="R185" t="s">
        <v>3668</v>
      </c>
      <c r="S185" t="s">
        <v>3667</v>
      </c>
      <c r="T185" t="s">
        <v>3667</v>
      </c>
      <c r="U185" t="s">
        <v>3667</v>
      </c>
      <c r="V185" t="s">
        <v>3667</v>
      </c>
      <c r="W185" t="s">
        <v>72</v>
      </c>
      <c r="X185" t="s">
        <v>3676</v>
      </c>
      <c r="Y185" t="s">
        <v>3676</v>
      </c>
      <c r="Z185" t="s">
        <v>3676</v>
      </c>
      <c r="AA185" t="s">
        <v>3676</v>
      </c>
      <c r="AB185" t="s">
        <v>4731</v>
      </c>
      <c r="AC185" t="s">
        <v>3676</v>
      </c>
      <c r="AD185" t="s">
        <v>3676</v>
      </c>
      <c r="AE185" t="s">
        <v>3676</v>
      </c>
      <c r="AF185" t="s">
        <v>3676</v>
      </c>
      <c r="AG185" t="s">
        <v>3676</v>
      </c>
      <c r="AH185" t="s">
        <v>3676</v>
      </c>
      <c r="AI185" t="s">
        <v>3676</v>
      </c>
      <c r="AJ185" t="s">
        <v>3676</v>
      </c>
      <c r="AK185" t="s">
        <v>3676</v>
      </c>
      <c r="AL185" t="s">
        <v>3667</v>
      </c>
      <c r="AM185" t="s">
        <v>3667</v>
      </c>
      <c r="AN185" t="s">
        <v>3667</v>
      </c>
      <c r="AO185" t="s">
        <v>727</v>
      </c>
      <c r="AP185" t="s">
        <v>3676</v>
      </c>
      <c r="AQ185" t="s">
        <v>3676</v>
      </c>
      <c r="AR185" t="s">
        <v>727</v>
      </c>
      <c r="AS185" t="s">
        <v>3676</v>
      </c>
      <c r="AT185" t="s">
        <v>3676</v>
      </c>
      <c r="AU185" t="s">
        <v>3676</v>
      </c>
      <c r="AV185" t="s">
        <v>3676</v>
      </c>
      <c r="AW185" t="s">
        <v>3676</v>
      </c>
      <c r="AX185" t="s">
        <v>4732</v>
      </c>
    </row>
    <row r="186" spans="1:50" x14ac:dyDescent="0.25">
      <c r="A186" t="s">
        <v>4733</v>
      </c>
      <c r="B186" t="s">
        <v>4734</v>
      </c>
      <c r="C186" t="s">
        <v>4735</v>
      </c>
      <c r="D186" t="s">
        <v>3665</v>
      </c>
      <c r="E186" t="s">
        <v>3666</v>
      </c>
      <c r="F186" t="s">
        <v>3667</v>
      </c>
      <c r="G186" t="s">
        <v>3668</v>
      </c>
      <c r="H186" t="s">
        <v>4736</v>
      </c>
      <c r="I186" t="s">
        <v>3822</v>
      </c>
      <c r="J186" t="s">
        <v>4737</v>
      </c>
      <c r="K186" t="s">
        <v>4737</v>
      </c>
      <c r="L186" t="s">
        <v>3667</v>
      </c>
      <c r="M186" t="s">
        <v>3667</v>
      </c>
      <c r="N186" t="s">
        <v>3667</v>
      </c>
      <c r="O186" t="s">
        <v>4738</v>
      </c>
      <c r="P186" t="s">
        <v>3916</v>
      </c>
      <c r="Q186" t="s">
        <v>4000</v>
      </c>
      <c r="R186" t="s">
        <v>3668</v>
      </c>
      <c r="S186" t="s">
        <v>3667</v>
      </c>
      <c r="T186" t="s">
        <v>3667</v>
      </c>
      <c r="U186" t="s">
        <v>3667</v>
      </c>
      <c r="V186" t="s">
        <v>3667</v>
      </c>
      <c r="W186" t="s">
        <v>287</v>
      </c>
      <c r="X186" t="s">
        <v>3676</v>
      </c>
      <c r="Y186" t="s">
        <v>3676</v>
      </c>
      <c r="Z186" t="s">
        <v>3676</v>
      </c>
      <c r="AA186" t="s">
        <v>3676</v>
      </c>
      <c r="AB186" t="s">
        <v>3274</v>
      </c>
      <c r="AC186" t="s">
        <v>3676</v>
      </c>
      <c r="AD186" t="s">
        <v>3676</v>
      </c>
      <c r="AE186" t="s">
        <v>3676</v>
      </c>
      <c r="AF186" t="s">
        <v>3676</v>
      </c>
      <c r="AG186" t="s">
        <v>3676</v>
      </c>
      <c r="AH186" t="s">
        <v>3676</v>
      </c>
      <c r="AI186" t="s">
        <v>3676</v>
      </c>
      <c r="AJ186" t="s">
        <v>3676</v>
      </c>
      <c r="AK186" t="s">
        <v>3676</v>
      </c>
      <c r="AL186" t="s">
        <v>3667</v>
      </c>
      <c r="AM186" t="s">
        <v>3667</v>
      </c>
      <c r="AN186" t="s">
        <v>3667</v>
      </c>
      <c r="AO186" t="s">
        <v>192</v>
      </c>
      <c r="AP186" t="s">
        <v>3676</v>
      </c>
      <c r="AQ186" t="s">
        <v>3676</v>
      </c>
      <c r="AR186" t="s">
        <v>192</v>
      </c>
      <c r="AS186" t="s">
        <v>3676</v>
      </c>
      <c r="AT186" t="s">
        <v>3676</v>
      </c>
      <c r="AU186" t="s">
        <v>3676</v>
      </c>
      <c r="AV186" t="s">
        <v>3676</v>
      </c>
      <c r="AW186" t="s">
        <v>3676</v>
      </c>
      <c r="AX186" t="s">
        <v>4739</v>
      </c>
    </row>
    <row r="187" spans="1:50" x14ac:dyDescent="0.25">
      <c r="A187" t="s">
        <v>4733</v>
      </c>
      <c r="B187" t="s">
        <v>4740</v>
      </c>
      <c r="C187" t="s">
        <v>4735</v>
      </c>
      <c r="D187" t="s">
        <v>3665</v>
      </c>
      <c r="E187" t="s">
        <v>3666</v>
      </c>
      <c r="F187" t="s">
        <v>3667</v>
      </c>
      <c r="G187" t="s">
        <v>3668</v>
      </c>
      <c r="H187" t="s">
        <v>4736</v>
      </c>
      <c r="I187" t="s">
        <v>3670</v>
      </c>
      <c r="J187" t="s">
        <v>4741</v>
      </c>
      <c r="K187" t="s">
        <v>4741</v>
      </c>
      <c r="L187" t="s">
        <v>3667</v>
      </c>
      <c r="M187" t="s">
        <v>3667</v>
      </c>
      <c r="N187" t="s">
        <v>3667</v>
      </c>
      <c r="O187" t="s">
        <v>4094</v>
      </c>
      <c r="P187" t="s">
        <v>4742</v>
      </c>
      <c r="Q187" t="s">
        <v>4743</v>
      </c>
      <c r="R187" t="s">
        <v>3668</v>
      </c>
      <c r="S187" t="s">
        <v>3667</v>
      </c>
      <c r="T187" t="s">
        <v>3667</v>
      </c>
      <c r="U187" t="s">
        <v>3667</v>
      </c>
      <c r="V187" t="s">
        <v>3667</v>
      </c>
      <c r="W187" t="s">
        <v>342</v>
      </c>
      <c r="X187" t="s">
        <v>3676</v>
      </c>
      <c r="Y187" t="s">
        <v>3676</v>
      </c>
      <c r="Z187" t="s">
        <v>3676</v>
      </c>
      <c r="AA187" t="s">
        <v>3676</v>
      </c>
      <c r="AB187" t="s">
        <v>3274</v>
      </c>
      <c r="AC187" t="s">
        <v>3676</v>
      </c>
      <c r="AD187" t="s">
        <v>3676</v>
      </c>
      <c r="AE187" t="s">
        <v>3676</v>
      </c>
      <c r="AF187" t="s">
        <v>3676</v>
      </c>
      <c r="AG187" t="s">
        <v>3676</v>
      </c>
      <c r="AH187" t="s">
        <v>3676</v>
      </c>
      <c r="AI187" t="s">
        <v>3676</v>
      </c>
      <c r="AJ187" t="s">
        <v>3676</v>
      </c>
      <c r="AK187" t="s">
        <v>3676</v>
      </c>
      <c r="AL187" t="s">
        <v>3667</v>
      </c>
      <c r="AM187" t="s">
        <v>3667</v>
      </c>
      <c r="AN187" t="s">
        <v>3667</v>
      </c>
      <c r="AO187" t="s">
        <v>990</v>
      </c>
      <c r="AP187" t="s">
        <v>3676</v>
      </c>
      <c r="AQ187" t="s">
        <v>3676</v>
      </c>
      <c r="AR187" t="s">
        <v>990</v>
      </c>
      <c r="AS187" t="s">
        <v>3676</v>
      </c>
      <c r="AT187" t="s">
        <v>3676</v>
      </c>
      <c r="AU187" t="s">
        <v>3676</v>
      </c>
      <c r="AV187" t="s">
        <v>3676</v>
      </c>
      <c r="AW187" t="s">
        <v>3676</v>
      </c>
      <c r="AX187" t="s">
        <v>4744</v>
      </c>
    </row>
    <row r="188" spans="1:50" x14ac:dyDescent="0.25">
      <c r="A188" t="s">
        <v>4745</v>
      </c>
      <c r="B188" t="s">
        <v>4746</v>
      </c>
      <c r="C188" t="s">
        <v>4747</v>
      </c>
      <c r="D188" t="s">
        <v>3665</v>
      </c>
      <c r="E188" t="s">
        <v>3666</v>
      </c>
      <c r="F188" t="s">
        <v>3667</v>
      </c>
      <c r="G188" t="s">
        <v>3668</v>
      </c>
      <c r="H188" t="s">
        <v>3924</v>
      </c>
      <c r="I188" t="s">
        <v>3670</v>
      </c>
      <c r="J188" t="s">
        <v>4366</v>
      </c>
      <c r="K188" t="s">
        <v>4366</v>
      </c>
      <c r="L188" t="s">
        <v>3667</v>
      </c>
      <c r="M188" t="s">
        <v>3667</v>
      </c>
      <c r="N188" t="s">
        <v>3667</v>
      </c>
      <c r="O188" t="s">
        <v>4206</v>
      </c>
      <c r="P188" t="s">
        <v>4748</v>
      </c>
      <c r="Q188" t="s">
        <v>4749</v>
      </c>
      <c r="R188" t="s">
        <v>3668</v>
      </c>
      <c r="S188" t="s">
        <v>3667</v>
      </c>
      <c r="T188" t="s">
        <v>3667</v>
      </c>
      <c r="U188" t="s">
        <v>3667</v>
      </c>
      <c r="V188" t="s">
        <v>3667</v>
      </c>
      <c r="W188" t="s">
        <v>4750</v>
      </c>
      <c r="X188" t="s">
        <v>3676</v>
      </c>
      <c r="Y188" t="s">
        <v>3676</v>
      </c>
      <c r="Z188" t="s">
        <v>3676</v>
      </c>
      <c r="AA188" t="s">
        <v>3676</v>
      </c>
      <c r="AB188" t="s">
        <v>3274</v>
      </c>
      <c r="AC188" t="s">
        <v>3676</v>
      </c>
      <c r="AD188" t="s">
        <v>3676</v>
      </c>
      <c r="AE188" t="s">
        <v>3676</v>
      </c>
      <c r="AF188" t="s">
        <v>3676</v>
      </c>
      <c r="AG188" t="s">
        <v>3676</v>
      </c>
      <c r="AH188" t="s">
        <v>3676</v>
      </c>
      <c r="AI188" t="s">
        <v>3676</v>
      </c>
      <c r="AJ188" t="s">
        <v>3676</v>
      </c>
      <c r="AK188" t="s">
        <v>3676</v>
      </c>
      <c r="AL188" t="s">
        <v>3667</v>
      </c>
      <c r="AM188" t="s">
        <v>3667</v>
      </c>
      <c r="AN188" t="s">
        <v>3667</v>
      </c>
      <c r="AO188" t="s">
        <v>4751</v>
      </c>
      <c r="AP188" t="s">
        <v>3676</v>
      </c>
      <c r="AQ188" t="s">
        <v>3676</v>
      </c>
      <c r="AR188" t="s">
        <v>4751</v>
      </c>
      <c r="AS188" t="s">
        <v>3676</v>
      </c>
      <c r="AT188" t="s">
        <v>3676</v>
      </c>
      <c r="AU188" t="s">
        <v>3676</v>
      </c>
      <c r="AV188" t="s">
        <v>3676</v>
      </c>
      <c r="AW188" t="s">
        <v>3676</v>
      </c>
      <c r="AX188" t="s">
        <v>4752</v>
      </c>
    </row>
    <row r="189" spans="1:50" x14ac:dyDescent="0.25">
      <c r="A189" t="s">
        <v>4745</v>
      </c>
      <c r="B189" t="s">
        <v>4753</v>
      </c>
      <c r="C189" t="s">
        <v>4747</v>
      </c>
      <c r="D189" t="s">
        <v>3665</v>
      </c>
      <c r="E189" t="s">
        <v>3666</v>
      </c>
      <c r="F189" t="s">
        <v>3667</v>
      </c>
      <c r="G189" t="s">
        <v>3668</v>
      </c>
      <c r="H189" t="s">
        <v>3924</v>
      </c>
      <c r="I189" t="s">
        <v>3670</v>
      </c>
      <c r="J189" t="s">
        <v>4754</v>
      </c>
      <c r="K189" t="s">
        <v>4754</v>
      </c>
      <c r="L189" t="s">
        <v>3667</v>
      </c>
      <c r="M189" t="s">
        <v>3667</v>
      </c>
      <c r="N189" t="s">
        <v>3667</v>
      </c>
      <c r="O189" t="s">
        <v>3948</v>
      </c>
      <c r="P189" t="s">
        <v>4755</v>
      </c>
      <c r="Q189" t="s">
        <v>4658</v>
      </c>
      <c r="R189" t="s">
        <v>3668</v>
      </c>
      <c r="S189" t="s">
        <v>3667</v>
      </c>
      <c r="T189" t="s">
        <v>3667</v>
      </c>
      <c r="U189" t="s">
        <v>3667</v>
      </c>
      <c r="V189" t="s">
        <v>3667</v>
      </c>
      <c r="W189" t="s">
        <v>4756</v>
      </c>
      <c r="X189" t="s">
        <v>3676</v>
      </c>
      <c r="Y189" t="s">
        <v>3676</v>
      </c>
      <c r="Z189" t="s">
        <v>3676</v>
      </c>
      <c r="AA189" t="s">
        <v>3676</v>
      </c>
      <c r="AB189" t="s">
        <v>3274</v>
      </c>
      <c r="AC189" t="s">
        <v>3676</v>
      </c>
      <c r="AD189" t="s">
        <v>3676</v>
      </c>
      <c r="AE189" t="s">
        <v>3676</v>
      </c>
      <c r="AF189" t="s">
        <v>3676</v>
      </c>
      <c r="AG189" t="s">
        <v>3676</v>
      </c>
      <c r="AH189" t="s">
        <v>3676</v>
      </c>
      <c r="AI189" t="s">
        <v>3676</v>
      </c>
      <c r="AJ189" t="s">
        <v>3676</v>
      </c>
      <c r="AK189" t="s">
        <v>3676</v>
      </c>
      <c r="AL189" t="s">
        <v>3667</v>
      </c>
      <c r="AM189" t="s">
        <v>3667</v>
      </c>
      <c r="AN189" t="s">
        <v>3667</v>
      </c>
      <c r="AO189" t="s">
        <v>4757</v>
      </c>
      <c r="AP189" t="s">
        <v>3676</v>
      </c>
      <c r="AQ189" t="s">
        <v>3676</v>
      </c>
      <c r="AR189" t="s">
        <v>4757</v>
      </c>
      <c r="AS189" t="s">
        <v>3676</v>
      </c>
      <c r="AT189" t="s">
        <v>3676</v>
      </c>
      <c r="AU189" t="s">
        <v>3676</v>
      </c>
      <c r="AV189" t="s">
        <v>3676</v>
      </c>
      <c r="AW189" t="s">
        <v>3676</v>
      </c>
      <c r="AX189" t="s">
        <v>4758</v>
      </c>
    </row>
    <row r="190" spans="1:50" x14ac:dyDescent="0.25">
      <c r="A190" t="s">
        <v>4745</v>
      </c>
      <c r="B190" t="s">
        <v>4759</v>
      </c>
      <c r="C190" t="s">
        <v>4747</v>
      </c>
      <c r="D190" t="s">
        <v>3665</v>
      </c>
      <c r="E190" t="s">
        <v>3666</v>
      </c>
      <c r="F190" t="s">
        <v>3667</v>
      </c>
      <c r="G190" t="s">
        <v>3668</v>
      </c>
      <c r="H190" t="s">
        <v>3924</v>
      </c>
      <c r="I190" t="s">
        <v>3670</v>
      </c>
      <c r="J190" t="s">
        <v>3772</v>
      </c>
      <c r="K190" t="s">
        <v>3772</v>
      </c>
      <c r="L190" t="s">
        <v>3667</v>
      </c>
      <c r="M190" t="s">
        <v>3667</v>
      </c>
      <c r="N190" t="s">
        <v>3667</v>
      </c>
      <c r="O190" t="s">
        <v>4425</v>
      </c>
      <c r="P190" t="s">
        <v>4335</v>
      </c>
      <c r="Q190" t="s">
        <v>4659</v>
      </c>
      <c r="R190" t="s">
        <v>3668</v>
      </c>
      <c r="S190" t="s">
        <v>3667</v>
      </c>
      <c r="T190" t="s">
        <v>3667</v>
      </c>
      <c r="U190" t="s">
        <v>3667</v>
      </c>
      <c r="V190" t="s">
        <v>3667</v>
      </c>
      <c r="W190" t="s">
        <v>1072</v>
      </c>
      <c r="X190" t="s">
        <v>3676</v>
      </c>
      <c r="Y190" t="s">
        <v>3676</v>
      </c>
      <c r="Z190" t="s">
        <v>3676</v>
      </c>
      <c r="AA190" t="s">
        <v>3676</v>
      </c>
      <c r="AB190" t="s">
        <v>3274</v>
      </c>
      <c r="AC190" t="s">
        <v>3676</v>
      </c>
      <c r="AD190" t="s">
        <v>3676</v>
      </c>
      <c r="AE190" t="s">
        <v>3676</v>
      </c>
      <c r="AF190" t="s">
        <v>3676</v>
      </c>
      <c r="AG190" t="s">
        <v>3676</v>
      </c>
      <c r="AH190" t="s">
        <v>3676</v>
      </c>
      <c r="AI190" t="s">
        <v>3676</v>
      </c>
      <c r="AJ190" t="s">
        <v>3676</v>
      </c>
      <c r="AK190" t="s">
        <v>3676</v>
      </c>
      <c r="AL190" t="s">
        <v>3667</v>
      </c>
      <c r="AM190" t="s">
        <v>3667</v>
      </c>
      <c r="AN190" t="s">
        <v>3667</v>
      </c>
      <c r="AO190" t="s">
        <v>4760</v>
      </c>
      <c r="AP190" t="s">
        <v>3676</v>
      </c>
      <c r="AQ190" t="s">
        <v>3676</v>
      </c>
      <c r="AR190" t="s">
        <v>4760</v>
      </c>
      <c r="AS190" t="s">
        <v>3676</v>
      </c>
      <c r="AT190" t="s">
        <v>3676</v>
      </c>
      <c r="AU190" t="s">
        <v>3676</v>
      </c>
      <c r="AV190" t="s">
        <v>3676</v>
      </c>
      <c r="AW190" t="s">
        <v>3676</v>
      </c>
      <c r="AX190" t="s">
        <v>4761</v>
      </c>
    </row>
    <row r="191" spans="1:50" x14ac:dyDescent="0.25">
      <c r="A191" t="s">
        <v>4762</v>
      </c>
      <c r="B191" t="s">
        <v>4763</v>
      </c>
      <c r="C191" t="s">
        <v>4764</v>
      </c>
      <c r="D191" t="s">
        <v>3665</v>
      </c>
      <c r="E191" t="s">
        <v>3666</v>
      </c>
      <c r="F191" t="s">
        <v>3667</v>
      </c>
      <c r="G191" t="s">
        <v>3685</v>
      </c>
      <c r="H191" t="s">
        <v>4765</v>
      </c>
      <c r="I191" t="s">
        <v>3670</v>
      </c>
      <c r="J191" t="s">
        <v>4766</v>
      </c>
      <c r="K191" t="s">
        <v>4767</v>
      </c>
      <c r="L191" t="s">
        <v>3667</v>
      </c>
      <c r="M191" t="s">
        <v>3667</v>
      </c>
      <c r="N191" t="s">
        <v>3667</v>
      </c>
      <c r="O191" t="s">
        <v>4768</v>
      </c>
      <c r="P191" t="s">
        <v>4769</v>
      </c>
      <c r="Q191" t="s">
        <v>4770</v>
      </c>
      <c r="R191" t="s">
        <v>3668</v>
      </c>
      <c r="S191" t="s">
        <v>3667</v>
      </c>
      <c r="T191" t="s">
        <v>3667</v>
      </c>
      <c r="U191" t="s">
        <v>3667</v>
      </c>
      <c r="V191" t="s">
        <v>3667</v>
      </c>
      <c r="W191" t="s">
        <v>15</v>
      </c>
      <c r="X191" t="s">
        <v>3676</v>
      </c>
      <c r="Y191" t="s">
        <v>3676</v>
      </c>
      <c r="Z191" t="s">
        <v>3676</v>
      </c>
      <c r="AA191" t="s">
        <v>3676</v>
      </c>
      <c r="AB191" t="s">
        <v>3676</v>
      </c>
      <c r="AC191" t="s">
        <v>3676</v>
      </c>
      <c r="AD191" t="s">
        <v>3676</v>
      </c>
      <c r="AE191" t="s">
        <v>3676</v>
      </c>
      <c r="AF191" t="s">
        <v>3676</v>
      </c>
      <c r="AG191" t="s">
        <v>3676</v>
      </c>
      <c r="AH191" t="s">
        <v>3676</v>
      </c>
      <c r="AI191" t="s">
        <v>3676</v>
      </c>
      <c r="AJ191" t="s">
        <v>3676</v>
      </c>
      <c r="AK191" t="s">
        <v>3676</v>
      </c>
      <c r="AL191" t="s">
        <v>3667</v>
      </c>
      <c r="AM191" t="s">
        <v>3667</v>
      </c>
      <c r="AN191" t="s">
        <v>3667</v>
      </c>
      <c r="AO191" t="s">
        <v>15</v>
      </c>
      <c r="AP191" t="s">
        <v>3676</v>
      </c>
      <c r="AQ191" t="s">
        <v>3676</v>
      </c>
      <c r="AR191" t="s">
        <v>15</v>
      </c>
      <c r="AS191" t="s">
        <v>3676</v>
      </c>
      <c r="AT191" t="s">
        <v>3676</v>
      </c>
      <c r="AU191" t="s">
        <v>3676</v>
      </c>
      <c r="AV191" t="s">
        <v>3676</v>
      </c>
      <c r="AW191" t="s">
        <v>3676</v>
      </c>
      <c r="AX191" t="s">
        <v>4771</v>
      </c>
    </row>
    <row r="192" spans="1:50" x14ac:dyDescent="0.25">
      <c r="A192" t="s">
        <v>4762</v>
      </c>
      <c r="B192" t="s">
        <v>4772</v>
      </c>
      <c r="C192" t="s">
        <v>4764</v>
      </c>
      <c r="D192" t="s">
        <v>3665</v>
      </c>
      <c r="E192" t="s">
        <v>3666</v>
      </c>
      <c r="F192" t="s">
        <v>3667</v>
      </c>
      <c r="G192" t="s">
        <v>3668</v>
      </c>
      <c r="H192" t="s">
        <v>4765</v>
      </c>
      <c r="I192" t="s">
        <v>3670</v>
      </c>
      <c r="J192" t="s">
        <v>3681</v>
      </c>
      <c r="K192" t="s">
        <v>4773</v>
      </c>
      <c r="L192" t="s">
        <v>3667</v>
      </c>
      <c r="M192" t="s">
        <v>3667</v>
      </c>
      <c r="N192" t="s">
        <v>3667</v>
      </c>
      <c r="O192" t="s">
        <v>4774</v>
      </c>
      <c r="P192" t="s">
        <v>4775</v>
      </c>
      <c r="Q192" t="s">
        <v>4222</v>
      </c>
      <c r="R192" t="s">
        <v>3668</v>
      </c>
      <c r="S192" t="s">
        <v>3667</v>
      </c>
      <c r="T192" t="s">
        <v>3667</v>
      </c>
      <c r="U192" t="s">
        <v>3667</v>
      </c>
      <c r="V192" t="s">
        <v>3667</v>
      </c>
      <c r="W192" t="s">
        <v>4776</v>
      </c>
      <c r="X192" t="s">
        <v>3676</v>
      </c>
      <c r="Y192" t="s">
        <v>3676</v>
      </c>
      <c r="Z192" t="s">
        <v>3676</v>
      </c>
      <c r="AA192" t="s">
        <v>3676</v>
      </c>
      <c r="AB192" t="s">
        <v>3274</v>
      </c>
      <c r="AC192" t="s">
        <v>3676</v>
      </c>
      <c r="AD192" t="s">
        <v>3676</v>
      </c>
      <c r="AE192" t="s">
        <v>3676</v>
      </c>
      <c r="AF192" t="s">
        <v>3676</v>
      </c>
      <c r="AG192" t="s">
        <v>3676</v>
      </c>
      <c r="AH192" t="s">
        <v>3676</v>
      </c>
      <c r="AI192" t="s">
        <v>3676</v>
      </c>
      <c r="AJ192" t="s">
        <v>3676</v>
      </c>
      <c r="AK192" t="s">
        <v>3676</v>
      </c>
      <c r="AL192" t="s">
        <v>3667</v>
      </c>
      <c r="AM192" t="s">
        <v>3667</v>
      </c>
      <c r="AN192" t="s">
        <v>3667</v>
      </c>
      <c r="AO192" t="s">
        <v>252</v>
      </c>
      <c r="AP192" t="s">
        <v>3676</v>
      </c>
      <c r="AQ192" t="s">
        <v>3676</v>
      </c>
      <c r="AR192" t="s">
        <v>252</v>
      </c>
      <c r="AS192" t="s">
        <v>3676</v>
      </c>
      <c r="AT192" t="s">
        <v>3676</v>
      </c>
      <c r="AU192" t="s">
        <v>3676</v>
      </c>
      <c r="AV192" t="s">
        <v>3676</v>
      </c>
      <c r="AW192" t="s">
        <v>3676</v>
      </c>
      <c r="AX192" t="s">
        <v>4777</v>
      </c>
    </row>
    <row r="193" spans="1:50" x14ac:dyDescent="0.25">
      <c r="A193" t="s">
        <v>4762</v>
      </c>
      <c r="B193" t="s">
        <v>4778</v>
      </c>
      <c r="C193" t="s">
        <v>4764</v>
      </c>
      <c r="D193" t="s">
        <v>3665</v>
      </c>
      <c r="E193" t="s">
        <v>3666</v>
      </c>
      <c r="F193" t="s">
        <v>3667</v>
      </c>
      <c r="G193" t="s">
        <v>3668</v>
      </c>
      <c r="H193" t="s">
        <v>4765</v>
      </c>
      <c r="I193" t="s">
        <v>3670</v>
      </c>
      <c r="J193" t="s">
        <v>4779</v>
      </c>
      <c r="K193" t="s">
        <v>4780</v>
      </c>
      <c r="L193" t="s">
        <v>3667</v>
      </c>
      <c r="M193" t="s">
        <v>3667</v>
      </c>
      <c r="N193" t="s">
        <v>3667</v>
      </c>
      <c r="O193" t="s">
        <v>4781</v>
      </c>
      <c r="P193" t="s">
        <v>4782</v>
      </c>
      <c r="Q193" t="s">
        <v>4783</v>
      </c>
      <c r="R193" t="s">
        <v>3668</v>
      </c>
      <c r="S193" t="s">
        <v>3667</v>
      </c>
      <c r="T193" t="s">
        <v>3667</v>
      </c>
      <c r="U193" t="s">
        <v>3667</v>
      </c>
      <c r="V193" t="s">
        <v>3667</v>
      </c>
      <c r="W193" t="s">
        <v>645</v>
      </c>
      <c r="X193" t="s">
        <v>3676</v>
      </c>
      <c r="Y193" t="s">
        <v>3676</v>
      </c>
      <c r="Z193" t="s">
        <v>3676</v>
      </c>
      <c r="AA193" t="s">
        <v>3676</v>
      </c>
      <c r="AB193" t="s">
        <v>3274</v>
      </c>
      <c r="AC193" t="s">
        <v>3676</v>
      </c>
      <c r="AD193" t="s">
        <v>3676</v>
      </c>
      <c r="AE193" t="s">
        <v>3676</v>
      </c>
      <c r="AF193" t="s">
        <v>3676</v>
      </c>
      <c r="AG193" t="s">
        <v>3676</v>
      </c>
      <c r="AH193" t="s">
        <v>3676</v>
      </c>
      <c r="AI193" t="s">
        <v>3676</v>
      </c>
      <c r="AJ193" t="s">
        <v>3676</v>
      </c>
      <c r="AK193" t="s">
        <v>3676</v>
      </c>
      <c r="AL193" t="s">
        <v>3667</v>
      </c>
      <c r="AM193" t="s">
        <v>3667</v>
      </c>
      <c r="AN193" t="s">
        <v>3667</v>
      </c>
      <c r="AO193" t="s">
        <v>64</v>
      </c>
      <c r="AP193" t="s">
        <v>3676</v>
      </c>
      <c r="AQ193" t="s">
        <v>3676</v>
      </c>
      <c r="AR193" t="s">
        <v>64</v>
      </c>
      <c r="AS193" t="s">
        <v>3676</v>
      </c>
      <c r="AT193" t="s">
        <v>3676</v>
      </c>
      <c r="AU193" t="s">
        <v>3676</v>
      </c>
      <c r="AV193" t="s">
        <v>3676</v>
      </c>
      <c r="AW193" t="s">
        <v>3676</v>
      </c>
      <c r="AX193" t="s">
        <v>4784</v>
      </c>
    </row>
    <row r="194" spans="1:50" x14ac:dyDescent="0.25">
      <c r="A194" t="s">
        <v>4762</v>
      </c>
      <c r="B194" t="s">
        <v>4785</v>
      </c>
      <c r="C194" t="s">
        <v>4764</v>
      </c>
      <c r="D194" t="s">
        <v>3665</v>
      </c>
      <c r="E194" t="s">
        <v>3734</v>
      </c>
      <c r="F194" t="s">
        <v>3667</v>
      </c>
      <c r="G194" t="s">
        <v>3668</v>
      </c>
      <c r="H194" t="s">
        <v>4765</v>
      </c>
      <c r="I194" t="s">
        <v>3670</v>
      </c>
      <c r="J194" t="s">
        <v>4404</v>
      </c>
      <c r="K194" t="s">
        <v>4404</v>
      </c>
      <c r="L194" t="s">
        <v>3667</v>
      </c>
      <c r="M194" t="s">
        <v>3667</v>
      </c>
      <c r="N194" t="s">
        <v>3667</v>
      </c>
      <c r="O194" t="s">
        <v>4696</v>
      </c>
      <c r="P194" t="s">
        <v>3803</v>
      </c>
      <c r="Q194" t="s">
        <v>3806</v>
      </c>
      <c r="R194" t="s">
        <v>3668</v>
      </c>
      <c r="S194" t="s">
        <v>3667</v>
      </c>
      <c r="T194" t="s">
        <v>3667</v>
      </c>
      <c r="U194" t="s">
        <v>3667</v>
      </c>
      <c r="V194" t="s">
        <v>3667</v>
      </c>
      <c r="W194" t="s">
        <v>375</v>
      </c>
      <c r="X194" t="s">
        <v>3676</v>
      </c>
      <c r="Y194" t="s">
        <v>3676</v>
      </c>
      <c r="Z194" t="s">
        <v>3676</v>
      </c>
      <c r="AA194" t="s">
        <v>3676</v>
      </c>
      <c r="AB194" t="s">
        <v>3274</v>
      </c>
      <c r="AC194" t="s">
        <v>3676</v>
      </c>
      <c r="AD194" t="s">
        <v>3676</v>
      </c>
      <c r="AE194" t="s">
        <v>3676</v>
      </c>
      <c r="AF194" t="s">
        <v>3676</v>
      </c>
      <c r="AG194" t="s">
        <v>3676</v>
      </c>
      <c r="AH194" t="s">
        <v>3676</v>
      </c>
      <c r="AI194" t="s">
        <v>3676</v>
      </c>
      <c r="AJ194" t="s">
        <v>3676</v>
      </c>
      <c r="AK194" t="s">
        <v>3676</v>
      </c>
      <c r="AL194" t="s">
        <v>3667</v>
      </c>
      <c r="AM194" t="s">
        <v>3667</v>
      </c>
      <c r="AN194" t="s">
        <v>3667</v>
      </c>
      <c r="AO194" t="s">
        <v>4342</v>
      </c>
      <c r="AP194" t="s">
        <v>3676</v>
      </c>
      <c r="AQ194" t="s">
        <v>3676</v>
      </c>
      <c r="AR194" t="s">
        <v>4342</v>
      </c>
      <c r="AS194" t="s">
        <v>3676</v>
      </c>
      <c r="AT194" t="s">
        <v>3676</v>
      </c>
      <c r="AU194" t="s">
        <v>3676</v>
      </c>
      <c r="AV194" t="s">
        <v>3676</v>
      </c>
      <c r="AW194" t="s">
        <v>3676</v>
      </c>
      <c r="AX194" t="s">
        <v>4786</v>
      </c>
    </row>
    <row r="195" spans="1:50" x14ac:dyDescent="0.25">
      <c r="A195" t="s">
        <v>4762</v>
      </c>
      <c r="B195" t="s">
        <v>4787</v>
      </c>
      <c r="C195" t="s">
        <v>4764</v>
      </c>
      <c r="D195" t="s">
        <v>3665</v>
      </c>
      <c r="E195" t="s">
        <v>3666</v>
      </c>
      <c r="F195" t="s">
        <v>3667</v>
      </c>
      <c r="G195" t="s">
        <v>3668</v>
      </c>
      <c r="H195" t="s">
        <v>4765</v>
      </c>
      <c r="I195" t="s">
        <v>3670</v>
      </c>
      <c r="J195" t="s">
        <v>4788</v>
      </c>
      <c r="K195" t="s">
        <v>4260</v>
      </c>
      <c r="L195" t="s">
        <v>3667</v>
      </c>
      <c r="M195" t="s">
        <v>3667</v>
      </c>
      <c r="N195" t="s">
        <v>3667</v>
      </c>
      <c r="O195" t="s">
        <v>4789</v>
      </c>
      <c r="P195" t="s">
        <v>4790</v>
      </c>
      <c r="Q195" t="s">
        <v>4791</v>
      </c>
      <c r="R195" t="s">
        <v>3668</v>
      </c>
      <c r="S195" t="s">
        <v>3667</v>
      </c>
      <c r="T195" t="s">
        <v>3667</v>
      </c>
      <c r="U195" t="s">
        <v>3667</v>
      </c>
      <c r="V195" t="s">
        <v>3667</v>
      </c>
      <c r="W195" t="s">
        <v>189</v>
      </c>
      <c r="X195" t="s">
        <v>3676</v>
      </c>
      <c r="Y195" t="s">
        <v>3676</v>
      </c>
      <c r="Z195" t="s">
        <v>3676</v>
      </c>
      <c r="AA195" t="s">
        <v>3676</v>
      </c>
      <c r="AB195" t="s">
        <v>3274</v>
      </c>
      <c r="AC195" t="s">
        <v>3676</v>
      </c>
      <c r="AD195" t="s">
        <v>3676</v>
      </c>
      <c r="AE195" t="s">
        <v>3676</v>
      </c>
      <c r="AF195" t="s">
        <v>3676</v>
      </c>
      <c r="AG195" t="s">
        <v>3676</v>
      </c>
      <c r="AH195" t="s">
        <v>3676</v>
      </c>
      <c r="AI195" t="s">
        <v>3676</v>
      </c>
      <c r="AJ195" t="s">
        <v>3676</v>
      </c>
      <c r="AK195" t="s">
        <v>3676</v>
      </c>
      <c r="AL195" t="s">
        <v>3667</v>
      </c>
      <c r="AM195" t="s">
        <v>3667</v>
      </c>
      <c r="AN195" t="s">
        <v>3667</v>
      </c>
      <c r="AO195" t="s">
        <v>2968</v>
      </c>
      <c r="AP195" t="s">
        <v>3676</v>
      </c>
      <c r="AQ195" t="s">
        <v>3676</v>
      </c>
      <c r="AR195" t="s">
        <v>2968</v>
      </c>
      <c r="AS195" t="s">
        <v>3676</v>
      </c>
      <c r="AT195" t="s">
        <v>3676</v>
      </c>
      <c r="AU195" t="s">
        <v>3676</v>
      </c>
      <c r="AV195" t="s">
        <v>3676</v>
      </c>
      <c r="AW195" t="s">
        <v>3676</v>
      </c>
      <c r="AX195" t="s">
        <v>4792</v>
      </c>
    </row>
    <row r="196" spans="1:50" x14ac:dyDescent="0.25">
      <c r="A196" t="s">
        <v>4762</v>
      </c>
      <c r="B196" t="s">
        <v>4793</v>
      </c>
      <c r="C196" t="s">
        <v>4764</v>
      </c>
      <c r="D196" t="s">
        <v>3665</v>
      </c>
      <c r="E196" t="s">
        <v>3666</v>
      </c>
      <c r="F196" t="s">
        <v>3667</v>
      </c>
      <c r="G196" t="s">
        <v>3668</v>
      </c>
      <c r="H196" t="s">
        <v>4765</v>
      </c>
      <c r="I196" t="s">
        <v>3670</v>
      </c>
      <c r="J196" t="s">
        <v>4794</v>
      </c>
      <c r="K196" t="s">
        <v>4794</v>
      </c>
      <c r="L196" t="s">
        <v>3667</v>
      </c>
      <c r="M196" t="s">
        <v>3667</v>
      </c>
      <c r="N196" t="s">
        <v>3667</v>
      </c>
      <c r="O196" t="s">
        <v>3729</v>
      </c>
      <c r="P196" t="s">
        <v>4269</v>
      </c>
      <c r="Q196" t="s">
        <v>4795</v>
      </c>
      <c r="R196" t="s">
        <v>3668</v>
      </c>
      <c r="S196" t="s">
        <v>3667</v>
      </c>
      <c r="T196" t="s">
        <v>3667</v>
      </c>
      <c r="U196" t="s">
        <v>3667</v>
      </c>
      <c r="V196" t="s">
        <v>3667</v>
      </c>
      <c r="W196" t="s">
        <v>642</v>
      </c>
      <c r="X196" t="s">
        <v>3676</v>
      </c>
      <c r="Y196" t="s">
        <v>3676</v>
      </c>
      <c r="Z196" t="s">
        <v>3676</v>
      </c>
      <c r="AA196" t="s">
        <v>3676</v>
      </c>
      <c r="AB196" t="s">
        <v>3274</v>
      </c>
      <c r="AC196" t="s">
        <v>3676</v>
      </c>
      <c r="AD196" t="s">
        <v>3676</v>
      </c>
      <c r="AE196" t="s">
        <v>3676</v>
      </c>
      <c r="AF196" t="s">
        <v>3676</v>
      </c>
      <c r="AG196" t="s">
        <v>3676</v>
      </c>
      <c r="AH196" t="s">
        <v>3676</v>
      </c>
      <c r="AI196" t="s">
        <v>3676</v>
      </c>
      <c r="AJ196" t="s">
        <v>3676</v>
      </c>
      <c r="AK196" t="s">
        <v>3676</v>
      </c>
      <c r="AL196" t="s">
        <v>3667</v>
      </c>
      <c r="AM196" t="s">
        <v>3667</v>
      </c>
      <c r="AN196" t="s">
        <v>3667</v>
      </c>
      <c r="AO196" t="s">
        <v>924</v>
      </c>
      <c r="AP196" t="s">
        <v>3676</v>
      </c>
      <c r="AQ196" t="s">
        <v>3676</v>
      </c>
      <c r="AR196" t="s">
        <v>924</v>
      </c>
      <c r="AS196" t="s">
        <v>3676</v>
      </c>
      <c r="AT196" t="s">
        <v>3676</v>
      </c>
      <c r="AU196" t="s">
        <v>3676</v>
      </c>
      <c r="AV196" t="s">
        <v>3676</v>
      </c>
      <c r="AW196" t="s">
        <v>3676</v>
      </c>
      <c r="AX196" t="s">
        <v>4796</v>
      </c>
    </row>
    <row r="197" spans="1:50" x14ac:dyDescent="0.25">
      <c r="A197" t="s">
        <v>4762</v>
      </c>
      <c r="B197" t="s">
        <v>4797</v>
      </c>
      <c r="C197" t="s">
        <v>4764</v>
      </c>
      <c r="D197" t="s">
        <v>3665</v>
      </c>
      <c r="E197" t="s">
        <v>3734</v>
      </c>
      <c r="F197" t="s">
        <v>3667</v>
      </c>
      <c r="G197" t="s">
        <v>3668</v>
      </c>
      <c r="H197" t="s">
        <v>4765</v>
      </c>
      <c r="I197" t="s">
        <v>3670</v>
      </c>
      <c r="J197" t="s">
        <v>4798</v>
      </c>
      <c r="K197" t="s">
        <v>4275</v>
      </c>
      <c r="L197" t="s">
        <v>3667</v>
      </c>
      <c r="M197" t="s">
        <v>3667</v>
      </c>
      <c r="N197" t="s">
        <v>3667</v>
      </c>
      <c r="O197" t="s">
        <v>4116</v>
      </c>
      <c r="P197" t="s">
        <v>4799</v>
      </c>
      <c r="Q197" t="s">
        <v>4730</v>
      </c>
      <c r="R197" t="s">
        <v>3668</v>
      </c>
      <c r="S197" t="s">
        <v>3667</v>
      </c>
      <c r="T197" t="s">
        <v>3667</v>
      </c>
      <c r="U197" t="s">
        <v>3667</v>
      </c>
      <c r="V197" t="s">
        <v>3667</v>
      </c>
      <c r="W197" t="s">
        <v>1867</v>
      </c>
      <c r="X197" t="s">
        <v>3676</v>
      </c>
      <c r="Y197" t="s">
        <v>3676</v>
      </c>
      <c r="Z197" t="s">
        <v>3676</v>
      </c>
      <c r="AA197" t="s">
        <v>3676</v>
      </c>
      <c r="AB197" t="s">
        <v>3274</v>
      </c>
      <c r="AC197" t="s">
        <v>3676</v>
      </c>
      <c r="AD197" t="s">
        <v>3676</v>
      </c>
      <c r="AE197" t="s">
        <v>3676</v>
      </c>
      <c r="AF197" t="s">
        <v>3676</v>
      </c>
      <c r="AG197" t="s">
        <v>3676</v>
      </c>
      <c r="AH197" t="s">
        <v>3676</v>
      </c>
      <c r="AI197" t="s">
        <v>3676</v>
      </c>
      <c r="AJ197" t="s">
        <v>3676</v>
      </c>
      <c r="AK197" t="s">
        <v>3676</v>
      </c>
      <c r="AL197" t="s">
        <v>3667</v>
      </c>
      <c r="AM197" t="s">
        <v>3667</v>
      </c>
      <c r="AN197" t="s">
        <v>3667</v>
      </c>
      <c r="AO197" t="s">
        <v>4800</v>
      </c>
      <c r="AP197" t="s">
        <v>3676</v>
      </c>
      <c r="AQ197" t="s">
        <v>3676</v>
      </c>
      <c r="AR197" t="s">
        <v>4800</v>
      </c>
      <c r="AS197" t="s">
        <v>3676</v>
      </c>
      <c r="AT197" t="s">
        <v>3676</v>
      </c>
      <c r="AU197" t="s">
        <v>3676</v>
      </c>
      <c r="AV197" t="s">
        <v>3676</v>
      </c>
      <c r="AW197" t="s">
        <v>3676</v>
      </c>
      <c r="AX197" t="s">
        <v>4801</v>
      </c>
    </row>
    <row r="198" spans="1:50" x14ac:dyDescent="0.25">
      <c r="A198" t="s">
        <v>4762</v>
      </c>
      <c r="B198" t="s">
        <v>4802</v>
      </c>
      <c r="C198" t="s">
        <v>4764</v>
      </c>
      <c r="D198" t="s">
        <v>3665</v>
      </c>
      <c r="E198" t="s">
        <v>3666</v>
      </c>
      <c r="F198" t="s">
        <v>3667</v>
      </c>
      <c r="G198" t="s">
        <v>3685</v>
      </c>
      <c r="H198" t="s">
        <v>4765</v>
      </c>
      <c r="I198" t="s">
        <v>3670</v>
      </c>
      <c r="J198" t="s">
        <v>4803</v>
      </c>
      <c r="K198" t="s">
        <v>4803</v>
      </c>
      <c r="L198" t="s">
        <v>3667</v>
      </c>
      <c r="M198" t="s">
        <v>3667</v>
      </c>
      <c r="N198" t="s">
        <v>3667</v>
      </c>
      <c r="O198" t="s">
        <v>3739</v>
      </c>
      <c r="P198" t="s">
        <v>4804</v>
      </c>
      <c r="Q198" t="s">
        <v>4557</v>
      </c>
      <c r="R198" t="s">
        <v>3668</v>
      </c>
      <c r="S198" t="s">
        <v>3667</v>
      </c>
      <c r="T198" t="s">
        <v>3667</v>
      </c>
      <c r="U198" t="s">
        <v>3667</v>
      </c>
      <c r="V198" t="s">
        <v>3667</v>
      </c>
      <c r="W198" t="s">
        <v>342</v>
      </c>
      <c r="X198" t="s">
        <v>3676</v>
      </c>
      <c r="Y198" t="s">
        <v>3676</v>
      </c>
      <c r="Z198" t="s">
        <v>3676</v>
      </c>
      <c r="AA198" t="s">
        <v>3676</v>
      </c>
      <c r="AB198" t="s">
        <v>3676</v>
      </c>
      <c r="AC198" t="s">
        <v>3676</v>
      </c>
      <c r="AD198" t="s">
        <v>3676</v>
      </c>
      <c r="AE198" t="s">
        <v>3676</v>
      </c>
      <c r="AF198" t="s">
        <v>3676</v>
      </c>
      <c r="AG198" t="s">
        <v>3676</v>
      </c>
      <c r="AH198" t="s">
        <v>3676</v>
      </c>
      <c r="AI198" t="s">
        <v>3676</v>
      </c>
      <c r="AJ198" t="s">
        <v>3676</v>
      </c>
      <c r="AK198" t="s">
        <v>3676</v>
      </c>
      <c r="AL198" t="s">
        <v>3667</v>
      </c>
      <c r="AM198" t="s">
        <v>3667</v>
      </c>
      <c r="AN198" t="s">
        <v>3667</v>
      </c>
      <c r="AO198" t="s">
        <v>342</v>
      </c>
      <c r="AP198" t="s">
        <v>3676</v>
      </c>
      <c r="AQ198" t="s">
        <v>3676</v>
      </c>
      <c r="AR198" t="s">
        <v>342</v>
      </c>
      <c r="AS198" t="s">
        <v>3676</v>
      </c>
      <c r="AT198" t="s">
        <v>3676</v>
      </c>
      <c r="AU198" t="s">
        <v>3676</v>
      </c>
      <c r="AV198" t="s">
        <v>3676</v>
      </c>
      <c r="AW198" t="s">
        <v>3676</v>
      </c>
      <c r="AX198" t="s">
        <v>4744</v>
      </c>
    </row>
    <row r="199" spans="1:50" x14ac:dyDescent="0.25">
      <c r="A199" t="s">
        <v>4762</v>
      </c>
      <c r="B199" t="s">
        <v>4805</v>
      </c>
      <c r="C199" t="s">
        <v>4764</v>
      </c>
      <c r="D199" t="s">
        <v>3665</v>
      </c>
      <c r="E199" t="s">
        <v>3666</v>
      </c>
      <c r="F199" t="s">
        <v>3667</v>
      </c>
      <c r="G199" t="s">
        <v>3685</v>
      </c>
      <c r="H199" t="s">
        <v>4765</v>
      </c>
      <c r="I199" t="s">
        <v>3670</v>
      </c>
      <c r="J199" t="s">
        <v>4318</v>
      </c>
      <c r="K199" t="s">
        <v>4318</v>
      </c>
      <c r="L199" t="s">
        <v>3667</v>
      </c>
      <c r="M199" t="s">
        <v>3667</v>
      </c>
      <c r="N199" t="s">
        <v>3667</v>
      </c>
      <c r="O199" t="s">
        <v>4806</v>
      </c>
      <c r="P199" t="s">
        <v>4081</v>
      </c>
      <c r="Q199" t="s">
        <v>3760</v>
      </c>
      <c r="R199" t="s">
        <v>3668</v>
      </c>
      <c r="S199" t="s">
        <v>3667</v>
      </c>
      <c r="T199" t="s">
        <v>3667</v>
      </c>
      <c r="U199" t="s">
        <v>3667</v>
      </c>
      <c r="V199" t="s">
        <v>3667</v>
      </c>
      <c r="W199" t="s">
        <v>2928</v>
      </c>
      <c r="X199" t="s">
        <v>3676</v>
      </c>
      <c r="Y199" t="s">
        <v>3676</v>
      </c>
      <c r="Z199" t="s">
        <v>3676</v>
      </c>
      <c r="AA199" t="s">
        <v>3676</v>
      </c>
      <c r="AB199" t="s">
        <v>3676</v>
      </c>
      <c r="AC199" t="s">
        <v>3676</v>
      </c>
      <c r="AD199" t="s">
        <v>3676</v>
      </c>
      <c r="AE199" t="s">
        <v>3676</v>
      </c>
      <c r="AF199" t="s">
        <v>3676</v>
      </c>
      <c r="AG199" t="s">
        <v>3676</v>
      </c>
      <c r="AH199" t="s">
        <v>3676</v>
      </c>
      <c r="AI199" t="s">
        <v>3676</v>
      </c>
      <c r="AJ199" t="s">
        <v>3676</v>
      </c>
      <c r="AK199" t="s">
        <v>3676</v>
      </c>
      <c r="AL199" t="s">
        <v>3667</v>
      </c>
      <c r="AM199" t="s">
        <v>3667</v>
      </c>
      <c r="AN199" t="s">
        <v>3667</v>
      </c>
      <c r="AO199" t="s">
        <v>2928</v>
      </c>
      <c r="AP199" t="s">
        <v>3676</v>
      </c>
      <c r="AQ199" t="s">
        <v>3676</v>
      </c>
      <c r="AR199" t="s">
        <v>2928</v>
      </c>
      <c r="AS199" t="s">
        <v>3676</v>
      </c>
      <c r="AT199" t="s">
        <v>3676</v>
      </c>
      <c r="AU199" t="s">
        <v>3676</v>
      </c>
      <c r="AV199" t="s">
        <v>3676</v>
      </c>
      <c r="AW199" t="s">
        <v>3676</v>
      </c>
      <c r="AX199" t="s">
        <v>4807</v>
      </c>
    </row>
    <row r="200" spans="1:50" x14ac:dyDescent="0.25">
      <c r="A200" t="s">
        <v>4762</v>
      </c>
      <c r="B200" t="s">
        <v>4808</v>
      </c>
      <c r="C200" t="s">
        <v>4764</v>
      </c>
      <c r="D200" t="s">
        <v>3665</v>
      </c>
      <c r="E200" t="s">
        <v>3666</v>
      </c>
      <c r="F200" t="s">
        <v>3667</v>
      </c>
      <c r="G200" t="s">
        <v>3668</v>
      </c>
      <c r="H200" t="s">
        <v>4765</v>
      </c>
      <c r="I200" t="s">
        <v>3670</v>
      </c>
      <c r="J200" t="s">
        <v>4809</v>
      </c>
      <c r="K200" t="s">
        <v>4810</v>
      </c>
      <c r="L200" t="s">
        <v>3667</v>
      </c>
      <c r="M200" t="s">
        <v>3667</v>
      </c>
      <c r="N200" t="s">
        <v>3667</v>
      </c>
      <c r="O200" t="s">
        <v>4811</v>
      </c>
      <c r="P200" t="s">
        <v>4812</v>
      </c>
      <c r="Q200" t="s">
        <v>3772</v>
      </c>
      <c r="R200" t="s">
        <v>3668</v>
      </c>
      <c r="S200" t="s">
        <v>3667</v>
      </c>
      <c r="T200" t="s">
        <v>3667</v>
      </c>
      <c r="U200" t="s">
        <v>3667</v>
      </c>
      <c r="V200" t="s">
        <v>3667</v>
      </c>
      <c r="W200" t="s">
        <v>4813</v>
      </c>
      <c r="X200" t="s">
        <v>3676</v>
      </c>
      <c r="Y200" t="s">
        <v>3676</v>
      </c>
      <c r="Z200" t="s">
        <v>3676</v>
      </c>
      <c r="AA200" t="s">
        <v>3676</v>
      </c>
      <c r="AB200" t="s">
        <v>3274</v>
      </c>
      <c r="AC200" t="s">
        <v>3676</v>
      </c>
      <c r="AD200" t="s">
        <v>3676</v>
      </c>
      <c r="AE200" t="s">
        <v>3676</v>
      </c>
      <c r="AF200" t="s">
        <v>3676</v>
      </c>
      <c r="AG200" t="s">
        <v>3676</v>
      </c>
      <c r="AH200" t="s">
        <v>3676</v>
      </c>
      <c r="AI200" t="s">
        <v>3676</v>
      </c>
      <c r="AJ200" t="s">
        <v>3676</v>
      </c>
      <c r="AK200" t="s">
        <v>3676</v>
      </c>
      <c r="AL200" t="s">
        <v>3667</v>
      </c>
      <c r="AM200" t="s">
        <v>3667</v>
      </c>
      <c r="AN200" t="s">
        <v>3667</v>
      </c>
      <c r="AO200" t="s">
        <v>189</v>
      </c>
      <c r="AP200" t="s">
        <v>3676</v>
      </c>
      <c r="AQ200" t="s">
        <v>3676</v>
      </c>
      <c r="AR200" t="s">
        <v>189</v>
      </c>
      <c r="AS200" t="s">
        <v>3676</v>
      </c>
      <c r="AT200" t="s">
        <v>3676</v>
      </c>
      <c r="AU200" t="s">
        <v>3676</v>
      </c>
      <c r="AV200" t="s">
        <v>3676</v>
      </c>
      <c r="AW200" t="s">
        <v>3676</v>
      </c>
      <c r="AX200" t="s">
        <v>4814</v>
      </c>
    </row>
    <row r="201" spans="1:50" x14ac:dyDescent="0.25">
      <c r="A201" t="s">
        <v>4815</v>
      </c>
      <c r="B201" t="s">
        <v>4816</v>
      </c>
      <c r="C201" t="s">
        <v>4817</v>
      </c>
      <c r="D201" t="s">
        <v>3665</v>
      </c>
      <c r="E201" t="s">
        <v>3734</v>
      </c>
      <c r="F201" t="s">
        <v>3667</v>
      </c>
      <c r="G201" t="s">
        <v>3668</v>
      </c>
      <c r="H201" t="s">
        <v>3982</v>
      </c>
      <c r="I201" t="s">
        <v>3670</v>
      </c>
      <c r="J201" t="s">
        <v>4818</v>
      </c>
      <c r="K201" t="s">
        <v>4818</v>
      </c>
      <c r="L201" t="s">
        <v>3667</v>
      </c>
      <c r="M201" t="s">
        <v>4819</v>
      </c>
      <c r="N201" t="s">
        <v>3667</v>
      </c>
      <c r="O201" t="s">
        <v>4819</v>
      </c>
      <c r="P201" t="s">
        <v>4820</v>
      </c>
      <c r="Q201" t="s">
        <v>4821</v>
      </c>
      <c r="R201" t="s">
        <v>3668</v>
      </c>
      <c r="S201" t="s">
        <v>3667</v>
      </c>
      <c r="T201" t="s">
        <v>3667</v>
      </c>
      <c r="U201" t="s">
        <v>3667</v>
      </c>
      <c r="V201" t="s">
        <v>3667</v>
      </c>
      <c r="W201" t="s">
        <v>4822</v>
      </c>
      <c r="X201" t="s">
        <v>3676</v>
      </c>
      <c r="Y201" t="s">
        <v>3676</v>
      </c>
      <c r="Z201" t="s">
        <v>4823</v>
      </c>
      <c r="AA201" t="s">
        <v>3676</v>
      </c>
      <c r="AB201" t="s">
        <v>3274</v>
      </c>
      <c r="AC201" t="s">
        <v>3676</v>
      </c>
      <c r="AD201" t="s">
        <v>3676</v>
      </c>
      <c r="AE201" t="s">
        <v>3676</v>
      </c>
      <c r="AF201" t="s">
        <v>3676</v>
      </c>
      <c r="AG201" t="s">
        <v>3676</v>
      </c>
      <c r="AH201" t="s">
        <v>3676</v>
      </c>
      <c r="AI201" t="s">
        <v>3676</v>
      </c>
      <c r="AJ201" t="s">
        <v>3676</v>
      </c>
      <c r="AK201" t="s">
        <v>3676</v>
      </c>
      <c r="AL201" t="s">
        <v>3667</v>
      </c>
      <c r="AM201" t="s">
        <v>3667</v>
      </c>
      <c r="AN201" t="s">
        <v>3667</v>
      </c>
      <c r="AO201" t="s">
        <v>4824</v>
      </c>
      <c r="AP201" t="s">
        <v>3676</v>
      </c>
      <c r="AQ201" t="s">
        <v>3676</v>
      </c>
      <c r="AR201" t="s">
        <v>4824</v>
      </c>
      <c r="AS201" t="s">
        <v>3676</v>
      </c>
      <c r="AT201" t="s">
        <v>3676</v>
      </c>
      <c r="AU201" t="s">
        <v>3676</v>
      </c>
      <c r="AV201" t="s">
        <v>3676</v>
      </c>
      <c r="AW201" t="s">
        <v>3676</v>
      </c>
      <c r="AX201" t="s">
        <v>4825</v>
      </c>
    </row>
    <row r="202" spans="1:50" x14ac:dyDescent="0.25">
      <c r="A202" t="s">
        <v>4826</v>
      </c>
      <c r="B202" t="s">
        <v>4827</v>
      </c>
      <c r="C202" t="s">
        <v>4828</v>
      </c>
      <c r="D202" t="s">
        <v>3665</v>
      </c>
      <c r="E202" t="s">
        <v>3734</v>
      </c>
      <c r="F202" t="s">
        <v>3667</v>
      </c>
      <c r="G202" t="s">
        <v>3668</v>
      </c>
      <c r="H202" t="s">
        <v>4173</v>
      </c>
      <c r="I202" t="s">
        <v>3670</v>
      </c>
      <c r="J202" t="s">
        <v>4829</v>
      </c>
      <c r="K202" t="s">
        <v>4829</v>
      </c>
      <c r="L202" t="s">
        <v>3667</v>
      </c>
      <c r="M202" t="s">
        <v>4830</v>
      </c>
      <c r="N202" t="s">
        <v>3667</v>
      </c>
      <c r="O202" t="s">
        <v>4831</v>
      </c>
      <c r="P202" t="s">
        <v>4832</v>
      </c>
      <c r="Q202" t="s">
        <v>4821</v>
      </c>
      <c r="R202" t="s">
        <v>3668</v>
      </c>
      <c r="S202" t="s">
        <v>3667</v>
      </c>
      <c r="T202" t="s">
        <v>3667</v>
      </c>
      <c r="U202" t="s">
        <v>3667</v>
      </c>
      <c r="V202" t="s">
        <v>3667</v>
      </c>
      <c r="W202" t="s">
        <v>440</v>
      </c>
      <c r="X202" t="s">
        <v>3676</v>
      </c>
      <c r="Y202" t="s">
        <v>3676</v>
      </c>
      <c r="Z202" t="s">
        <v>3676</v>
      </c>
      <c r="AA202" t="s">
        <v>3676</v>
      </c>
      <c r="AB202" t="s">
        <v>3274</v>
      </c>
      <c r="AC202" t="s">
        <v>3676</v>
      </c>
      <c r="AD202" t="s">
        <v>3676</v>
      </c>
      <c r="AE202" t="s">
        <v>3676</v>
      </c>
      <c r="AF202" t="s">
        <v>3676</v>
      </c>
      <c r="AG202" t="s">
        <v>3676</v>
      </c>
      <c r="AH202" t="s">
        <v>3676</v>
      </c>
      <c r="AI202" t="s">
        <v>3676</v>
      </c>
      <c r="AJ202" t="s">
        <v>3676</v>
      </c>
      <c r="AK202" t="s">
        <v>3676</v>
      </c>
      <c r="AL202" t="s">
        <v>3667</v>
      </c>
      <c r="AM202" t="s">
        <v>3667</v>
      </c>
      <c r="AN202" t="s">
        <v>3667</v>
      </c>
      <c r="AO202" t="s">
        <v>3206</v>
      </c>
      <c r="AP202" t="s">
        <v>440</v>
      </c>
      <c r="AQ202" t="s">
        <v>3676</v>
      </c>
      <c r="AR202" t="s">
        <v>4833</v>
      </c>
      <c r="AS202" t="s">
        <v>3676</v>
      </c>
      <c r="AT202" t="s">
        <v>3676</v>
      </c>
      <c r="AU202" t="s">
        <v>3676</v>
      </c>
      <c r="AV202" t="s">
        <v>3676</v>
      </c>
      <c r="AW202" t="s">
        <v>3676</v>
      </c>
      <c r="AX202" t="s">
        <v>4834</v>
      </c>
    </row>
    <row r="203" spans="1:50" x14ac:dyDescent="0.25">
      <c r="A203" t="s">
        <v>4826</v>
      </c>
      <c r="B203" t="s">
        <v>4835</v>
      </c>
      <c r="C203" t="s">
        <v>4828</v>
      </c>
      <c r="D203" t="s">
        <v>3665</v>
      </c>
      <c r="E203" t="s">
        <v>3666</v>
      </c>
      <c r="F203" t="s">
        <v>3667</v>
      </c>
      <c r="G203" t="s">
        <v>3668</v>
      </c>
      <c r="H203" t="s">
        <v>4173</v>
      </c>
      <c r="I203" t="s">
        <v>3822</v>
      </c>
      <c r="J203" t="s">
        <v>4836</v>
      </c>
      <c r="K203" t="s">
        <v>4836</v>
      </c>
      <c r="L203" t="s">
        <v>3667</v>
      </c>
      <c r="M203" t="s">
        <v>4837</v>
      </c>
      <c r="N203" t="s">
        <v>3667</v>
      </c>
      <c r="O203" t="s">
        <v>4837</v>
      </c>
      <c r="P203" t="s">
        <v>4838</v>
      </c>
      <c r="Q203" t="s">
        <v>3722</v>
      </c>
      <c r="R203" t="s">
        <v>3668</v>
      </c>
      <c r="S203" t="s">
        <v>3667</v>
      </c>
      <c r="T203" t="s">
        <v>3667</v>
      </c>
      <c r="U203" t="s">
        <v>3667</v>
      </c>
      <c r="V203" t="s">
        <v>3667</v>
      </c>
      <c r="W203" t="s">
        <v>1477</v>
      </c>
      <c r="X203" t="s">
        <v>3676</v>
      </c>
      <c r="Y203" t="s">
        <v>3676</v>
      </c>
      <c r="Z203" t="s">
        <v>3676</v>
      </c>
      <c r="AA203" t="s">
        <v>3676</v>
      </c>
      <c r="AB203" t="s">
        <v>3274</v>
      </c>
      <c r="AC203" t="s">
        <v>3676</v>
      </c>
      <c r="AD203" t="s">
        <v>3676</v>
      </c>
      <c r="AE203" t="s">
        <v>3676</v>
      </c>
      <c r="AF203" t="s">
        <v>3676</v>
      </c>
      <c r="AG203" t="s">
        <v>3676</v>
      </c>
      <c r="AH203" t="s">
        <v>3676</v>
      </c>
      <c r="AI203" t="s">
        <v>3676</v>
      </c>
      <c r="AJ203" t="s">
        <v>3676</v>
      </c>
      <c r="AK203" t="s">
        <v>3676</v>
      </c>
      <c r="AL203" t="s">
        <v>3667</v>
      </c>
      <c r="AM203" t="s">
        <v>3667</v>
      </c>
      <c r="AN203" t="s">
        <v>3667</v>
      </c>
      <c r="AO203" t="s">
        <v>122</v>
      </c>
      <c r="AP203" t="s">
        <v>3676</v>
      </c>
      <c r="AQ203" t="s">
        <v>3676</v>
      </c>
      <c r="AR203" t="s">
        <v>122</v>
      </c>
      <c r="AS203" t="s">
        <v>3676</v>
      </c>
      <c r="AT203" t="s">
        <v>3676</v>
      </c>
      <c r="AU203" t="s">
        <v>3676</v>
      </c>
      <c r="AV203" t="s">
        <v>3676</v>
      </c>
      <c r="AW203" t="s">
        <v>3676</v>
      </c>
      <c r="AX203" t="s">
        <v>4839</v>
      </c>
    </row>
    <row r="204" spans="1:50" x14ac:dyDescent="0.25">
      <c r="A204" t="s">
        <v>4826</v>
      </c>
      <c r="B204" t="s">
        <v>4840</v>
      </c>
      <c r="C204" t="s">
        <v>4828</v>
      </c>
      <c r="D204" t="s">
        <v>3665</v>
      </c>
      <c r="E204" t="s">
        <v>3734</v>
      </c>
      <c r="F204" t="s">
        <v>3667</v>
      </c>
      <c r="G204" t="s">
        <v>3668</v>
      </c>
      <c r="H204" t="s">
        <v>4173</v>
      </c>
      <c r="I204" t="s">
        <v>3670</v>
      </c>
      <c r="J204" t="s">
        <v>4841</v>
      </c>
      <c r="K204" t="s">
        <v>4841</v>
      </c>
      <c r="L204" t="s">
        <v>3667</v>
      </c>
      <c r="M204" t="s">
        <v>4311</v>
      </c>
      <c r="N204" t="s">
        <v>3667</v>
      </c>
      <c r="O204" t="s">
        <v>4311</v>
      </c>
      <c r="P204" t="s">
        <v>4681</v>
      </c>
      <c r="Q204" t="s">
        <v>4842</v>
      </c>
      <c r="R204" t="s">
        <v>3668</v>
      </c>
      <c r="S204" t="s">
        <v>3667</v>
      </c>
      <c r="T204" t="s">
        <v>3667</v>
      </c>
      <c r="U204" t="s">
        <v>3667</v>
      </c>
      <c r="V204" t="s">
        <v>3667</v>
      </c>
      <c r="W204" t="s">
        <v>287</v>
      </c>
      <c r="X204" t="s">
        <v>3676</v>
      </c>
      <c r="Y204" t="s">
        <v>3676</v>
      </c>
      <c r="Z204" t="s">
        <v>3676</v>
      </c>
      <c r="AA204" t="s">
        <v>3676</v>
      </c>
      <c r="AB204" t="s">
        <v>3274</v>
      </c>
      <c r="AC204" t="s">
        <v>3676</v>
      </c>
      <c r="AD204" t="s">
        <v>3676</v>
      </c>
      <c r="AE204" t="s">
        <v>3676</v>
      </c>
      <c r="AF204" t="s">
        <v>3676</v>
      </c>
      <c r="AG204" t="s">
        <v>3676</v>
      </c>
      <c r="AH204" t="s">
        <v>3676</v>
      </c>
      <c r="AI204" t="s">
        <v>3676</v>
      </c>
      <c r="AJ204" t="s">
        <v>3676</v>
      </c>
      <c r="AK204" t="s">
        <v>3676</v>
      </c>
      <c r="AL204" t="s">
        <v>3667</v>
      </c>
      <c r="AM204" t="s">
        <v>3667</v>
      </c>
      <c r="AN204" t="s">
        <v>3667</v>
      </c>
      <c r="AO204" t="s">
        <v>4843</v>
      </c>
      <c r="AP204" t="s">
        <v>287</v>
      </c>
      <c r="AQ204" t="s">
        <v>3676</v>
      </c>
      <c r="AR204" t="s">
        <v>4833</v>
      </c>
      <c r="AS204" t="s">
        <v>3676</v>
      </c>
      <c r="AT204" t="s">
        <v>3676</v>
      </c>
      <c r="AU204" t="s">
        <v>3676</v>
      </c>
      <c r="AV204" t="s">
        <v>3676</v>
      </c>
      <c r="AW204" t="s">
        <v>3676</v>
      </c>
      <c r="AX204" t="s">
        <v>4844</v>
      </c>
    </row>
    <row r="205" spans="1:50" x14ac:dyDescent="0.25">
      <c r="A205" t="s">
        <v>2365</v>
      </c>
      <c r="B205" t="s">
        <v>4845</v>
      </c>
      <c r="C205" t="s">
        <v>4846</v>
      </c>
      <c r="D205" t="s">
        <v>3665</v>
      </c>
      <c r="E205" t="s">
        <v>3666</v>
      </c>
      <c r="F205" t="s">
        <v>3667</v>
      </c>
      <c r="G205" t="s">
        <v>3668</v>
      </c>
      <c r="H205" t="s">
        <v>3924</v>
      </c>
      <c r="I205" t="s">
        <v>3670</v>
      </c>
      <c r="J205" t="s">
        <v>4847</v>
      </c>
      <c r="K205" t="s">
        <v>4848</v>
      </c>
      <c r="L205" t="s">
        <v>3667</v>
      </c>
      <c r="M205" t="s">
        <v>3667</v>
      </c>
      <c r="N205" t="s">
        <v>3667</v>
      </c>
      <c r="O205" t="s">
        <v>4849</v>
      </c>
      <c r="P205" t="s">
        <v>3837</v>
      </c>
      <c r="Q205" t="s">
        <v>4850</v>
      </c>
      <c r="R205" t="s">
        <v>3668</v>
      </c>
      <c r="S205" t="s">
        <v>3667</v>
      </c>
      <c r="T205" t="s">
        <v>3667</v>
      </c>
      <c r="U205" t="s">
        <v>3667</v>
      </c>
      <c r="V205" t="s">
        <v>3667</v>
      </c>
      <c r="W205" t="s">
        <v>186</v>
      </c>
      <c r="X205" t="s">
        <v>3676</v>
      </c>
      <c r="Y205" t="s">
        <v>3676</v>
      </c>
      <c r="Z205" t="s">
        <v>3676</v>
      </c>
      <c r="AA205" t="s">
        <v>3676</v>
      </c>
      <c r="AB205" t="s">
        <v>3676</v>
      </c>
      <c r="AC205" t="s">
        <v>3676</v>
      </c>
      <c r="AD205" t="s">
        <v>3676</v>
      </c>
      <c r="AE205" t="s">
        <v>3676</v>
      </c>
      <c r="AF205" t="s">
        <v>3676</v>
      </c>
      <c r="AG205" t="s">
        <v>3676</v>
      </c>
      <c r="AH205" t="s">
        <v>3676</v>
      </c>
      <c r="AI205" t="s">
        <v>3676</v>
      </c>
      <c r="AJ205" t="s">
        <v>3676</v>
      </c>
      <c r="AK205" t="s">
        <v>3676</v>
      </c>
      <c r="AL205" t="s">
        <v>3667</v>
      </c>
      <c r="AM205" t="s">
        <v>3667</v>
      </c>
      <c r="AN205" t="s">
        <v>3667</v>
      </c>
      <c r="AO205" t="s">
        <v>186</v>
      </c>
      <c r="AP205" t="s">
        <v>3676</v>
      </c>
      <c r="AQ205" t="s">
        <v>3676</v>
      </c>
      <c r="AR205" t="s">
        <v>186</v>
      </c>
      <c r="AS205" t="s">
        <v>3676</v>
      </c>
      <c r="AT205" t="s">
        <v>3676</v>
      </c>
      <c r="AU205" t="s">
        <v>3676</v>
      </c>
      <c r="AV205" t="s">
        <v>3676</v>
      </c>
      <c r="AW205" t="s">
        <v>3676</v>
      </c>
      <c r="AX205" t="s">
        <v>4851</v>
      </c>
    </row>
    <row r="206" spans="1:50" x14ac:dyDescent="0.25">
      <c r="A206" t="s">
        <v>4852</v>
      </c>
      <c r="B206" t="s">
        <v>4853</v>
      </c>
      <c r="C206" t="s">
        <v>4854</v>
      </c>
      <c r="D206" t="s">
        <v>3665</v>
      </c>
      <c r="E206" t="s">
        <v>3666</v>
      </c>
      <c r="F206" t="s">
        <v>3667</v>
      </c>
      <c r="G206" t="s">
        <v>3668</v>
      </c>
      <c r="H206" t="s">
        <v>4728</v>
      </c>
      <c r="I206" t="s">
        <v>3791</v>
      </c>
      <c r="J206" t="s">
        <v>3667</v>
      </c>
      <c r="K206" t="s">
        <v>3667</v>
      </c>
      <c r="L206" t="s">
        <v>3667</v>
      </c>
      <c r="M206" t="s">
        <v>3667</v>
      </c>
      <c r="N206" t="s">
        <v>3667</v>
      </c>
      <c r="O206" t="s">
        <v>3667</v>
      </c>
      <c r="P206" t="s">
        <v>3667</v>
      </c>
      <c r="Q206" t="s">
        <v>3775</v>
      </c>
      <c r="R206" t="s">
        <v>3668</v>
      </c>
      <c r="S206" t="s">
        <v>3667</v>
      </c>
      <c r="T206" t="s">
        <v>4754</v>
      </c>
      <c r="U206" t="s">
        <v>4855</v>
      </c>
      <c r="V206" t="s">
        <v>4856</v>
      </c>
      <c r="W206" t="s">
        <v>355</v>
      </c>
      <c r="X206" t="s">
        <v>3676</v>
      </c>
      <c r="Y206" t="s">
        <v>3676</v>
      </c>
      <c r="Z206" t="s">
        <v>3676</v>
      </c>
      <c r="AA206" t="s">
        <v>3676</v>
      </c>
      <c r="AB206" t="s">
        <v>3676</v>
      </c>
      <c r="AC206" t="s">
        <v>3676</v>
      </c>
      <c r="AD206" t="s">
        <v>3676</v>
      </c>
      <c r="AE206" t="s">
        <v>3676</v>
      </c>
      <c r="AF206" t="s">
        <v>3676</v>
      </c>
      <c r="AG206" t="s">
        <v>3676</v>
      </c>
      <c r="AH206" t="s">
        <v>3676</v>
      </c>
      <c r="AI206" t="s">
        <v>3676</v>
      </c>
      <c r="AJ206" t="s">
        <v>3676</v>
      </c>
      <c r="AK206" t="s">
        <v>3676</v>
      </c>
      <c r="AL206" t="s">
        <v>3667</v>
      </c>
      <c r="AM206" t="s">
        <v>3667</v>
      </c>
      <c r="AN206" t="s">
        <v>3667</v>
      </c>
      <c r="AO206" t="s">
        <v>355</v>
      </c>
      <c r="AP206" t="s">
        <v>3676</v>
      </c>
      <c r="AQ206" t="s">
        <v>3676</v>
      </c>
      <c r="AR206" t="s">
        <v>355</v>
      </c>
      <c r="AS206" t="s">
        <v>3676</v>
      </c>
      <c r="AT206" t="s">
        <v>3676</v>
      </c>
      <c r="AU206" t="s">
        <v>3676</v>
      </c>
      <c r="AV206" t="s">
        <v>3676</v>
      </c>
      <c r="AW206" t="s">
        <v>3676</v>
      </c>
      <c r="AX206" t="s">
        <v>4857</v>
      </c>
    </row>
    <row r="207" spans="1:50" x14ac:dyDescent="0.25">
      <c r="A207" t="s">
        <v>1821</v>
      </c>
      <c r="B207" t="s">
        <v>4858</v>
      </c>
      <c r="C207" t="s">
        <v>4859</v>
      </c>
      <c r="D207" t="s">
        <v>3665</v>
      </c>
      <c r="E207" t="s">
        <v>3666</v>
      </c>
      <c r="F207" t="s">
        <v>3667</v>
      </c>
      <c r="G207" t="s">
        <v>3685</v>
      </c>
      <c r="H207" t="s">
        <v>4860</v>
      </c>
      <c r="I207" t="s">
        <v>3822</v>
      </c>
      <c r="J207" t="s">
        <v>4799</v>
      </c>
      <c r="K207" t="s">
        <v>4799</v>
      </c>
      <c r="L207" t="s">
        <v>3667</v>
      </c>
      <c r="M207" t="s">
        <v>3667</v>
      </c>
      <c r="N207" t="s">
        <v>3667</v>
      </c>
      <c r="O207" t="s">
        <v>4861</v>
      </c>
      <c r="P207" t="s">
        <v>4561</v>
      </c>
      <c r="Q207" t="s">
        <v>3832</v>
      </c>
      <c r="R207" t="s">
        <v>3668</v>
      </c>
      <c r="S207" t="s">
        <v>3667</v>
      </c>
      <c r="T207" t="s">
        <v>3667</v>
      </c>
      <c r="U207" t="s">
        <v>3667</v>
      </c>
      <c r="V207" t="s">
        <v>3667</v>
      </c>
      <c r="W207" t="s">
        <v>914</v>
      </c>
      <c r="X207" t="s">
        <v>3676</v>
      </c>
      <c r="Y207" t="s">
        <v>3676</v>
      </c>
      <c r="Z207" t="s">
        <v>3676</v>
      </c>
      <c r="AA207" t="s">
        <v>3676</v>
      </c>
      <c r="AB207" t="s">
        <v>3676</v>
      </c>
      <c r="AC207" t="s">
        <v>3676</v>
      </c>
      <c r="AD207" t="s">
        <v>3676</v>
      </c>
      <c r="AE207" t="s">
        <v>3676</v>
      </c>
      <c r="AF207" t="s">
        <v>364</v>
      </c>
      <c r="AG207" t="s">
        <v>3676</v>
      </c>
      <c r="AH207" t="s">
        <v>3676</v>
      </c>
      <c r="AI207" t="s">
        <v>3676</v>
      </c>
      <c r="AJ207" t="s">
        <v>3676</v>
      </c>
      <c r="AK207" t="s">
        <v>3676</v>
      </c>
      <c r="AL207" t="s">
        <v>3667</v>
      </c>
      <c r="AM207" t="s">
        <v>3667</v>
      </c>
      <c r="AN207" t="s">
        <v>3667</v>
      </c>
      <c r="AO207" t="s">
        <v>146</v>
      </c>
      <c r="AP207" t="s">
        <v>3676</v>
      </c>
      <c r="AQ207" t="s">
        <v>3676</v>
      </c>
      <c r="AR207" t="s">
        <v>146</v>
      </c>
      <c r="AS207" t="s">
        <v>3676</v>
      </c>
      <c r="AT207" t="s">
        <v>3676</v>
      </c>
      <c r="AU207" t="s">
        <v>364</v>
      </c>
      <c r="AV207" t="s">
        <v>3676</v>
      </c>
      <c r="AW207" t="s">
        <v>3676</v>
      </c>
      <c r="AX207" t="s">
        <v>4862</v>
      </c>
    </row>
    <row r="208" spans="1:50" x14ac:dyDescent="0.25">
      <c r="A208" t="s">
        <v>1570</v>
      </c>
      <c r="B208" t="s">
        <v>4863</v>
      </c>
      <c r="C208" t="s">
        <v>4864</v>
      </c>
      <c r="D208" t="s">
        <v>3665</v>
      </c>
      <c r="E208" t="s">
        <v>3734</v>
      </c>
      <c r="F208" t="s">
        <v>3667</v>
      </c>
      <c r="G208" t="s">
        <v>3668</v>
      </c>
      <c r="H208" t="s">
        <v>4865</v>
      </c>
      <c r="I208" t="s">
        <v>3670</v>
      </c>
      <c r="J208" t="s">
        <v>4866</v>
      </c>
      <c r="K208" t="s">
        <v>4866</v>
      </c>
      <c r="L208" t="s">
        <v>3667</v>
      </c>
      <c r="M208" t="s">
        <v>3667</v>
      </c>
      <c r="N208" t="s">
        <v>3667</v>
      </c>
      <c r="O208" t="s">
        <v>4867</v>
      </c>
      <c r="P208" t="s">
        <v>4047</v>
      </c>
      <c r="Q208" t="s">
        <v>4052</v>
      </c>
      <c r="R208" t="s">
        <v>3668</v>
      </c>
      <c r="S208" t="s">
        <v>3667</v>
      </c>
      <c r="T208" t="s">
        <v>3667</v>
      </c>
      <c r="U208" t="s">
        <v>3667</v>
      </c>
      <c r="V208" t="s">
        <v>3667</v>
      </c>
      <c r="W208" t="s">
        <v>25</v>
      </c>
      <c r="X208" t="s">
        <v>3676</v>
      </c>
      <c r="Y208" t="s">
        <v>3676</v>
      </c>
      <c r="Z208" t="s">
        <v>3676</v>
      </c>
      <c r="AA208" t="s">
        <v>3676</v>
      </c>
      <c r="AB208" t="s">
        <v>3274</v>
      </c>
      <c r="AC208" t="s">
        <v>3676</v>
      </c>
      <c r="AD208" t="s">
        <v>3676</v>
      </c>
      <c r="AE208" t="s">
        <v>3676</v>
      </c>
      <c r="AF208" t="s">
        <v>364</v>
      </c>
      <c r="AG208" t="s">
        <v>3676</v>
      </c>
      <c r="AH208" t="s">
        <v>3676</v>
      </c>
      <c r="AI208" t="s">
        <v>3676</v>
      </c>
      <c r="AJ208" t="s">
        <v>3676</v>
      </c>
      <c r="AK208" t="s">
        <v>3676</v>
      </c>
      <c r="AL208" t="s">
        <v>3667</v>
      </c>
      <c r="AM208" t="s">
        <v>3667</v>
      </c>
      <c r="AN208" t="s">
        <v>3667</v>
      </c>
      <c r="AO208" t="s">
        <v>4502</v>
      </c>
      <c r="AP208" t="s">
        <v>160</v>
      </c>
      <c r="AQ208" t="s">
        <v>3676</v>
      </c>
      <c r="AR208" t="s">
        <v>4503</v>
      </c>
      <c r="AS208" t="s">
        <v>3676</v>
      </c>
      <c r="AT208" t="s">
        <v>3676</v>
      </c>
      <c r="AU208" t="s">
        <v>364</v>
      </c>
      <c r="AV208" t="s">
        <v>3676</v>
      </c>
      <c r="AW208" t="s">
        <v>3676</v>
      </c>
      <c r="AX208" t="s">
        <v>4868</v>
      </c>
    </row>
    <row r="209" spans="1:50" x14ac:dyDescent="0.25">
      <c r="A209" t="s">
        <v>4869</v>
      </c>
      <c r="B209" t="s">
        <v>4870</v>
      </c>
      <c r="C209" t="s">
        <v>4871</v>
      </c>
      <c r="D209" t="s">
        <v>3665</v>
      </c>
      <c r="E209" t="s">
        <v>3666</v>
      </c>
      <c r="F209" t="s">
        <v>3667</v>
      </c>
      <c r="G209" t="s">
        <v>3685</v>
      </c>
      <c r="H209" t="s">
        <v>4872</v>
      </c>
      <c r="I209" t="s">
        <v>3670</v>
      </c>
      <c r="J209" t="s">
        <v>3832</v>
      </c>
      <c r="K209" t="s">
        <v>3832</v>
      </c>
      <c r="L209" t="s">
        <v>3667</v>
      </c>
      <c r="M209" t="s">
        <v>3667</v>
      </c>
      <c r="N209" t="s">
        <v>3667</v>
      </c>
      <c r="O209" t="s">
        <v>4861</v>
      </c>
      <c r="P209" t="s">
        <v>4873</v>
      </c>
      <c r="Q209" t="s">
        <v>4874</v>
      </c>
      <c r="R209" t="s">
        <v>3668</v>
      </c>
      <c r="S209" t="s">
        <v>3667</v>
      </c>
      <c r="T209" t="s">
        <v>3667</v>
      </c>
      <c r="U209" t="s">
        <v>3667</v>
      </c>
      <c r="V209" t="s">
        <v>3667</v>
      </c>
      <c r="W209" t="s">
        <v>25</v>
      </c>
      <c r="X209" t="s">
        <v>3676</v>
      </c>
      <c r="Y209" t="s">
        <v>3676</v>
      </c>
      <c r="Z209" t="s">
        <v>3676</v>
      </c>
      <c r="AA209" t="s">
        <v>3676</v>
      </c>
      <c r="AB209" t="s">
        <v>3676</v>
      </c>
      <c r="AC209" t="s">
        <v>3676</v>
      </c>
      <c r="AD209" t="s">
        <v>3676</v>
      </c>
      <c r="AE209" t="s">
        <v>3676</v>
      </c>
      <c r="AF209" t="s">
        <v>364</v>
      </c>
      <c r="AG209" t="s">
        <v>3676</v>
      </c>
      <c r="AH209" t="s">
        <v>3676</v>
      </c>
      <c r="AI209" t="s">
        <v>3676</v>
      </c>
      <c r="AJ209" t="s">
        <v>3676</v>
      </c>
      <c r="AK209" t="s">
        <v>3676</v>
      </c>
      <c r="AL209" t="s">
        <v>3667</v>
      </c>
      <c r="AM209" t="s">
        <v>3667</v>
      </c>
      <c r="AN209" t="s">
        <v>3667</v>
      </c>
      <c r="AO209" t="s">
        <v>160</v>
      </c>
      <c r="AP209" t="s">
        <v>3676</v>
      </c>
      <c r="AQ209" t="s">
        <v>3676</v>
      </c>
      <c r="AR209" t="s">
        <v>160</v>
      </c>
      <c r="AS209" t="s">
        <v>3676</v>
      </c>
      <c r="AT209" t="s">
        <v>3676</v>
      </c>
      <c r="AU209" t="s">
        <v>364</v>
      </c>
      <c r="AV209" t="s">
        <v>3676</v>
      </c>
      <c r="AW209" t="s">
        <v>3676</v>
      </c>
      <c r="AX209" t="s">
        <v>4875</v>
      </c>
    </row>
    <row r="210" spans="1:50" x14ac:dyDescent="0.25">
      <c r="A210" t="s">
        <v>4876</v>
      </c>
      <c r="B210" t="s">
        <v>4877</v>
      </c>
      <c r="C210" t="s">
        <v>4878</v>
      </c>
      <c r="D210" t="s">
        <v>3665</v>
      </c>
      <c r="E210" t="s">
        <v>3734</v>
      </c>
      <c r="F210" t="s">
        <v>3667</v>
      </c>
      <c r="G210" t="s">
        <v>3668</v>
      </c>
      <c r="H210" t="s">
        <v>4879</v>
      </c>
      <c r="I210" t="s">
        <v>3822</v>
      </c>
      <c r="J210" t="s">
        <v>4880</v>
      </c>
      <c r="K210" t="s">
        <v>4880</v>
      </c>
      <c r="L210" t="s">
        <v>3667</v>
      </c>
      <c r="M210" t="s">
        <v>4794</v>
      </c>
      <c r="N210" t="s">
        <v>3667</v>
      </c>
      <c r="O210" t="s">
        <v>4881</v>
      </c>
      <c r="P210" t="s">
        <v>4882</v>
      </c>
      <c r="Q210" t="s">
        <v>4791</v>
      </c>
      <c r="R210" t="s">
        <v>3668</v>
      </c>
      <c r="S210" t="s">
        <v>3667</v>
      </c>
      <c r="T210" t="s">
        <v>3667</v>
      </c>
      <c r="U210" t="s">
        <v>3667</v>
      </c>
      <c r="V210" t="s">
        <v>3667</v>
      </c>
      <c r="W210" t="s">
        <v>761</v>
      </c>
      <c r="X210" t="s">
        <v>3676</v>
      </c>
      <c r="Y210" t="s">
        <v>3676</v>
      </c>
      <c r="Z210" t="s">
        <v>3676</v>
      </c>
      <c r="AA210" t="s">
        <v>3676</v>
      </c>
      <c r="AB210" t="s">
        <v>3274</v>
      </c>
      <c r="AC210" t="s">
        <v>3676</v>
      </c>
      <c r="AD210" t="s">
        <v>3676</v>
      </c>
      <c r="AE210" t="s">
        <v>3676</v>
      </c>
      <c r="AF210" t="s">
        <v>3676</v>
      </c>
      <c r="AG210" t="s">
        <v>3676</v>
      </c>
      <c r="AH210" t="s">
        <v>3676</v>
      </c>
      <c r="AI210" t="s">
        <v>3676</v>
      </c>
      <c r="AJ210" t="s">
        <v>3676</v>
      </c>
      <c r="AK210" t="s">
        <v>3676</v>
      </c>
      <c r="AL210" t="s">
        <v>3667</v>
      </c>
      <c r="AM210" t="s">
        <v>3667</v>
      </c>
      <c r="AN210" t="s">
        <v>3667</v>
      </c>
      <c r="AO210" t="s">
        <v>4883</v>
      </c>
      <c r="AP210" t="s">
        <v>761</v>
      </c>
      <c r="AQ210" t="s">
        <v>3676</v>
      </c>
      <c r="AR210" t="s">
        <v>4884</v>
      </c>
      <c r="AS210" t="s">
        <v>3676</v>
      </c>
      <c r="AT210" t="s">
        <v>3676</v>
      </c>
      <c r="AU210" t="s">
        <v>3676</v>
      </c>
      <c r="AV210" t="s">
        <v>3676</v>
      </c>
      <c r="AW210" t="s">
        <v>3676</v>
      </c>
      <c r="AX210" t="s">
        <v>4885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44"/>
  <sheetFormatPr defaultRowHeight="15" outlineLevelRow="0" outlineLevelCol="0" x14ac:dyDescent="55"/>
  <sheetData>
    <row r="1" spans="1:24" x14ac:dyDescent="0.25">
      <c r="A1" t="s">
        <v>4886</v>
      </c>
      <c r="B1" t="s">
        <v>4887</v>
      </c>
      <c r="C1" t="s">
        <v>4888</v>
      </c>
      <c r="D1" t="s">
        <v>4889</v>
      </c>
      <c r="E1" t="s">
        <v>4890</v>
      </c>
      <c r="F1" t="s">
        <v>4891</v>
      </c>
      <c r="G1" t="s">
        <v>4892</v>
      </c>
      <c r="H1" t="s">
        <v>4893</v>
      </c>
      <c r="I1" t="s">
        <v>4894</v>
      </c>
      <c r="J1" t="s">
        <v>4895</v>
      </c>
      <c r="K1" t="s">
        <v>4896</v>
      </c>
      <c r="L1" t="s">
        <v>4897</v>
      </c>
      <c r="M1" t="s">
        <v>4898</v>
      </c>
      <c r="N1" t="s">
        <v>4899</v>
      </c>
      <c r="O1" t="s">
        <v>4900</v>
      </c>
      <c r="P1" t="s">
        <v>4901</v>
      </c>
      <c r="Q1" t="s">
        <v>4902</v>
      </c>
      <c r="R1" t="s">
        <v>4903</v>
      </c>
      <c r="S1" t="s">
        <v>4904</v>
      </c>
      <c r="T1" t="s">
        <v>4905</v>
      </c>
      <c r="U1" t="s">
        <v>4906</v>
      </c>
      <c r="V1" t="s">
        <v>4907</v>
      </c>
      <c r="W1" t="s">
        <v>4908</v>
      </c>
      <c r="X1" t="s">
        <v>4909</v>
      </c>
    </row>
    <row r="2" spans="1:24" x14ac:dyDescent="0.25">
      <c r="A2" t="s">
        <v>4910</v>
      </c>
      <c r="B2" t="s">
        <v>4911</v>
      </c>
      <c r="C2" t="s">
        <v>4912</v>
      </c>
      <c r="D2" t="s">
        <v>13</v>
      </c>
      <c r="E2" t="s">
        <v>4913</v>
      </c>
      <c r="F2" t="s">
        <v>1419</v>
      </c>
      <c r="G2">
        <f>IF(K2="Pick-up","PICKUPS",IF(K2="Staff drop-off","STAFF_DROPOFF",IF(K2="Replacements","REPLACEMENT",IF(K2="Central Stores Dispatch","CENTRAL STORES DISPATCH",IFNA(IFNA(VLOOKUP(F2,'Raw Platform Nov 4-6 2025'!C:C,1,FALSE),VLOOKUP(F2,'Raw Platform Nov 4-6 2025'!D:D,1,FALSE)),IFNA(VLOOKUP(F2,'Glovo Raw Nov 4-6 2025'!B:B,1,FALSE),"Not Matched"))))))</f>
      </c>
      <c r="H2">
        <f>COUNTIF(F:F,F2)</f>
      </c>
      <c r="I2" t="s">
        <v>4914</v>
      </c>
      <c r="J2" t="s">
        <v>4915</v>
      </c>
      <c r="K2" t="s">
        <v>4916</v>
      </c>
      <c r="L2" t="s">
        <v>4917</v>
      </c>
      <c r="M2" t="s">
        <v>4918</v>
      </c>
      <c r="N2" t="s">
        <v>4919</v>
      </c>
      <c r="O2" t="s">
        <v>4920</v>
      </c>
      <c r="P2" t="s">
        <v>4921</v>
      </c>
      <c r="Q2">
        <v>1960</v>
      </c>
      <c r="R2" t="s">
        <v>4922</v>
      </c>
      <c r="S2" t="s">
        <v>12</v>
      </c>
      <c r="T2" t="s">
        <v>4923</v>
      </c>
      <c r="U2" t="s">
        <v>4924</v>
      </c>
      <c r="V2" t="s">
        <v>4925</v>
      </c>
      <c r="W2" t="s">
        <v>3667</v>
      </c>
      <c r="X2">
        <v>0</v>
      </c>
    </row>
    <row r="3" spans="1:24" x14ac:dyDescent="0.25">
      <c r="A3" t="s">
        <v>4910</v>
      </c>
      <c r="B3" t="s">
        <v>4911</v>
      </c>
      <c r="C3" t="s">
        <v>4912</v>
      </c>
      <c r="D3" t="s">
        <v>13</v>
      </c>
      <c r="E3" t="s">
        <v>4913</v>
      </c>
      <c r="F3" t="s">
        <v>1378</v>
      </c>
      <c r="G3">
        <f>IF(K3="Pick-up","PICKUPS",IF(K3="Staff drop-off","STAFF_DROPOFF",IF(K3="Replacements","REPLACEMENT",IF(K3="Central Stores Dispatch","CENTRAL STORES DISPATCH",IFNA(IFNA(VLOOKUP(F3,'Raw Platform Nov 4-6 2025'!C:C,1,FALSE),VLOOKUP(F3,'Raw Platform Nov 4-6 2025'!D:D,1,FALSE)),IFNA(VLOOKUP(F3,'Glovo Raw Nov 4-6 2025'!B:B,1,FALSE),"Not Matched"))))))</f>
      </c>
      <c r="H3">
        <f>COUNTIF(F:F,F3)</f>
      </c>
      <c r="I3" t="s">
        <v>4926</v>
      </c>
      <c r="J3" t="s">
        <v>4915</v>
      </c>
      <c r="K3" t="s">
        <v>4927</v>
      </c>
      <c r="L3" t="s">
        <v>4928</v>
      </c>
      <c r="M3" t="s">
        <v>4918</v>
      </c>
      <c r="N3" t="s">
        <v>4929</v>
      </c>
      <c r="O3" t="s">
        <v>2009</v>
      </c>
      <c r="P3" t="s">
        <v>4930</v>
      </c>
      <c r="Q3">
        <v>0</v>
      </c>
      <c r="R3" t="s">
        <v>4922</v>
      </c>
      <c r="S3" t="s">
        <v>12</v>
      </c>
      <c r="T3" t="s">
        <v>4923</v>
      </c>
      <c r="U3" t="s">
        <v>4924</v>
      </c>
      <c r="V3" t="s">
        <v>4931</v>
      </c>
      <c r="W3" t="s">
        <v>3667</v>
      </c>
      <c r="X3">
        <v>0</v>
      </c>
    </row>
    <row r="4" spans="1:24" x14ac:dyDescent="0.25">
      <c r="A4" t="s">
        <v>4932</v>
      </c>
      <c r="B4" t="s">
        <v>4911</v>
      </c>
      <c r="C4" t="s">
        <v>4912</v>
      </c>
      <c r="D4" t="s">
        <v>13</v>
      </c>
      <c r="E4" t="s">
        <v>4913</v>
      </c>
      <c r="F4" t="s">
        <v>251</v>
      </c>
      <c r="G4">
        <f>IF(K4="Pick-up","PICKUPS",IF(K4="Staff drop-off","STAFF_DROPOFF",IF(K4="Replacements","REPLACEMENT",IF(K4="Central Stores Dispatch","CENTRAL STORES DISPATCH",IFNA(IFNA(VLOOKUP(F4,'Raw Platform Nov 4-6 2025'!C:C,1,FALSE),VLOOKUP(F4,'Raw Platform Nov 4-6 2025'!D:D,1,FALSE)),IFNA(VLOOKUP(F4,'Glovo Raw Nov 4-6 2025'!B:B,1,FALSE),"Not Matched"))))))</f>
      </c>
      <c r="H4">
        <f>COUNTIF(F:F,F4)</f>
      </c>
      <c r="I4" t="s">
        <v>4933</v>
      </c>
      <c r="J4" t="s">
        <v>63</v>
      </c>
      <c r="K4" t="s">
        <v>4927</v>
      </c>
      <c r="L4" t="s">
        <v>4934</v>
      </c>
      <c r="M4" t="s">
        <v>4935</v>
      </c>
      <c r="N4" t="s">
        <v>4936</v>
      </c>
      <c r="O4" t="s">
        <v>4920</v>
      </c>
      <c r="P4" t="s">
        <v>4937</v>
      </c>
      <c r="Q4">
        <v>0</v>
      </c>
      <c r="R4" t="s">
        <v>4922</v>
      </c>
      <c r="S4" t="s">
        <v>29</v>
      </c>
      <c r="T4" t="s">
        <v>4923</v>
      </c>
      <c r="U4" t="s">
        <v>4924</v>
      </c>
      <c r="V4" t="s">
        <v>4938</v>
      </c>
      <c r="W4" t="s">
        <v>3667</v>
      </c>
      <c r="X4">
        <v>0</v>
      </c>
    </row>
    <row r="5" spans="1:24" x14ac:dyDescent="0.25">
      <c r="A5" t="s">
        <v>4910</v>
      </c>
      <c r="B5" t="s">
        <v>4911</v>
      </c>
      <c r="C5" t="s">
        <v>4912</v>
      </c>
      <c r="D5" t="s">
        <v>13</v>
      </c>
      <c r="E5" t="s">
        <v>4913</v>
      </c>
      <c r="F5" t="s">
        <v>744</v>
      </c>
      <c r="G5">
        <f>IF(K5="Pick-up","PICKUPS",IF(K5="Staff drop-off","STAFF_DROPOFF",IF(K5="Replacements","REPLACEMENT",IF(K5="Central Stores Dispatch","CENTRAL STORES DISPATCH",IFNA(IFNA(VLOOKUP(F5,'Raw Platform Nov 4-6 2025'!C:C,1,FALSE),VLOOKUP(F5,'Raw Platform Nov 4-6 2025'!D:D,1,FALSE)),IFNA(VLOOKUP(F5,'Glovo Raw Nov 4-6 2025'!B:B,1,FALSE),"Not Matched"))))))</f>
      </c>
      <c r="H5">
        <f>COUNTIF(F:F,F5)</f>
      </c>
      <c r="I5" t="s">
        <v>4939</v>
      </c>
      <c r="J5" t="s">
        <v>4915</v>
      </c>
      <c r="K5" t="s">
        <v>4927</v>
      </c>
      <c r="L5" t="s">
        <v>4940</v>
      </c>
      <c r="M5" t="s">
        <v>4941</v>
      </c>
      <c r="N5" t="s">
        <v>4942</v>
      </c>
      <c r="O5" t="s">
        <v>2009</v>
      </c>
      <c r="P5" t="s">
        <v>4943</v>
      </c>
      <c r="Q5">
        <v>0</v>
      </c>
      <c r="R5" t="s">
        <v>4922</v>
      </c>
      <c r="S5" t="s">
        <v>12</v>
      </c>
      <c r="T5" t="s">
        <v>4923</v>
      </c>
      <c r="U5" t="s">
        <v>4924</v>
      </c>
      <c r="V5" t="s">
        <v>4944</v>
      </c>
      <c r="W5" t="s">
        <v>3667</v>
      </c>
      <c r="X5">
        <v>0</v>
      </c>
    </row>
    <row r="6" spans="1:24" x14ac:dyDescent="0.25">
      <c r="A6" t="s">
        <v>4910</v>
      </c>
      <c r="B6" t="s">
        <v>4911</v>
      </c>
      <c r="C6" t="s">
        <v>4912</v>
      </c>
      <c r="D6" t="s">
        <v>13</v>
      </c>
      <c r="E6" t="s">
        <v>4913</v>
      </c>
      <c r="F6" t="s">
        <v>268</v>
      </c>
      <c r="G6">
        <f>IF(K6="Pick-up","PICKUPS",IF(K6="Staff drop-off","STAFF_DROPOFF",IF(K6="Replacements","REPLACEMENT",IF(K6="Central Stores Dispatch","CENTRAL STORES DISPATCH",IFNA(IFNA(VLOOKUP(F6,'Raw Platform Nov 4-6 2025'!C:C,1,FALSE),VLOOKUP(F6,'Raw Platform Nov 4-6 2025'!D:D,1,FALSE)),IFNA(VLOOKUP(F6,'Glovo Raw Nov 4-6 2025'!B:B,1,FALSE),"Not Matched"))))))</f>
      </c>
      <c r="H6">
        <f>COUNTIF(F:F,F6)</f>
      </c>
      <c r="I6" t="s">
        <v>4945</v>
      </c>
      <c r="J6" t="s">
        <v>63</v>
      </c>
      <c r="K6" t="s">
        <v>4927</v>
      </c>
      <c r="L6" t="s">
        <v>4946</v>
      </c>
      <c r="M6" t="s">
        <v>4947</v>
      </c>
      <c r="N6" t="s">
        <v>4948</v>
      </c>
      <c r="O6" t="s">
        <v>4949</v>
      </c>
      <c r="P6" t="s">
        <v>4950</v>
      </c>
      <c r="Q6">
        <v>0</v>
      </c>
      <c r="R6" t="s">
        <v>4922</v>
      </c>
      <c r="S6" t="s">
        <v>12</v>
      </c>
      <c r="T6" t="s">
        <v>4923</v>
      </c>
      <c r="U6" t="s">
        <v>4924</v>
      </c>
      <c r="V6" t="s">
        <v>4951</v>
      </c>
      <c r="W6" t="s">
        <v>3667</v>
      </c>
      <c r="X6">
        <v>0</v>
      </c>
    </row>
    <row r="7" spans="1:24" x14ac:dyDescent="0.25">
      <c r="A7" t="s">
        <v>4932</v>
      </c>
      <c r="B7" t="s">
        <v>4911</v>
      </c>
      <c r="C7" t="s">
        <v>4912</v>
      </c>
      <c r="D7" t="s">
        <v>13</v>
      </c>
      <c r="E7" t="s">
        <v>4913</v>
      </c>
      <c r="F7" t="s">
        <v>873</v>
      </c>
      <c r="G7">
        <f>IF(K7="Pick-up","PICKUPS",IF(K7="Staff drop-off","STAFF_DROPOFF",IF(K7="Replacements","REPLACEMENT",IF(K7="Central Stores Dispatch","CENTRAL STORES DISPATCH",IFNA(IFNA(VLOOKUP(F7,'Raw Platform Nov 4-6 2025'!C:C,1,FALSE),VLOOKUP(F7,'Raw Platform Nov 4-6 2025'!D:D,1,FALSE)),IFNA(VLOOKUP(F7,'Glovo Raw Nov 4-6 2025'!B:B,1,FALSE),"Not Matched"))))))</f>
      </c>
      <c r="H7">
        <f>COUNTIF(F:F,F7)</f>
      </c>
      <c r="I7" t="s">
        <v>4952</v>
      </c>
      <c r="J7" t="s">
        <v>4915</v>
      </c>
      <c r="K7" t="s">
        <v>4927</v>
      </c>
      <c r="L7" t="s">
        <v>4953</v>
      </c>
      <c r="M7" t="s">
        <v>4954</v>
      </c>
      <c r="N7" t="s">
        <v>4955</v>
      </c>
      <c r="O7" t="s">
        <v>26</v>
      </c>
      <c r="P7" t="s">
        <v>4956</v>
      </c>
      <c r="Q7">
        <v>0</v>
      </c>
      <c r="R7" t="s">
        <v>4922</v>
      </c>
      <c r="S7" t="s">
        <v>29</v>
      </c>
      <c r="T7" t="s">
        <v>4923</v>
      </c>
      <c r="U7" t="s">
        <v>4924</v>
      </c>
      <c r="V7" t="s">
        <v>4957</v>
      </c>
      <c r="W7" t="s">
        <v>3667</v>
      </c>
      <c r="X7">
        <v>0</v>
      </c>
    </row>
    <row r="8" spans="1:24" x14ac:dyDescent="0.25">
      <c r="A8" t="s">
        <v>4932</v>
      </c>
      <c r="B8" t="s">
        <v>4911</v>
      </c>
      <c r="C8" t="s">
        <v>4912</v>
      </c>
      <c r="D8" t="s">
        <v>13</v>
      </c>
      <c r="E8" t="s">
        <v>4913</v>
      </c>
      <c r="F8" t="s">
        <v>392</v>
      </c>
      <c r="G8">
        <f>IF(K8="Pick-up","PICKUPS",IF(K8="Staff drop-off","STAFF_DROPOFF",IF(K8="Replacements","REPLACEMENT",IF(K8="Central Stores Dispatch","CENTRAL STORES DISPATCH",IFNA(IFNA(VLOOKUP(F8,'Raw Platform Nov 4-6 2025'!C:C,1,FALSE),VLOOKUP(F8,'Raw Platform Nov 4-6 2025'!D:D,1,FALSE)),IFNA(VLOOKUP(F8,'Glovo Raw Nov 4-6 2025'!B:B,1,FALSE),"Not Matched"))))))</f>
      </c>
      <c r="H8">
        <f>COUNTIF(F:F,F8)</f>
      </c>
      <c r="I8" t="s">
        <v>4958</v>
      </c>
      <c r="J8" t="s">
        <v>4915</v>
      </c>
      <c r="K8" t="s">
        <v>4916</v>
      </c>
      <c r="L8" t="s">
        <v>4959</v>
      </c>
      <c r="M8" t="s">
        <v>4960</v>
      </c>
      <c r="N8" t="s">
        <v>4961</v>
      </c>
      <c r="O8" t="s">
        <v>4962</v>
      </c>
      <c r="P8" t="s">
        <v>4963</v>
      </c>
      <c r="Q8">
        <v>996</v>
      </c>
      <c r="R8" t="s">
        <v>4922</v>
      </c>
      <c r="S8" t="s">
        <v>29</v>
      </c>
      <c r="T8" t="s">
        <v>4923</v>
      </c>
      <c r="U8" t="s">
        <v>4924</v>
      </c>
      <c r="V8" t="s">
        <v>4964</v>
      </c>
      <c r="W8" t="s">
        <v>3667</v>
      </c>
      <c r="X8">
        <v>0</v>
      </c>
    </row>
    <row r="9" spans="1:24" x14ac:dyDescent="0.25">
      <c r="A9" t="s">
        <v>4932</v>
      </c>
      <c r="B9" t="s">
        <v>4911</v>
      </c>
      <c r="C9" t="s">
        <v>4912</v>
      </c>
      <c r="D9" t="s">
        <v>13</v>
      </c>
      <c r="E9" t="s">
        <v>4913</v>
      </c>
      <c r="F9" t="s">
        <v>803</v>
      </c>
      <c r="G9">
        <f>IF(K9="Pick-up","PICKUPS",IF(K9="Staff drop-off","STAFF_DROPOFF",IF(K9="Replacements","REPLACEMENT",IF(K9="Central Stores Dispatch","CENTRAL STORES DISPATCH",IFNA(IFNA(VLOOKUP(F9,'Raw Platform Nov 4-6 2025'!C:C,1,FALSE),VLOOKUP(F9,'Raw Platform Nov 4-6 2025'!D:D,1,FALSE)),IFNA(VLOOKUP(F9,'Glovo Raw Nov 4-6 2025'!B:B,1,FALSE),"Not Matched"))))))</f>
      </c>
      <c r="H9">
        <f>COUNTIF(F:F,F9)</f>
      </c>
      <c r="I9" t="s">
        <v>4965</v>
      </c>
      <c r="J9" t="s">
        <v>4915</v>
      </c>
      <c r="K9" t="s">
        <v>4927</v>
      </c>
      <c r="L9" t="s">
        <v>4966</v>
      </c>
      <c r="M9" t="s">
        <v>4967</v>
      </c>
      <c r="N9" t="s">
        <v>4968</v>
      </c>
      <c r="O9" t="s">
        <v>4949</v>
      </c>
      <c r="P9" t="s">
        <v>4969</v>
      </c>
      <c r="Q9">
        <v>0</v>
      </c>
      <c r="R9" t="s">
        <v>4922</v>
      </c>
      <c r="S9" t="s">
        <v>29</v>
      </c>
      <c r="T9" t="s">
        <v>4923</v>
      </c>
      <c r="U9" t="s">
        <v>4924</v>
      </c>
      <c r="V9" t="s">
        <v>4970</v>
      </c>
      <c r="W9" t="s">
        <v>3667</v>
      </c>
      <c r="X9">
        <v>0</v>
      </c>
    </row>
    <row r="10" spans="1:24" x14ac:dyDescent="0.25">
      <c r="A10" t="s">
        <v>4910</v>
      </c>
      <c r="B10" t="s">
        <v>4911</v>
      </c>
      <c r="C10" t="s">
        <v>4912</v>
      </c>
      <c r="D10" t="s">
        <v>13</v>
      </c>
      <c r="E10" t="s">
        <v>4913</v>
      </c>
      <c r="F10" t="s">
        <v>62</v>
      </c>
      <c r="G10">
        <f>IF(K10="Pick-up","PICKUPS",IF(K10="Staff drop-off","STAFF_DROPOFF",IF(K10="Replacements","REPLACEMENT",IF(K10="Central Stores Dispatch","CENTRAL STORES DISPATCH",IFNA(IFNA(VLOOKUP(F10,'Raw Platform Nov 4-6 2025'!C:C,1,FALSE),VLOOKUP(F10,'Raw Platform Nov 4-6 2025'!D:D,1,FALSE)),IFNA(VLOOKUP(F10,'Glovo Raw Nov 4-6 2025'!B:B,1,FALSE),"Not Matched"))))))</f>
      </c>
      <c r="H10">
        <f>COUNTIF(F:F,F10)</f>
      </c>
      <c r="I10" t="s">
        <v>4971</v>
      </c>
      <c r="J10" t="s">
        <v>63</v>
      </c>
      <c r="K10" t="s">
        <v>4927</v>
      </c>
      <c r="L10" t="s">
        <v>4972</v>
      </c>
      <c r="M10" t="s">
        <v>4918</v>
      </c>
      <c r="N10" t="s">
        <v>4973</v>
      </c>
      <c r="O10" t="s">
        <v>123</v>
      </c>
      <c r="P10" t="s">
        <v>4974</v>
      </c>
      <c r="Q10">
        <v>0</v>
      </c>
      <c r="R10" t="s">
        <v>4922</v>
      </c>
      <c r="S10" t="s">
        <v>12</v>
      </c>
      <c r="T10" t="s">
        <v>4923</v>
      </c>
      <c r="U10" t="s">
        <v>4924</v>
      </c>
      <c r="V10" t="s">
        <v>4975</v>
      </c>
      <c r="W10" t="s">
        <v>3667</v>
      </c>
      <c r="X10">
        <v>0</v>
      </c>
    </row>
    <row r="11" spans="1:24" x14ac:dyDescent="0.25">
      <c r="A11" t="s">
        <v>4910</v>
      </c>
      <c r="B11" t="s">
        <v>4911</v>
      </c>
      <c r="C11" t="s">
        <v>4912</v>
      </c>
      <c r="D11" t="s">
        <v>13</v>
      </c>
      <c r="E11" t="s">
        <v>4913</v>
      </c>
      <c r="F11" t="s">
        <v>401</v>
      </c>
      <c r="G11">
        <f>IF(K11="Pick-up","PICKUPS",IF(K11="Staff drop-off","STAFF_DROPOFF",IF(K11="Replacements","REPLACEMENT",IF(K11="Central Stores Dispatch","CENTRAL STORES DISPATCH",IFNA(IFNA(VLOOKUP(F11,'Raw Platform Nov 4-6 2025'!C:C,1,FALSE),VLOOKUP(F11,'Raw Platform Nov 4-6 2025'!D:D,1,FALSE)),IFNA(VLOOKUP(F11,'Glovo Raw Nov 4-6 2025'!B:B,1,FALSE),"Not Matched"))))))</f>
      </c>
      <c r="H11">
        <f>COUNTIF(F:F,F11)</f>
      </c>
      <c r="I11" t="s">
        <v>4976</v>
      </c>
      <c r="J11" t="s">
        <v>4915</v>
      </c>
      <c r="K11" t="s">
        <v>4927</v>
      </c>
      <c r="L11" t="s">
        <v>4977</v>
      </c>
      <c r="M11" t="s">
        <v>4918</v>
      </c>
      <c r="N11" t="s">
        <v>4978</v>
      </c>
      <c r="O11" t="s">
        <v>4962</v>
      </c>
      <c r="P11" t="s">
        <v>4950</v>
      </c>
      <c r="Q11">
        <v>0</v>
      </c>
      <c r="R11" t="s">
        <v>4922</v>
      </c>
      <c r="S11" t="s">
        <v>12</v>
      </c>
      <c r="T11" t="s">
        <v>4923</v>
      </c>
      <c r="U11" t="s">
        <v>4924</v>
      </c>
      <c r="V11" t="s">
        <v>4979</v>
      </c>
      <c r="W11" t="s">
        <v>3667</v>
      </c>
      <c r="X11">
        <v>0</v>
      </c>
    </row>
    <row r="12" spans="1:24" x14ac:dyDescent="0.25">
      <c r="A12" t="s">
        <v>4932</v>
      </c>
      <c r="B12" t="s">
        <v>4911</v>
      </c>
      <c r="C12" t="s">
        <v>4912</v>
      </c>
      <c r="D12" t="s">
        <v>13</v>
      </c>
      <c r="E12" t="s">
        <v>4913</v>
      </c>
      <c r="F12" t="s">
        <v>904</v>
      </c>
      <c r="G12">
        <f>IF(K12="Pick-up","PICKUPS",IF(K12="Staff drop-off","STAFF_DROPOFF",IF(K12="Replacements","REPLACEMENT",IF(K12="Central Stores Dispatch","CENTRAL STORES DISPATCH",IFNA(IFNA(VLOOKUP(F12,'Raw Platform Nov 4-6 2025'!C:C,1,FALSE),VLOOKUP(F12,'Raw Platform Nov 4-6 2025'!D:D,1,FALSE)),IFNA(VLOOKUP(F12,'Glovo Raw Nov 4-6 2025'!B:B,1,FALSE),"Not Matched"))))))</f>
      </c>
      <c r="H12">
        <f>COUNTIF(F:F,F12)</f>
      </c>
      <c r="I12" t="s">
        <v>4980</v>
      </c>
      <c r="J12" t="s">
        <v>4915</v>
      </c>
      <c r="K12" t="s">
        <v>4927</v>
      </c>
      <c r="L12" t="s">
        <v>4981</v>
      </c>
      <c r="M12" t="s">
        <v>4982</v>
      </c>
      <c r="N12" t="s">
        <v>4983</v>
      </c>
      <c r="O12" t="s">
        <v>2009</v>
      </c>
      <c r="P12" t="s">
        <v>4984</v>
      </c>
      <c r="Q12">
        <v>0</v>
      </c>
      <c r="R12" t="s">
        <v>4922</v>
      </c>
      <c r="S12" t="s">
        <v>29</v>
      </c>
      <c r="T12" t="s">
        <v>4923</v>
      </c>
      <c r="U12" t="s">
        <v>4924</v>
      </c>
      <c r="V12" t="s">
        <v>4985</v>
      </c>
      <c r="W12" t="s">
        <v>3667</v>
      </c>
      <c r="X12">
        <v>0</v>
      </c>
    </row>
    <row r="13" spans="1:24" x14ac:dyDescent="0.25">
      <c r="A13" t="s">
        <v>4932</v>
      </c>
      <c r="B13" t="s">
        <v>4911</v>
      </c>
      <c r="C13" t="s">
        <v>4912</v>
      </c>
      <c r="D13" t="s">
        <v>13</v>
      </c>
      <c r="E13" t="s">
        <v>4913</v>
      </c>
      <c r="F13" t="s">
        <v>1217</v>
      </c>
      <c r="G13">
        <f>IF(K13="Pick-up","PICKUPS",IF(K13="Staff drop-off","STAFF_DROPOFF",IF(K13="Replacements","REPLACEMENT",IF(K13="Central Stores Dispatch","CENTRAL STORES DISPATCH",IFNA(IFNA(VLOOKUP(F13,'Raw Platform Nov 4-6 2025'!C:C,1,FALSE),VLOOKUP(F13,'Raw Platform Nov 4-6 2025'!D:D,1,FALSE)),IFNA(VLOOKUP(F13,'Glovo Raw Nov 4-6 2025'!B:B,1,FALSE),"Not Matched"))))))</f>
      </c>
      <c r="H13">
        <f>COUNTIF(F:F,F13)</f>
      </c>
      <c r="I13" t="s">
        <v>4986</v>
      </c>
      <c r="J13" t="s">
        <v>4915</v>
      </c>
      <c r="K13" t="s">
        <v>4927</v>
      </c>
      <c r="L13" t="s">
        <v>4987</v>
      </c>
      <c r="M13" t="s">
        <v>4988</v>
      </c>
      <c r="N13" t="s">
        <v>4989</v>
      </c>
      <c r="O13" t="s">
        <v>2009</v>
      </c>
      <c r="P13" t="s">
        <v>4990</v>
      </c>
      <c r="Q13">
        <v>0</v>
      </c>
      <c r="R13" t="s">
        <v>4922</v>
      </c>
      <c r="S13" t="s">
        <v>29</v>
      </c>
      <c r="T13" t="s">
        <v>4923</v>
      </c>
      <c r="U13" t="s">
        <v>4924</v>
      </c>
      <c r="V13" t="s">
        <v>4991</v>
      </c>
      <c r="W13" t="s">
        <v>3667</v>
      </c>
      <c r="X13">
        <v>0</v>
      </c>
    </row>
    <row r="14" spans="1:24" x14ac:dyDescent="0.25">
      <c r="A14" t="s">
        <v>4932</v>
      </c>
      <c r="B14" t="s">
        <v>4911</v>
      </c>
      <c r="C14" t="s">
        <v>4912</v>
      </c>
      <c r="D14" t="s">
        <v>13</v>
      </c>
      <c r="E14" t="s">
        <v>4913</v>
      </c>
      <c r="F14" t="s">
        <v>1056</v>
      </c>
      <c r="G14">
        <f>IF(K14="Pick-up","PICKUPS",IF(K14="Staff drop-off","STAFF_DROPOFF",IF(K14="Replacements","REPLACEMENT",IF(K14="Central Stores Dispatch","CENTRAL STORES DISPATCH",IFNA(IFNA(VLOOKUP(F14,'Raw Platform Nov 4-6 2025'!C:C,1,FALSE),VLOOKUP(F14,'Raw Platform Nov 4-6 2025'!D:D,1,FALSE)),IFNA(VLOOKUP(F14,'Glovo Raw Nov 4-6 2025'!B:B,1,FALSE),"Not Matched"))))))</f>
      </c>
      <c r="H14">
        <f>COUNTIF(F:F,F14)</f>
      </c>
      <c r="I14" t="s">
        <v>4992</v>
      </c>
      <c r="J14" t="s">
        <v>4915</v>
      </c>
      <c r="K14" t="s">
        <v>4927</v>
      </c>
      <c r="L14" t="s">
        <v>4993</v>
      </c>
      <c r="M14" t="s">
        <v>4994</v>
      </c>
      <c r="N14" t="s">
        <v>4995</v>
      </c>
      <c r="O14" t="s">
        <v>53</v>
      </c>
      <c r="P14" t="s">
        <v>4996</v>
      </c>
      <c r="Q14">
        <v>0</v>
      </c>
      <c r="R14" t="s">
        <v>4922</v>
      </c>
      <c r="S14" t="s">
        <v>29</v>
      </c>
      <c r="T14" t="s">
        <v>4923</v>
      </c>
      <c r="U14" t="s">
        <v>4924</v>
      </c>
      <c r="V14" t="s">
        <v>4997</v>
      </c>
      <c r="W14" t="s">
        <v>3667</v>
      </c>
      <c r="X14">
        <v>0</v>
      </c>
    </row>
    <row r="15" spans="1:24" x14ac:dyDescent="0.25">
      <c r="A15" t="s">
        <v>4910</v>
      </c>
      <c r="B15" t="s">
        <v>4911</v>
      </c>
      <c r="C15" t="s">
        <v>4912</v>
      </c>
      <c r="D15" t="s">
        <v>13</v>
      </c>
      <c r="E15" t="s">
        <v>4913</v>
      </c>
      <c r="F15" t="s">
        <v>1882</v>
      </c>
      <c r="G15">
        <f>IF(K15="Pick-up","PICKUPS",IF(K15="Staff drop-off","STAFF_DROPOFF",IF(K15="Replacements","REPLACEMENT",IF(K15="Central Stores Dispatch","CENTRAL STORES DISPATCH",IFNA(IFNA(VLOOKUP(F15,'Raw Platform Nov 4-6 2025'!C:C,1,FALSE),VLOOKUP(F15,'Raw Platform Nov 4-6 2025'!D:D,1,FALSE)),IFNA(VLOOKUP(F15,'Glovo Raw Nov 4-6 2025'!B:B,1,FALSE),"Not Matched"))))))</f>
      </c>
      <c r="H15">
        <f>COUNTIF(F:F,F15)</f>
      </c>
      <c r="I15" t="s">
        <v>4998</v>
      </c>
      <c r="J15" t="s">
        <v>4915</v>
      </c>
      <c r="K15" t="s">
        <v>4927</v>
      </c>
      <c r="L15" t="s">
        <v>4977</v>
      </c>
      <c r="M15" t="s">
        <v>4999</v>
      </c>
      <c r="N15" t="s">
        <v>5000</v>
      </c>
      <c r="O15" t="s">
        <v>4962</v>
      </c>
      <c r="P15" t="s">
        <v>5001</v>
      </c>
      <c r="Q15">
        <v>0</v>
      </c>
      <c r="R15" t="s">
        <v>4922</v>
      </c>
      <c r="S15" t="s">
        <v>12</v>
      </c>
      <c r="T15" t="s">
        <v>4923</v>
      </c>
      <c r="U15" t="s">
        <v>4924</v>
      </c>
      <c r="V15" t="s">
        <v>5002</v>
      </c>
      <c r="W15" t="s">
        <v>3667</v>
      </c>
      <c r="X15">
        <v>0</v>
      </c>
    </row>
    <row r="16" spans="1:24" x14ac:dyDescent="0.25">
      <c r="A16" t="s">
        <v>4910</v>
      </c>
      <c r="B16" t="s">
        <v>4911</v>
      </c>
      <c r="C16" t="s">
        <v>4912</v>
      </c>
      <c r="D16" t="s">
        <v>13</v>
      </c>
      <c r="E16" t="s">
        <v>4913</v>
      </c>
      <c r="F16" t="s">
        <v>1676</v>
      </c>
      <c r="G16">
        <f>IF(K16="Pick-up","PICKUPS",IF(K16="Staff drop-off","STAFF_DROPOFF",IF(K16="Replacements","REPLACEMENT",IF(K16="Central Stores Dispatch","CENTRAL STORES DISPATCH",IFNA(IFNA(VLOOKUP(F16,'Raw Platform Nov 4-6 2025'!C:C,1,FALSE),VLOOKUP(F16,'Raw Platform Nov 4-6 2025'!D:D,1,FALSE)),IFNA(VLOOKUP(F16,'Glovo Raw Nov 4-6 2025'!B:B,1,FALSE),"Not Matched"))))))</f>
      </c>
      <c r="H16">
        <f>COUNTIF(F:F,F16)</f>
      </c>
      <c r="I16" t="s">
        <v>5003</v>
      </c>
      <c r="J16" t="s">
        <v>4915</v>
      </c>
      <c r="K16" t="s">
        <v>4927</v>
      </c>
      <c r="L16" t="s">
        <v>5004</v>
      </c>
      <c r="M16" t="s">
        <v>5005</v>
      </c>
      <c r="N16" t="s">
        <v>5006</v>
      </c>
      <c r="O16" t="s">
        <v>4990</v>
      </c>
      <c r="P16" t="s">
        <v>5007</v>
      </c>
      <c r="Q16">
        <v>0</v>
      </c>
      <c r="R16" t="s">
        <v>4922</v>
      </c>
      <c r="S16" t="s">
        <v>12</v>
      </c>
      <c r="T16" t="s">
        <v>4923</v>
      </c>
      <c r="U16" t="s">
        <v>4924</v>
      </c>
      <c r="V16" t="s">
        <v>5008</v>
      </c>
      <c r="W16" t="s">
        <v>3667</v>
      </c>
      <c r="X16">
        <v>0</v>
      </c>
    </row>
    <row r="17" spans="1:24" x14ac:dyDescent="0.25">
      <c r="A17" t="s">
        <v>4910</v>
      </c>
      <c r="B17" t="s">
        <v>4911</v>
      </c>
      <c r="C17" t="s">
        <v>4912</v>
      </c>
      <c r="D17" t="s">
        <v>13</v>
      </c>
      <c r="E17" t="s">
        <v>4913</v>
      </c>
      <c r="F17" t="s">
        <v>1880</v>
      </c>
      <c r="G17">
        <f>IF(K17="Pick-up","PICKUPS",IF(K17="Staff drop-off","STAFF_DROPOFF",IF(K17="Replacements","REPLACEMENT",IF(K17="Central Stores Dispatch","CENTRAL STORES DISPATCH",IFNA(IFNA(VLOOKUP(F17,'Raw Platform Nov 4-6 2025'!C:C,1,FALSE),VLOOKUP(F17,'Raw Platform Nov 4-6 2025'!D:D,1,FALSE)),IFNA(VLOOKUP(F17,'Glovo Raw Nov 4-6 2025'!B:B,1,FALSE),"Not Matched"))))))</f>
      </c>
      <c r="H17">
        <f>COUNTIF(F:F,F17)</f>
      </c>
      <c r="I17" t="s">
        <v>5009</v>
      </c>
      <c r="J17" t="s">
        <v>4915</v>
      </c>
      <c r="K17" t="s">
        <v>4927</v>
      </c>
      <c r="L17" t="s">
        <v>5010</v>
      </c>
      <c r="M17" t="s">
        <v>5011</v>
      </c>
      <c r="N17" t="s">
        <v>5012</v>
      </c>
      <c r="O17" t="s">
        <v>4990</v>
      </c>
      <c r="P17" t="s">
        <v>5013</v>
      </c>
      <c r="Q17">
        <v>0</v>
      </c>
      <c r="R17" t="s">
        <v>4922</v>
      </c>
      <c r="S17" t="s">
        <v>12</v>
      </c>
      <c r="T17" t="s">
        <v>4923</v>
      </c>
      <c r="U17" t="s">
        <v>4924</v>
      </c>
      <c r="V17" t="s">
        <v>5014</v>
      </c>
      <c r="W17" t="s">
        <v>3667</v>
      </c>
      <c r="X17">
        <v>0</v>
      </c>
    </row>
    <row r="18" spans="1:24" x14ac:dyDescent="0.25">
      <c r="A18" t="s">
        <v>4910</v>
      </c>
      <c r="B18" t="s">
        <v>4911</v>
      </c>
      <c r="C18" t="s">
        <v>4912</v>
      </c>
      <c r="D18" t="s">
        <v>13</v>
      </c>
      <c r="E18" t="s">
        <v>4913</v>
      </c>
      <c r="F18" t="s">
        <v>1496</v>
      </c>
      <c r="G18">
        <f>IF(K18="Pick-up","PICKUPS",IF(K18="Staff drop-off","STAFF_DROPOFF",IF(K18="Replacements","REPLACEMENT",IF(K18="Central Stores Dispatch","CENTRAL STORES DISPATCH",IFNA(IFNA(VLOOKUP(F18,'Raw Platform Nov 4-6 2025'!C:C,1,FALSE),VLOOKUP(F18,'Raw Platform Nov 4-6 2025'!D:D,1,FALSE)),IFNA(VLOOKUP(F18,'Glovo Raw Nov 4-6 2025'!B:B,1,FALSE),"Not Matched"))))))</f>
      </c>
      <c r="H18">
        <f>COUNTIF(F:F,F18)</f>
      </c>
      <c r="I18" t="s">
        <v>5015</v>
      </c>
      <c r="J18" t="s">
        <v>63</v>
      </c>
      <c r="K18" t="s">
        <v>4927</v>
      </c>
      <c r="L18" t="s">
        <v>5016</v>
      </c>
      <c r="M18" t="s">
        <v>5017</v>
      </c>
      <c r="N18" t="s">
        <v>5018</v>
      </c>
      <c r="O18" t="s">
        <v>47</v>
      </c>
      <c r="P18" t="s">
        <v>5019</v>
      </c>
      <c r="Q18">
        <v>0</v>
      </c>
      <c r="R18" t="s">
        <v>4922</v>
      </c>
      <c r="S18" t="s">
        <v>12</v>
      </c>
      <c r="T18" t="s">
        <v>4923</v>
      </c>
      <c r="U18" t="s">
        <v>4924</v>
      </c>
      <c r="V18" t="s">
        <v>5020</v>
      </c>
      <c r="W18" t="s">
        <v>3667</v>
      </c>
      <c r="X18">
        <v>0</v>
      </c>
    </row>
    <row r="19" spans="1:24" x14ac:dyDescent="0.25">
      <c r="A19" t="s">
        <v>4910</v>
      </c>
      <c r="B19" t="s">
        <v>4911</v>
      </c>
      <c r="C19" t="s">
        <v>4912</v>
      </c>
      <c r="D19" t="s">
        <v>13</v>
      </c>
      <c r="E19" t="s">
        <v>4913</v>
      </c>
      <c r="F19" t="s">
        <v>1494</v>
      </c>
      <c r="G19">
        <f>IF(K19="Pick-up","PICKUPS",IF(K19="Staff drop-off","STAFF_DROPOFF",IF(K19="Replacements","REPLACEMENT",IF(K19="Central Stores Dispatch","CENTRAL STORES DISPATCH",IFNA(IFNA(VLOOKUP(F19,'Raw Platform Nov 4-6 2025'!C:C,1,FALSE),VLOOKUP(F19,'Raw Platform Nov 4-6 2025'!D:D,1,FALSE)),IFNA(VLOOKUP(F19,'Glovo Raw Nov 4-6 2025'!B:B,1,FALSE),"Not Matched"))))))</f>
      </c>
      <c r="H19">
        <f>COUNTIF(F:F,F19)</f>
      </c>
      <c r="I19" t="s">
        <v>5021</v>
      </c>
      <c r="J19" t="s">
        <v>63</v>
      </c>
      <c r="K19" t="s">
        <v>4927</v>
      </c>
      <c r="L19" t="s">
        <v>5022</v>
      </c>
      <c r="M19" t="s">
        <v>5023</v>
      </c>
      <c r="N19" t="s">
        <v>5024</v>
      </c>
      <c r="O19" t="s">
        <v>4962</v>
      </c>
      <c r="P19" t="s">
        <v>5025</v>
      </c>
      <c r="Q19">
        <v>0</v>
      </c>
      <c r="R19" t="s">
        <v>4922</v>
      </c>
      <c r="S19" t="s">
        <v>12</v>
      </c>
      <c r="T19" t="s">
        <v>4923</v>
      </c>
      <c r="U19" t="s">
        <v>4924</v>
      </c>
      <c r="V19" t="s">
        <v>5026</v>
      </c>
      <c r="W19" t="s">
        <v>3667</v>
      </c>
      <c r="X19">
        <v>0</v>
      </c>
    </row>
    <row r="20" spans="1:24" x14ac:dyDescent="0.25">
      <c r="A20" t="s">
        <v>4910</v>
      </c>
      <c r="B20" t="s">
        <v>4911</v>
      </c>
      <c r="C20" t="s">
        <v>4912</v>
      </c>
      <c r="D20" t="s">
        <v>13</v>
      </c>
      <c r="E20" t="s">
        <v>4913</v>
      </c>
      <c r="F20" t="s">
        <v>2019</v>
      </c>
      <c r="G20">
        <f>IF(K20="Pick-up","PICKUPS",IF(K20="Staff drop-off","STAFF_DROPOFF",IF(K20="Replacements","REPLACEMENT",IF(K20="Central Stores Dispatch","CENTRAL STORES DISPATCH",IFNA(IFNA(VLOOKUP(F20,'Raw Platform Nov 4-6 2025'!C:C,1,FALSE),VLOOKUP(F20,'Raw Platform Nov 4-6 2025'!D:D,1,FALSE)),IFNA(VLOOKUP(F20,'Glovo Raw Nov 4-6 2025'!B:B,1,FALSE),"Not Matched"))))))</f>
      </c>
      <c r="H20">
        <f>COUNTIF(F:F,F20)</f>
      </c>
      <c r="I20" t="s">
        <v>5027</v>
      </c>
      <c r="J20" t="s">
        <v>5028</v>
      </c>
      <c r="K20" t="s">
        <v>4927</v>
      </c>
      <c r="L20" t="s">
        <v>5029</v>
      </c>
      <c r="M20" t="s">
        <v>5030</v>
      </c>
      <c r="N20" t="s">
        <v>5031</v>
      </c>
      <c r="O20" t="s">
        <v>9</v>
      </c>
      <c r="P20" t="s">
        <v>5032</v>
      </c>
      <c r="Q20">
        <v>1290</v>
      </c>
      <c r="R20" t="s">
        <v>4922</v>
      </c>
      <c r="S20" t="s">
        <v>29</v>
      </c>
      <c r="T20" t="s">
        <v>4923</v>
      </c>
      <c r="U20" t="s">
        <v>4924</v>
      </c>
      <c r="V20" t="s">
        <v>5033</v>
      </c>
      <c r="W20" t="s">
        <v>3667</v>
      </c>
      <c r="X20">
        <v>0</v>
      </c>
    </row>
    <row r="21" spans="1:24" x14ac:dyDescent="0.25">
      <c r="A21" t="s">
        <v>4910</v>
      </c>
      <c r="B21" t="s">
        <v>4911</v>
      </c>
      <c r="C21" t="s">
        <v>4912</v>
      </c>
      <c r="D21" t="s">
        <v>13</v>
      </c>
      <c r="E21" t="s">
        <v>5034</v>
      </c>
      <c r="F21" t="s">
        <v>1707</v>
      </c>
      <c r="G21">
        <f>IF(K21="Pick-up","PICKUPS",IF(K21="Staff drop-off","STAFF_DROPOFF",IF(K21="Replacements","REPLACEMENT",IF(K21="Central Stores Dispatch","CENTRAL STORES DISPATCH",IFNA(IFNA(VLOOKUP(F21,'Raw Platform Nov 4-6 2025'!C:C,1,FALSE),VLOOKUP(F21,'Raw Platform Nov 4-6 2025'!D:D,1,FALSE)),IFNA(VLOOKUP(F21,'Glovo Raw Nov 4-6 2025'!B:B,1,FALSE),"Not Matched"))))))</f>
      </c>
      <c r="H21">
        <f>COUNTIF(F:F,F21)</f>
      </c>
      <c r="I21" t="s">
        <v>5035</v>
      </c>
      <c r="J21" t="s">
        <v>4915</v>
      </c>
      <c r="K21" t="s">
        <v>4927</v>
      </c>
      <c r="L21" t="s">
        <v>5036</v>
      </c>
      <c r="M21" t="s">
        <v>5037</v>
      </c>
      <c r="N21" t="s">
        <v>5038</v>
      </c>
      <c r="O21" t="s">
        <v>4956</v>
      </c>
      <c r="P21" t="s">
        <v>4963</v>
      </c>
      <c r="Q21">
        <v>0</v>
      </c>
      <c r="R21" t="s">
        <v>4922</v>
      </c>
      <c r="S21" t="s">
        <v>12</v>
      </c>
      <c r="T21" t="s">
        <v>4923</v>
      </c>
      <c r="U21" t="s">
        <v>4923</v>
      </c>
      <c r="V21" t="s">
        <v>5039</v>
      </c>
      <c r="W21" t="s">
        <v>3667</v>
      </c>
      <c r="X21">
        <v>0</v>
      </c>
    </row>
    <row r="22" spans="1:24" x14ac:dyDescent="0.25">
      <c r="A22" t="s">
        <v>4910</v>
      </c>
      <c r="B22" t="s">
        <v>4911</v>
      </c>
      <c r="C22" t="s">
        <v>4912</v>
      </c>
      <c r="D22" t="s">
        <v>13</v>
      </c>
      <c r="E22" t="s">
        <v>4913</v>
      </c>
      <c r="F22" t="s">
        <v>1707</v>
      </c>
      <c r="G22">
        <f>IF(K22="Pick-up","PICKUPS",IF(K22="Staff drop-off","STAFF_DROPOFF",IF(K22="Replacements","REPLACEMENT",IF(K22="Central Stores Dispatch","CENTRAL STORES DISPATCH",IFNA(IFNA(VLOOKUP(F22,'Raw Platform Nov 4-6 2025'!C:C,1,FALSE),VLOOKUP(F22,'Raw Platform Nov 4-6 2025'!D:D,1,FALSE)),IFNA(VLOOKUP(F22,'Glovo Raw Nov 4-6 2025'!B:B,1,FALSE),"Not Matched"))))))</f>
      </c>
      <c r="H22">
        <f>COUNTIF(F:F,F22)</f>
      </c>
      <c r="I22" t="s">
        <v>5035</v>
      </c>
      <c r="J22" t="s">
        <v>4915</v>
      </c>
      <c r="K22" t="s">
        <v>4927</v>
      </c>
      <c r="L22" t="s">
        <v>5036</v>
      </c>
      <c r="M22" t="s">
        <v>5037</v>
      </c>
      <c r="N22" t="s">
        <v>5038</v>
      </c>
      <c r="O22" t="s">
        <v>4956</v>
      </c>
      <c r="P22" t="s">
        <v>4963</v>
      </c>
      <c r="Q22">
        <v>0</v>
      </c>
      <c r="R22" t="s">
        <v>4922</v>
      </c>
      <c r="S22" t="s">
        <v>12</v>
      </c>
      <c r="T22" t="s">
        <v>4923</v>
      </c>
      <c r="U22" t="s">
        <v>4924</v>
      </c>
      <c r="V22" t="s">
        <v>5040</v>
      </c>
      <c r="W22" t="s">
        <v>3667</v>
      </c>
      <c r="X22">
        <v>0</v>
      </c>
    </row>
    <row r="23" spans="1:24" x14ac:dyDescent="0.25">
      <c r="A23" t="s">
        <v>4932</v>
      </c>
      <c r="B23" t="s">
        <v>4911</v>
      </c>
      <c r="C23" t="s">
        <v>4912</v>
      </c>
      <c r="D23" t="s">
        <v>13</v>
      </c>
      <c r="E23" t="s">
        <v>4913</v>
      </c>
      <c r="F23" t="s">
        <v>1762</v>
      </c>
      <c r="G23">
        <f>IF(K23="Pick-up","PICKUPS",IF(K23="Staff drop-off","STAFF_DROPOFF",IF(K23="Replacements","REPLACEMENT",IF(K23="Central Stores Dispatch","CENTRAL STORES DISPATCH",IFNA(IFNA(VLOOKUP(F23,'Raw Platform Nov 4-6 2025'!C:C,1,FALSE),VLOOKUP(F23,'Raw Platform Nov 4-6 2025'!D:D,1,FALSE)),IFNA(VLOOKUP(F23,'Glovo Raw Nov 4-6 2025'!B:B,1,FALSE),"Not Matched"))))))</f>
      </c>
      <c r="H23">
        <f>COUNTIF(F:F,F23)</f>
      </c>
      <c r="I23" t="s">
        <v>5041</v>
      </c>
      <c r="J23" t="s">
        <v>4915</v>
      </c>
      <c r="K23" t="s">
        <v>4916</v>
      </c>
      <c r="L23" t="s">
        <v>5042</v>
      </c>
      <c r="M23" t="s">
        <v>5043</v>
      </c>
      <c r="N23" t="s">
        <v>5044</v>
      </c>
      <c r="O23" t="s">
        <v>2009</v>
      </c>
      <c r="P23" t="s">
        <v>5045</v>
      </c>
      <c r="Q23">
        <v>996</v>
      </c>
      <c r="R23" t="s">
        <v>4922</v>
      </c>
      <c r="S23" t="s">
        <v>29</v>
      </c>
      <c r="T23" t="s">
        <v>4923</v>
      </c>
      <c r="U23" t="s">
        <v>4924</v>
      </c>
      <c r="V23" t="s">
        <v>5046</v>
      </c>
      <c r="W23" t="s">
        <v>3667</v>
      </c>
      <c r="X23">
        <v>0</v>
      </c>
    </row>
    <row r="24" spans="1:24" x14ac:dyDescent="0.25">
      <c r="A24" t="s">
        <v>4910</v>
      </c>
      <c r="B24" t="s">
        <v>4911</v>
      </c>
      <c r="C24" t="s">
        <v>4912</v>
      </c>
      <c r="D24" t="s">
        <v>13</v>
      </c>
      <c r="E24" t="s">
        <v>4913</v>
      </c>
      <c r="F24" t="s">
        <v>1759</v>
      </c>
      <c r="G24">
        <f>IF(K24="Pick-up","PICKUPS",IF(K24="Staff drop-off","STAFF_DROPOFF",IF(K24="Replacements","REPLACEMENT",IF(K24="Central Stores Dispatch","CENTRAL STORES DISPATCH",IFNA(IFNA(VLOOKUP(F24,'Raw Platform Nov 4-6 2025'!C:C,1,FALSE),VLOOKUP(F24,'Raw Platform Nov 4-6 2025'!D:D,1,FALSE)),IFNA(VLOOKUP(F24,'Glovo Raw Nov 4-6 2025'!B:B,1,FALSE),"Not Matched"))))))</f>
      </c>
      <c r="H24">
        <f>COUNTIF(F:F,F24)</f>
      </c>
      <c r="I24" t="s">
        <v>5047</v>
      </c>
      <c r="J24" t="s">
        <v>4915</v>
      </c>
      <c r="K24" t="s">
        <v>4927</v>
      </c>
      <c r="L24" t="s">
        <v>5048</v>
      </c>
      <c r="M24" t="s">
        <v>5049</v>
      </c>
      <c r="N24" t="s">
        <v>5050</v>
      </c>
      <c r="O24" t="s">
        <v>47</v>
      </c>
      <c r="P24" t="s">
        <v>4984</v>
      </c>
      <c r="Q24">
        <v>0</v>
      </c>
      <c r="R24" t="s">
        <v>4922</v>
      </c>
      <c r="S24" t="s">
        <v>12</v>
      </c>
      <c r="T24" t="s">
        <v>4923</v>
      </c>
      <c r="U24" t="s">
        <v>4924</v>
      </c>
      <c r="V24" t="s">
        <v>5051</v>
      </c>
      <c r="W24" t="s">
        <v>3667</v>
      </c>
      <c r="X24">
        <v>0</v>
      </c>
    </row>
    <row r="25" spans="1:24" x14ac:dyDescent="0.25">
      <c r="A25" t="s">
        <v>4910</v>
      </c>
      <c r="B25" t="s">
        <v>4911</v>
      </c>
      <c r="C25" t="s">
        <v>4912</v>
      </c>
      <c r="D25" t="s">
        <v>13</v>
      </c>
      <c r="E25" t="s">
        <v>4913</v>
      </c>
      <c r="F25" t="s">
        <v>2057</v>
      </c>
      <c r="G25">
        <f>IF(K25="Pick-up","PICKUPS",IF(K25="Staff drop-off","STAFF_DROPOFF",IF(K25="Replacements","REPLACEMENT",IF(K25="Central Stores Dispatch","CENTRAL STORES DISPATCH",IFNA(IFNA(VLOOKUP(F25,'Raw Platform Nov 4-6 2025'!C:C,1,FALSE),VLOOKUP(F25,'Raw Platform Nov 4-6 2025'!D:D,1,FALSE)),IFNA(VLOOKUP(F25,'Glovo Raw Nov 4-6 2025'!B:B,1,FALSE),"Not Matched"))))))</f>
      </c>
      <c r="H25">
        <f>COUNTIF(F:F,F25)</f>
      </c>
      <c r="I25" t="s">
        <v>5052</v>
      </c>
      <c r="J25" t="s">
        <v>4915</v>
      </c>
      <c r="K25" t="s">
        <v>4927</v>
      </c>
      <c r="L25" t="s">
        <v>5053</v>
      </c>
      <c r="M25" t="s">
        <v>5054</v>
      </c>
      <c r="N25" t="s">
        <v>5055</v>
      </c>
      <c r="O25" t="s">
        <v>4956</v>
      </c>
      <c r="P25" t="s">
        <v>5056</v>
      </c>
      <c r="Q25">
        <v>0</v>
      </c>
      <c r="R25" t="s">
        <v>4922</v>
      </c>
      <c r="S25" t="s">
        <v>12</v>
      </c>
      <c r="T25" t="s">
        <v>4923</v>
      </c>
      <c r="U25" t="s">
        <v>4924</v>
      </c>
      <c r="V25" t="s">
        <v>5057</v>
      </c>
      <c r="W25" t="s">
        <v>3667</v>
      </c>
      <c r="X25">
        <v>0</v>
      </c>
    </row>
    <row r="26" spans="1:24" x14ac:dyDescent="0.25">
      <c r="A26" t="s">
        <v>4910</v>
      </c>
      <c r="B26" t="s">
        <v>4911</v>
      </c>
      <c r="C26" t="s">
        <v>4912</v>
      </c>
      <c r="D26" t="s">
        <v>13</v>
      </c>
      <c r="E26" t="s">
        <v>4913</v>
      </c>
      <c r="F26" t="s">
        <v>1872</v>
      </c>
      <c r="G26">
        <f>IF(K26="Pick-up","PICKUPS",IF(K26="Staff drop-off","STAFF_DROPOFF",IF(K26="Replacements","REPLACEMENT",IF(K26="Central Stores Dispatch","CENTRAL STORES DISPATCH",IFNA(IFNA(VLOOKUP(F26,'Raw Platform Nov 4-6 2025'!C:C,1,FALSE),VLOOKUP(F26,'Raw Platform Nov 4-6 2025'!D:D,1,FALSE)),IFNA(VLOOKUP(F26,'Glovo Raw Nov 4-6 2025'!B:B,1,FALSE),"Not Matched"))))))</f>
      </c>
      <c r="H26">
        <f>COUNTIF(F:F,F26)</f>
      </c>
      <c r="I26" t="s">
        <v>5058</v>
      </c>
      <c r="J26" t="s">
        <v>4915</v>
      </c>
      <c r="K26" t="s">
        <v>4927</v>
      </c>
      <c r="L26" t="s">
        <v>5059</v>
      </c>
      <c r="M26" t="s">
        <v>5060</v>
      </c>
      <c r="N26" t="s">
        <v>5061</v>
      </c>
      <c r="O26" t="s">
        <v>73</v>
      </c>
      <c r="P26" t="s">
        <v>5062</v>
      </c>
      <c r="Q26">
        <v>0</v>
      </c>
      <c r="R26" t="s">
        <v>4922</v>
      </c>
      <c r="S26" t="s">
        <v>12</v>
      </c>
      <c r="T26" t="s">
        <v>4923</v>
      </c>
      <c r="U26" t="s">
        <v>4924</v>
      </c>
      <c r="V26" t="s">
        <v>5063</v>
      </c>
      <c r="W26" t="s">
        <v>3667</v>
      </c>
      <c r="X26">
        <v>0</v>
      </c>
    </row>
    <row r="27" spans="1:24" x14ac:dyDescent="0.25">
      <c r="A27" t="s">
        <v>4932</v>
      </c>
      <c r="B27" t="s">
        <v>4911</v>
      </c>
      <c r="C27" t="s">
        <v>4912</v>
      </c>
      <c r="D27" t="s">
        <v>13</v>
      </c>
      <c r="E27" t="s">
        <v>4913</v>
      </c>
      <c r="F27" t="s">
        <v>2872</v>
      </c>
      <c r="G27">
        <f>IF(K27="Pick-up","PICKUPS",IF(K27="Staff drop-off","STAFF_DROPOFF",IF(K27="Replacements","REPLACEMENT",IF(K27="Central Stores Dispatch","CENTRAL STORES DISPATCH",IFNA(IFNA(VLOOKUP(F27,'Raw Platform Nov 4-6 2025'!C:C,1,FALSE),VLOOKUP(F27,'Raw Platform Nov 4-6 2025'!D:D,1,FALSE)),IFNA(VLOOKUP(F27,'Glovo Raw Nov 4-6 2025'!B:B,1,FALSE),"Not Matched"))))))</f>
      </c>
      <c r="H27">
        <f>COUNTIF(F:F,F27)</f>
      </c>
      <c r="I27" t="s">
        <v>5064</v>
      </c>
      <c r="J27" t="s">
        <v>4915</v>
      </c>
      <c r="K27" t="s">
        <v>4927</v>
      </c>
      <c r="L27" t="s">
        <v>5065</v>
      </c>
      <c r="M27" t="s">
        <v>5066</v>
      </c>
      <c r="N27" t="s">
        <v>5067</v>
      </c>
      <c r="O27" t="s">
        <v>4956</v>
      </c>
      <c r="P27" t="s">
        <v>5025</v>
      </c>
      <c r="Q27">
        <v>0</v>
      </c>
      <c r="R27" t="s">
        <v>4922</v>
      </c>
      <c r="S27" t="s">
        <v>29</v>
      </c>
      <c r="T27" t="s">
        <v>4923</v>
      </c>
      <c r="U27" t="s">
        <v>4924</v>
      </c>
      <c r="V27" t="s">
        <v>5068</v>
      </c>
      <c r="W27" t="s">
        <v>3667</v>
      </c>
      <c r="X27">
        <v>0</v>
      </c>
    </row>
    <row r="28" spans="1:24" x14ac:dyDescent="0.25">
      <c r="A28" t="s">
        <v>4910</v>
      </c>
      <c r="B28" t="s">
        <v>4911</v>
      </c>
      <c r="C28" t="s">
        <v>4912</v>
      </c>
      <c r="D28" t="s">
        <v>13</v>
      </c>
      <c r="E28" t="s">
        <v>4913</v>
      </c>
      <c r="F28" t="s">
        <v>2679</v>
      </c>
      <c r="G28">
        <f>IF(K28="Pick-up","PICKUPS",IF(K28="Staff drop-off","STAFF_DROPOFF",IF(K28="Replacements","REPLACEMENT",IF(K28="Central Stores Dispatch","CENTRAL STORES DISPATCH",IFNA(IFNA(VLOOKUP(F28,'Raw Platform Nov 4-6 2025'!C:C,1,FALSE),VLOOKUP(F28,'Raw Platform Nov 4-6 2025'!D:D,1,FALSE)),IFNA(VLOOKUP(F28,'Glovo Raw Nov 4-6 2025'!B:B,1,FALSE),"Not Matched"))))))</f>
      </c>
      <c r="H28">
        <f>COUNTIF(F:F,F28)</f>
      </c>
      <c r="I28" t="s">
        <v>5069</v>
      </c>
      <c r="J28" t="s">
        <v>4915</v>
      </c>
      <c r="K28" t="s">
        <v>4927</v>
      </c>
      <c r="L28" t="s">
        <v>5070</v>
      </c>
      <c r="M28" t="s">
        <v>5071</v>
      </c>
      <c r="N28" t="s">
        <v>5072</v>
      </c>
      <c r="O28" t="s">
        <v>4949</v>
      </c>
      <c r="P28" t="s">
        <v>4920</v>
      </c>
      <c r="Q28">
        <v>0</v>
      </c>
      <c r="R28" t="s">
        <v>4922</v>
      </c>
      <c r="S28" t="s">
        <v>12</v>
      </c>
      <c r="T28" t="s">
        <v>4923</v>
      </c>
      <c r="U28" t="s">
        <v>4924</v>
      </c>
      <c r="V28" t="s">
        <v>5073</v>
      </c>
      <c r="W28" t="s">
        <v>3667</v>
      </c>
      <c r="X28">
        <v>0</v>
      </c>
    </row>
    <row r="29" spans="1:24" x14ac:dyDescent="0.25">
      <c r="A29" t="s">
        <v>4910</v>
      </c>
      <c r="B29" t="s">
        <v>4911</v>
      </c>
      <c r="C29" t="s">
        <v>4912</v>
      </c>
      <c r="D29" t="s">
        <v>13</v>
      </c>
      <c r="E29" t="s">
        <v>4913</v>
      </c>
      <c r="F29" t="s">
        <v>3177</v>
      </c>
      <c r="G29">
        <f>IF(K29="Pick-up","PICKUPS",IF(K29="Staff drop-off","STAFF_DROPOFF",IF(K29="Replacements","REPLACEMENT",IF(K29="Central Stores Dispatch","CENTRAL STORES DISPATCH",IFNA(IFNA(VLOOKUP(F29,'Raw Platform Nov 4-6 2025'!C:C,1,FALSE),VLOOKUP(F29,'Raw Platform Nov 4-6 2025'!D:D,1,FALSE)),IFNA(VLOOKUP(F29,'Glovo Raw Nov 4-6 2025'!B:B,1,FALSE),"Not Matched"))))))</f>
      </c>
      <c r="H29">
        <f>COUNTIF(F:F,F29)</f>
      </c>
      <c r="I29" t="s">
        <v>5074</v>
      </c>
      <c r="J29" t="s">
        <v>4915</v>
      </c>
      <c r="K29" t="s">
        <v>4927</v>
      </c>
      <c r="L29" t="s">
        <v>5075</v>
      </c>
      <c r="M29" t="s">
        <v>5076</v>
      </c>
      <c r="N29" t="s">
        <v>5077</v>
      </c>
      <c r="O29" t="s">
        <v>4990</v>
      </c>
      <c r="P29" t="s">
        <v>5007</v>
      </c>
      <c r="Q29">
        <v>0</v>
      </c>
      <c r="R29" t="s">
        <v>4922</v>
      </c>
      <c r="S29" t="s">
        <v>12</v>
      </c>
      <c r="T29" t="s">
        <v>4923</v>
      </c>
      <c r="U29" t="s">
        <v>4924</v>
      </c>
      <c r="V29" t="s">
        <v>5078</v>
      </c>
      <c r="W29" t="s">
        <v>3667</v>
      </c>
      <c r="X29">
        <v>0</v>
      </c>
    </row>
    <row r="30" spans="1:24" x14ac:dyDescent="0.25">
      <c r="A30" t="s">
        <v>4932</v>
      </c>
      <c r="B30" t="s">
        <v>4911</v>
      </c>
      <c r="C30" t="s">
        <v>4912</v>
      </c>
      <c r="D30" t="s">
        <v>13</v>
      </c>
      <c r="E30" t="s">
        <v>4913</v>
      </c>
      <c r="F30" t="s">
        <v>2667</v>
      </c>
      <c r="G30">
        <f>IF(K30="Pick-up","PICKUPS",IF(K30="Staff drop-off","STAFF_DROPOFF",IF(K30="Replacements","REPLACEMENT",IF(K30="Central Stores Dispatch","CENTRAL STORES DISPATCH",IFNA(IFNA(VLOOKUP(F30,'Raw Platform Nov 4-6 2025'!C:C,1,FALSE),VLOOKUP(F30,'Raw Platform Nov 4-6 2025'!D:D,1,FALSE)),IFNA(VLOOKUP(F30,'Glovo Raw Nov 4-6 2025'!B:B,1,FALSE),"Not Matched"))))))</f>
      </c>
      <c r="H30">
        <f>COUNTIF(F:F,F30)</f>
      </c>
      <c r="I30" t="s">
        <v>5079</v>
      </c>
      <c r="J30" t="s">
        <v>4915</v>
      </c>
      <c r="K30" t="s">
        <v>4927</v>
      </c>
      <c r="L30" t="s">
        <v>5080</v>
      </c>
      <c r="M30" t="s">
        <v>5081</v>
      </c>
      <c r="N30" t="s">
        <v>5082</v>
      </c>
      <c r="O30" t="s">
        <v>4949</v>
      </c>
      <c r="P30" t="s">
        <v>5007</v>
      </c>
      <c r="Q30">
        <v>0</v>
      </c>
      <c r="R30" t="s">
        <v>4922</v>
      </c>
      <c r="S30" t="s">
        <v>29</v>
      </c>
      <c r="T30" t="s">
        <v>4923</v>
      </c>
      <c r="U30" t="s">
        <v>4924</v>
      </c>
      <c r="V30" t="s">
        <v>5083</v>
      </c>
      <c r="W30" t="s">
        <v>3667</v>
      </c>
      <c r="X30">
        <v>0</v>
      </c>
    </row>
    <row r="31" spans="1:24" x14ac:dyDescent="0.25">
      <c r="A31" t="s">
        <v>4932</v>
      </c>
      <c r="B31" t="s">
        <v>4911</v>
      </c>
      <c r="C31" t="s">
        <v>4912</v>
      </c>
      <c r="D31" t="s">
        <v>13</v>
      </c>
      <c r="E31" t="s">
        <v>4913</v>
      </c>
      <c r="F31" t="s">
        <v>2717</v>
      </c>
      <c r="G31">
        <f>IF(K31="Pick-up","PICKUPS",IF(K31="Staff drop-off","STAFF_DROPOFF",IF(K31="Replacements","REPLACEMENT",IF(K31="Central Stores Dispatch","CENTRAL STORES DISPATCH",IFNA(IFNA(VLOOKUP(F31,'Raw Platform Nov 4-6 2025'!C:C,1,FALSE),VLOOKUP(F31,'Raw Platform Nov 4-6 2025'!D:D,1,FALSE)),IFNA(VLOOKUP(F31,'Glovo Raw Nov 4-6 2025'!B:B,1,FALSE),"Not Matched"))))))</f>
      </c>
      <c r="H31">
        <f>COUNTIF(F:F,F31)</f>
      </c>
      <c r="I31" t="s">
        <v>5084</v>
      </c>
      <c r="J31" t="s">
        <v>4915</v>
      </c>
      <c r="K31" t="s">
        <v>4927</v>
      </c>
      <c r="L31" t="s">
        <v>5085</v>
      </c>
      <c r="M31" t="s">
        <v>5086</v>
      </c>
      <c r="N31" t="s">
        <v>5082</v>
      </c>
      <c r="O31" t="s">
        <v>4949</v>
      </c>
      <c r="P31" t="s">
        <v>5007</v>
      </c>
      <c r="Q31">
        <v>0</v>
      </c>
      <c r="R31" t="s">
        <v>4922</v>
      </c>
      <c r="S31" t="s">
        <v>29</v>
      </c>
      <c r="T31" t="s">
        <v>4923</v>
      </c>
      <c r="U31" t="s">
        <v>4924</v>
      </c>
      <c r="V31" t="s">
        <v>5087</v>
      </c>
      <c r="W31" t="s">
        <v>3667</v>
      </c>
      <c r="X31">
        <v>0</v>
      </c>
    </row>
    <row r="32" spans="1:24" x14ac:dyDescent="0.25">
      <c r="A32" t="s">
        <v>4910</v>
      </c>
      <c r="B32" t="s">
        <v>4911</v>
      </c>
      <c r="C32" t="s">
        <v>4912</v>
      </c>
      <c r="D32" t="s">
        <v>13</v>
      </c>
      <c r="E32" t="s">
        <v>4913</v>
      </c>
      <c r="F32" t="s">
        <v>3249</v>
      </c>
      <c r="G32">
        <f>IF(K32="Pick-up","PICKUPS",IF(K32="Staff drop-off","STAFF_DROPOFF",IF(K32="Replacements","REPLACEMENT",IF(K32="Central Stores Dispatch","CENTRAL STORES DISPATCH",IFNA(IFNA(VLOOKUP(F32,'Raw Platform Nov 4-6 2025'!C:C,1,FALSE),VLOOKUP(F32,'Raw Platform Nov 4-6 2025'!D:D,1,FALSE)),IFNA(VLOOKUP(F32,'Glovo Raw Nov 4-6 2025'!B:B,1,FALSE),"Not Matched"))))))</f>
      </c>
      <c r="H32">
        <f>COUNTIF(F:F,F32)</f>
      </c>
      <c r="I32" t="s">
        <v>5088</v>
      </c>
      <c r="J32" t="s">
        <v>4915</v>
      </c>
      <c r="K32" t="s">
        <v>4927</v>
      </c>
      <c r="L32" t="s">
        <v>5089</v>
      </c>
      <c r="M32" t="s">
        <v>5090</v>
      </c>
      <c r="N32" t="s">
        <v>5091</v>
      </c>
      <c r="O32" t="s">
        <v>26</v>
      </c>
      <c r="P32" t="s">
        <v>4949</v>
      </c>
      <c r="Q32">
        <v>0</v>
      </c>
      <c r="R32" t="s">
        <v>4922</v>
      </c>
      <c r="S32" t="s">
        <v>12</v>
      </c>
      <c r="T32" t="s">
        <v>4923</v>
      </c>
      <c r="U32" t="s">
        <v>4924</v>
      </c>
      <c r="V32" t="s">
        <v>5092</v>
      </c>
      <c r="W32" t="s">
        <v>3667</v>
      </c>
      <c r="X32">
        <v>0</v>
      </c>
    </row>
    <row r="33" spans="1:24" x14ac:dyDescent="0.25">
      <c r="A33" t="s">
        <v>4910</v>
      </c>
      <c r="B33" t="s">
        <v>4911</v>
      </c>
      <c r="C33" t="s">
        <v>4912</v>
      </c>
      <c r="D33" t="s">
        <v>13</v>
      </c>
      <c r="E33" t="s">
        <v>4913</v>
      </c>
      <c r="F33" t="s">
        <v>3265</v>
      </c>
      <c r="G33">
        <f>IF(K33="Pick-up","PICKUPS",IF(K33="Staff drop-off","STAFF_DROPOFF",IF(K33="Replacements","REPLACEMENT",IF(K33="Central Stores Dispatch","CENTRAL STORES DISPATCH",IFNA(IFNA(VLOOKUP(F33,'Raw Platform Nov 4-6 2025'!C:C,1,FALSE),VLOOKUP(F33,'Raw Platform Nov 4-6 2025'!D:D,1,FALSE)),IFNA(VLOOKUP(F33,'Glovo Raw Nov 4-6 2025'!B:B,1,FALSE),"Not Matched"))))))</f>
      </c>
      <c r="H33">
        <f>COUNTIF(F:F,F33)</f>
      </c>
      <c r="I33" t="s">
        <v>5093</v>
      </c>
      <c r="J33" t="s">
        <v>4915</v>
      </c>
      <c r="K33" t="s">
        <v>4916</v>
      </c>
      <c r="L33" t="s">
        <v>5094</v>
      </c>
      <c r="M33" t="s">
        <v>5095</v>
      </c>
      <c r="N33" t="s">
        <v>5096</v>
      </c>
      <c r="O33" t="s">
        <v>4962</v>
      </c>
      <c r="P33" t="s">
        <v>5097</v>
      </c>
      <c r="Q33">
        <v>2260</v>
      </c>
      <c r="R33" t="s">
        <v>4922</v>
      </c>
      <c r="S33" t="s">
        <v>12</v>
      </c>
      <c r="T33" t="s">
        <v>4923</v>
      </c>
      <c r="U33" t="s">
        <v>4924</v>
      </c>
      <c r="V33" t="s">
        <v>5098</v>
      </c>
      <c r="W33" t="s">
        <v>3667</v>
      </c>
      <c r="X33">
        <v>0</v>
      </c>
    </row>
    <row r="34" spans="1:24" x14ac:dyDescent="0.25">
      <c r="A34" t="s">
        <v>4932</v>
      </c>
      <c r="B34" t="s">
        <v>4911</v>
      </c>
      <c r="C34" t="s">
        <v>4912</v>
      </c>
      <c r="D34" t="s">
        <v>13</v>
      </c>
      <c r="E34" t="s">
        <v>4913</v>
      </c>
      <c r="F34" t="s">
        <v>2651</v>
      </c>
      <c r="G34">
        <f>IF(K34="Pick-up","PICKUPS",IF(K34="Staff drop-off","STAFF_DROPOFF",IF(K34="Replacements","REPLACEMENT",IF(K34="Central Stores Dispatch","CENTRAL STORES DISPATCH",IFNA(IFNA(VLOOKUP(F34,'Raw Platform Nov 4-6 2025'!C:C,1,FALSE),VLOOKUP(F34,'Raw Platform Nov 4-6 2025'!D:D,1,FALSE)),IFNA(VLOOKUP(F34,'Glovo Raw Nov 4-6 2025'!B:B,1,FALSE),"Not Matched"))))))</f>
      </c>
      <c r="H34">
        <f>COUNTIF(F:F,F34)</f>
      </c>
      <c r="I34" t="s">
        <v>5099</v>
      </c>
      <c r="J34" t="s">
        <v>4915</v>
      </c>
      <c r="K34" t="s">
        <v>4927</v>
      </c>
      <c r="L34" t="s">
        <v>5100</v>
      </c>
      <c r="M34" t="s">
        <v>5101</v>
      </c>
      <c r="N34" t="s">
        <v>5102</v>
      </c>
      <c r="O34" t="s">
        <v>2009</v>
      </c>
      <c r="P34" t="s">
        <v>4990</v>
      </c>
      <c r="Q34">
        <v>0</v>
      </c>
      <c r="R34" t="s">
        <v>4922</v>
      </c>
      <c r="S34" t="s">
        <v>12</v>
      </c>
      <c r="T34" t="s">
        <v>4923</v>
      </c>
      <c r="U34" t="s">
        <v>4924</v>
      </c>
      <c r="V34" t="s">
        <v>5103</v>
      </c>
      <c r="W34" t="s">
        <v>3667</v>
      </c>
      <c r="X34">
        <v>0</v>
      </c>
    </row>
    <row r="35" spans="1:24" x14ac:dyDescent="0.25">
      <c r="A35" t="s">
        <v>4932</v>
      </c>
      <c r="B35" t="s">
        <v>4911</v>
      </c>
      <c r="C35" t="s">
        <v>4912</v>
      </c>
      <c r="D35" t="s">
        <v>13</v>
      </c>
      <c r="E35" t="s">
        <v>4913</v>
      </c>
      <c r="F35" t="s">
        <v>3569</v>
      </c>
      <c r="G35">
        <f>IF(K35="Pick-up","PICKUPS",IF(K35="Staff drop-off","STAFF_DROPOFF",IF(K35="Replacements","REPLACEMENT",IF(K35="Central Stores Dispatch","CENTRAL STORES DISPATCH",IFNA(IFNA(VLOOKUP(F35,'Raw Platform Nov 4-6 2025'!C:C,1,FALSE),VLOOKUP(F35,'Raw Platform Nov 4-6 2025'!D:D,1,FALSE)),IFNA(VLOOKUP(F35,'Glovo Raw Nov 4-6 2025'!B:B,1,FALSE),"Not Matched"))))))</f>
      </c>
      <c r="H35">
        <f>COUNTIF(F:F,F35)</f>
      </c>
      <c r="I35" t="s">
        <v>5104</v>
      </c>
      <c r="J35" t="s">
        <v>4915</v>
      </c>
      <c r="K35" t="s">
        <v>4927</v>
      </c>
      <c r="L35" t="s">
        <v>5105</v>
      </c>
      <c r="M35" t="s">
        <v>5106</v>
      </c>
      <c r="N35" t="s">
        <v>5107</v>
      </c>
      <c r="O35" t="s">
        <v>47</v>
      </c>
      <c r="P35" t="s">
        <v>5062</v>
      </c>
      <c r="Q35">
        <v>0</v>
      </c>
      <c r="R35" t="s">
        <v>4922</v>
      </c>
      <c r="S35" t="s">
        <v>29</v>
      </c>
      <c r="T35" t="s">
        <v>4923</v>
      </c>
      <c r="U35" t="s">
        <v>4924</v>
      </c>
      <c r="V35" t="s">
        <v>5108</v>
      </c>
      <c r="W35" t="s">
        <v>3667</v>
      </c>
      <c r="X35">
        <v>0</v>
      </c>
    </row>
    <row r="36" spans="1:24" x14ac:dyDescent="0.25">
      <c r="A36" t="s">
        <v>4910</v>
      </c>
      <c r="B36" t="s">
        <v>4911</v>
      </c>
      <c r="C36" t="s">
        <v>4912</v>
      </c>
      <c r="D36" t="s">
        <v>13</v>
      </c>
      <c r="E36" t="s">
        <v>4913</v>
      </c>
      <c r="F36" t="s">
        <v>2804</v>
      </c>
      <c r="G36">
        <f>IF(K36="Pick-up","PICKUPS",IF(K36="Staff drop-off","STAFF_DROPOFF",IF(K36="Replacements","REPLACEMENT",IF(K36="Central Stores Dispatch","CENTRAL STORES DISPATCH",IFNA(IFNA(VLOOKUP(F36,'Raw Platform Nov 4-6 2025'!C:C,1,FALSE),VLOOKUP(F36,'Raw Platform Nov 4-6 2025'!D:D,1,FALSE)),IFNA(VLOOKUP(F36,'Glovo Raw Nov 4-6 2025'!B:B,1,FALSE),"Not Matched"))))))</f>
      </c>
      <c r="H36">
        <f>COUNTIF(F:F,F36)</f>
      </c>
      <c r="I36" t="s">
        <v>5109</v>
      </c>
      <c r="J36" t="s">
        <v>4915</v>
      </c>
      <c r="K36" t="s">
        <v>4927</v>
      </c>
      <c r="L36" t="s">
        <v>5110</v>
      </c>
      <c r="M36" t="s">
        <v>5111</v>
      </c>
      <c r="N36" t="s">
        <v>4973</v>
      </c>
      <c r="O36" t="s">
        <v>123</v>
      </c>
      <c r="P36" t="s">
        <v>4974</v>
      </c>
      <c r="Q36">
        <v>0</v>
      </c>
      <c r="R36" t="s">
        <v>4922</v>
      </c>
      <c r="S36" t="s">
        <v>12</v>
      </c>
      <c r="T36" t="s">
        <v>4923</v>
      </c>
      <c r="U36" t="s">
        <v>4924</v>
      </c>
      <c r="V36" t="s">
        <v>5112</v>
      </c>
      <c r="W36" t="s">
        <v>3667</v>
      </c>
      <c r="X36">
        <v>0</v>
      </c>
    </row>
    <row r="37" spans="1:24" x14ac:dyDescent="0.25">
      <c r="A37" t="s">
        <v>4910</v>
      </c>
      <c r="B37" t="s">
        <v>5113</v>
      </c>
      <c r="C37" t="s">
        <v>5114</v>
      </c>
      <c r="D37" t="s">
        <v>13</v>
      </c>
      <c r="E37" t="s">
        <v>4913</v>
      </c>
      <c r="F37" t="s">
        <v>893</v>
      </c>
      <c r="G37">
        <f>IF(K37="Pick-up","PICKUPS",IF(K37="Staff drop-off","STAFF_DROPOFF",IF(K37="Replacements","REPLACEMENT",IF(K37="Central Stores Dispatch","CENTRAL STORES DISPATCH",IFNA(IFNA(VLOOKUP(F37,'Raw Platform Nov 4-6 2025'!C:C,1,FALSE),VLOOKUP(F37,'Raw Platform Nov 4-6 2025'!D:D,1,FALSE)),IFNA(VLOOKUP(F37,'Glovo Raw Nov 4-6 2025'!B:B,1,FALSE),"Not Matched"))))))</f>
      </c>
      <c r="H37">
        <f>COUNTIF(F:F,F37)</f>
      </c>
      <c r="I37" t="s">
        <v>5115</v>
      </c>
      <c r="J37" t="s">
        <v>4915</v>
      </c>
      <c r="K37" t="s">
        <v>4927</v>
      </c>
      <c r="L37" t="s">
        <v>5116</v>
      </c>
      <c r="M37" t="s">
        <v>5117</v>
      </c>
      <c r="N37" t="s">
        <v>5072</v>
      </c>
      <c r="O37" t="s">
        <v>4949</v>
      </c>
      <c r="P37" t="s">
        <v>4920</v>
      </c>
      <c r="Q37">
        <v>0</v>
      </c>
      <c r="R37" t="s">
        <v>5118</v>
      </c>
      <c r="S37" t="s">
        <v>12</v>
      </c>
      <c r="T37" t="s">
        <v>4923</v>
      </c>
      <c r="U37" t="s">
        <v>4924</v>
      </c>
      <c r="V37" t="s">
        <v>5119</v>
      </c>
      <c r="W37" t="s">
        <v>3667</v>
      </c>
      <c r="X37">
        <v>100</v>
      </c>
    </row>
    <row r="38" spans="1:24" x14ac:dyDescent="0.25">
      <c r="A38" t="s">
        <v>4910</v>
      </c>
      <c r="B38" t="s">
        <v>5113</v>
      </c>
      <c r="C38" t="s">
        <v>5114</v>
      </c>
      <c r="D38" t="s">
        <v>13</v>
      </c>
      <c r="E38" t="s">
        <v>4913</v>
      </c>
      <c r="F38" t="s">
        <v>4337</v>
      </c>
      <c r="G38">
        <f>IF(K38="Pick-up","PICKUPS",IF(K38="Staff drop-off","STAFF_DROPOFF",IF(K38="Replacements","REPLACEMENT",IF(K38="Central Stores Dispatch","CENTRAL STORES DISPATCH",IFNA(IFNA(VLOOKUP(F38,'Raw Platform Nov 4-6 2025'!C:C,1,FALSE),VLOOKUP(F38,'Raw Platform Nov 4-6 2025'!D:D,1,FALSE)),IFNA(VLOOKUP(F38,'Glovo Raw Nov 4-6 2025'!B:B,1,FALSE),"Not Matched"))))))</f>
      </c>
      <c r="H38">
        <f>COUNTIF(F:F,F38)</f>
      </c>
      <c r="I38" t="s">
        <v>5120</v>
      </c>
      <c r="J38" t="s">
        <v>63</v>
      </c>
      <c r="K38" t="s">
        <v>4916</v>
      </c>
      <c r="L38" t="s">
        <v>5121</v>
      </c>
      <c r="M38" t="s">
        <v>5122</v>
      </c>
      <c r="N38" t="s">
        <v>4948</v>
      </c>
      <c r="O38" t="s">
        <v>4949</v>
      </c>
      <c r="P38" t="s">
        <v>4950</v>
      </c>
      <c r="Q38">
        <v>1438</v>
      </c>
      <c r="R38" t="s">
        <v>5118</v>
      </c>
      <c r="S38" t="s">
        <v>12</v>
      </c>
      <c r="T38" t="s">
        <v>4923</v>
      </c>
      <c r="U38" t="s">
        <v>4924</v>
      </c>
      <c r="V38" t="s">
        <v>5123</v>
      </c>
      <c r="W38" t="s">
        <v>3667</v>
      </c>
      <c r="X38">
        <v>100</v>
      </c>
    </row>
    <row r="39" spans="1:24" x14ac:dyDescent="0.25">
      <c r="A39" t="s">
        <v>4910</v>
      </c>
      <c r="B39" t="s">
        <v>5113</v>
      </c>
      <c r="C39" t="s">
        <v>5114</v>
      </c>
      <c r="D39" t="s">
        <v>13</v>
      </c>
      <c r="E39" t="s">
        <v>4913</v>
      </c>
      <c r="F39" t="s">
        <v>537</v>
      </c>
      <c r="G39">
        <f>IF(K39="Pick-up","PICKUPS",IF(K39="Staff drop-off","STAFF_DROPOFF",IF(K39="Replacements","REPLACEMENT",IF(K39="Central Stores Dispatch","CENTRAL STORES DISPATCH",IFNA(IFNA(VLOOKUP(F39,'Raw Platform Nov 4-6 2025'!C:C,1,FALSE),VLOOKUP(F39,'Raw Platform Nov 4-6 2025'!D:D,1,FALSE)),IFNA(VLOOKUP(F39,'Glovo Raw Nov 4-6 2025'!B:B,1,FALSE),"Not Matched"))))))</f>
      </c>
      <c r="H39">
        <f>COUNTIF(F:F,F39)</f>
      </c>
      <c r="I39" t="s">
        <v>5124</v>
      </c>
      <c r="J39" t="s">
        <v>4915</v>
      </c>
      <c r="K39" t="s">
        <v>4927</v>
      </c>
      <c r="L39" t="s">
        <v>5125</v>
      </c>
      <c r="M39" t="s">
        <v>5126</v>
      </c>
      <c r="N39" t="s">
        <v>5127</v>
      </c>
      <c r="O39" t="s">
        <v>47</v>
      </c>
      <c r="P39" t="s">
        <v>5128</v>
      </c>
      <c r="Q39">
        <v>0</v>
      </c>
      <c r="R39" t="s">
        <v>5118</v>
      </c>
      <c r="S39" t="s">
        <v>12</v>
      </c>
      <c r="T39" t="s">
        <v>4923</v>
      </c>
      <c r="U39" t="s">
        <v>4924</v>
      </c>
      <c r="V39" t="s">
        <v>5129</v>
      </c>
      <c r="W39" t="s">
        <v>3667</v>
      </c>
      <c r="X39">
        <v>116.1</v>
      </c>
    </row>
    <row r="40" spans="1:24" x14ac:dyDescent="0.25">
      <c r="A40" t="s">
        <v>5130</v>
      </c>
      <c r="B40" t="s">
        <v>5113</v>
      </c>
      <c r="C40" t="s">
        <v>5114</v>
      </c>
      <c r="D40" t="s">
        <v>24</v>
      </c>
      <c r="E40" t="s">
        <v>4913</v>
      </c>
      <c r="F40" t="s">
        <v>304</v>
      </c>
      <c r="G40">
        <f>IF(K40="Pick-up","PICKUPS",IF(K40="Staff drop-off","STAFF_DROPOFF",IF(K40="Replacements","REPLACEMENT",IF(K40="Central Stores Dispatch","CENTRAL STORES DISPATCH",IFNA(IFNA(VLOOKUP(F40,'Raw Platform Nov 4-6 2025'!C:C,1,FALSE),VLOOKUP(F40,'Raw Platform Nov 4-6 2025'!D:D,1,FALSE)),IFNA(VLOOKUP(F40,'Glovo Raw Nov 4-6 2025'!B:B,1,FALSE),"Not Matched"))))))</f>
      </c>
      <c r="H40">
        <f>COUNTIF(F:F,F40)</f>
      </c>
      <c r="I40" t="s">
        <v>5131</v>
      </c>
      <c r="J40" t="s">
        <v>4915</v>
      </c>
      <c r="K40" t="s">
        <v>4927</v>
      </c>
      <c r="L40" t="s">
        <v>5132</v>
      </c>
      <c r="M40" t="s">
        <v>5133</v>
      </c>
      <c r="N40" t="s">
        <v>5134</v>
      </c>
      <c r="O40" t="s">
        <v>113</v>
      </c>
      <c r="P40" t="s">
        <v>5135</v>
      </c>
      <c r="Q40">
        <v>0</v>
      </c>
      <c r="R40" t="s">
        <v>5118</v>
      </c>
      <c r="S40" t="s">
        <v>5136</v>
      </c>
      <c r="T40" t="s">
        <v>4923</v>
      </c>
      <c r="U40" t="s">
        <v>4924</v>
      </c>
      <c r="V40" t="s">
        <v>5137</v>
      </c>
      <c r="W40" t="s">
        <v>3667</v>
      </c>
      <c r="X40">
        <v>238</v>
      </c>
    </row>
    <row r="41" spans="1:24" x14ac:dyDescent="0.25">
      <c r="A41" t="s">
        <v>4932</v>
      </c>
      <c r="B41" t="s">
        <v>5113</v>
      </c>
      <c r="C41" t="s">
        <v>5114</v>
      </c>
      <c r="D41" t="s">
        <v>13</v>
      </c>
      <c r="E41" t="s">
        <v>4913</v>
      </c>
      <c r="F41" t="s">
        <v>1223</v>
      </c>
      <c r="G41">
        <f>IF(K41="Pick-up","PICKUPS",IF(K41="Staff drop-off","STAFF_DROPOFF",IF(K41="Replacements","REPLACEMENT",IF(K41="Central Stores Dispatch","CENTRAL STORES DISPATCH",IFNA(IFNA(VLOOKUP(F41,'Raw Platform Nov 4-6 2025'!C:C,1,FALSE),VLOOKUP(F41,'Raw Platform Nov 4-6 2025'!D:D,1,FALSE)),IFNA(VLOOKUP(F41,'Glovo Raw Nov 4-6 2025'!B:B,1,FALSE),"Not Matched"))))))</f>
      </c>
      <c r="H41">
        <f>COUNTIF(F:F,F41)</f>
      </c>
      <c r="I41" t="s">
        <v>5138</v>
      </c>
      <c r="J41" t="s">
        <v>4915</v>
      </c>
      <c r="K41" t="s">
        <v>4927</v>
      </c>
      <c r="L41" t="s">
        <v>5139</v>
      </c>
      <c r="M41" t="s">
        <v>5140</v>
      </c>
      <c r="N41" t="s">
        <v>5141</v>
      </c>
      <c r="O41" t="s">
        <v>183</v>
      </c>
      <c r="P41" t="s">
        <v>5142</v>
      </c>
      <c r="Q41">
        <v>0</v>
      </c>
      <c r="R41" t="s">
        <v>5118</v>
      </c>
      <c r="S41" t="s">
        <v>29</v>
      </c>
      <c r="T41" t="s">
        <v>4923</v>
      </c>
      <c r="U41" t="s">
        <v>4924</v>
      </c>
      <c r="V41" t="s">
        <v>5143</v>
      </c>
      <c r="W41" t="s">
        <v>3667</v>
      </c>
      <c r="X41">
        <v>281.7</v>
      </c>
    </row>
    <row r="42" spans="1:24" x14ac:dyDescent="0.25">
      <c r="A42" t="s">
        <v>4932</v>
      </c>
      <c r="B42" t="s">
        <v>5113</v>
      </c>
      <c r="C42" t="s">
        <v>5114</v>
      </c>
      <c r="D42" t="s">
        <v>13</v>
      </c>
      <c r="E42" t="s">
        <v>4913</v>
      </c>
      <c r="F42" t="s">
        <v>444</v>
      </c>
      <c r="G42">
        <f>IF(K42="Pick-up","PICKUPS",IF(K42="Staff drop-off","STAFF_DROPOFF",IF(K42="Replacements","REPLACEMENT",IF(K42="Central Stores Dispatch","CENTRAL STORES DISPATCH",IFNA(IFNA(VLOOKUP(F42,'Raw Platform Nov 4-6 2025'!C:C,1,FALSE),VLOOKUP(F42,'Raw Platform Nov 4-6 2025'!D:D,1,FALSE)),IFNA(VLOOKUP(F42,'Glovo Raw Nov 4-6 2025'!B:B,1,FALSE),"Not Matched"))))))</f>
      </c>
      <c r="H42">
        <f>COUNTIF(F:F,F42)</f>
      </c>
      <c r="I42" t="s">
        <v>5144</v>
      </c>
      <c r="J42" t="s">
        <v>4915</v>
      </c>
      <c r="K42" t="s">
        <v>4927</v>
      </c>
      <c r="L42" t="s">
        <v>5145</v>
      </c>
      <c r="M42" t="s">
        <v>5146</v>
      </c>
      <c r="N42" t="s">
        <v>5147</v>
      </c>
      <c r="O42" t="s">
        <v>32</v>
      </c>
      <c r="P42" t="s">
        <v>5148</v>
      </c>
      <c r="Q42">
        <v>0</v>
      </c>
      <c r="R42" t="s">
        <v>5118</v>
      </c>
      <c r="S42" t="s">
        <v>29</v>
      </c>
      <c r="T42" t="s">
        <v>4923</v>
      </c>
      <c r="U42" t="s">
        <v>4924</v>
      </c>
      <c r="V42" t="s">
        <v>5149</v>
      </c>
      <c r="W42" t="s">
        <v>3667</v>
      </c>
      <c r="X42">
        <v>304.7</v>
      </c>
    </row>
    <row r="43" spans="1:24" x14ac:dyDescent="0.25">
      <c r="A43" t="s">
        <v>4932</v>
      </c>
      <c r="B43" t="s">
        <v>5113</v>
      </c>
      <c r="C43" t="s">
        <v>5114</v>
      </c>
      <c r="D43" t="s">
        <v>13</v>
      </c>
      <c r="E43" t="s">
        <v>4913</v>
      </c>
      <c r="F43" t="s">
        <v>58</v>
      </c>
      <c r="G43">
        <f>IF(K43="Pick-up","PICKUPS",IF(K43="Staff drop-off","STAFF_DROPOFF",IF(K43="Replacements","REPLACEMENT",IF(K43="Central Stores Dispatch","CENTRAL STORES DISPATCH",IFNA(IFNA(VLOOKUP(F43,'Raw Platform Nov 4-6 2025'!C:C,1,FALSE),VLOOKUP(F43,'Raw Platform Nov 4-6 2025'!D:D,1,FALSE)),IFNA(VLOOKUP(F43,'Glovo Raw Nov 4-6 2025'!B:B,1,FALSE),"Not Matched"))))))</f>
      </c>
      <c r="H43">
        <f>COUNTIF(F:F,F43)</f>
      </c>
      <c r="I43" t="s">
        <v>5150</v>
      </c>
      <c r="J43" t="s">
        <v>4915</v>
      </c>
      <c r="K43" t="s">
        <v>4927</v>
      </c>
      <c r="L43" t="s">
        <v>5151</v>
      </c>
      <c r="M43" t="s">
        <v>5152</v>
      </c>
      <c r="N43" t="s">
        <v>5153</v>
      </c>
      <c r="O43" t="s">
        <v>4949</v>
      </c>
      <c r="P43" t="s">
        <v>5019</v>
      </c>
      <c r="Q43">
        <v>0</v>
      </c>
      <c r="R43" t="s">
        <v>5118</v>
      </c>
      <c r="S43" t="s">
        <v>29</v>
      </c>
      <c r="T43" t="s">
        <v>4923</v>
      </c>
      <c r="U43" t="s">
        <v>4924</v>
      </c>
      <c r="V43" t="s">
        <v>5154</v>
      </c>
      <c r="W43" t="s">
        <v>3667</v>
      </c>
      <c r="X43">
        <v>100</v>
      </c>
    </row>
    <row r="44" spans="1:24" x14ac:dyDescent="0.25">
      <c r="A44" t="s">
        <v>4932</v>
      </c>
      <c r="B44" t="s">
        <v>5113</v>
      </c>
      <c r="C44" t="s">
        <v>5114</v>
      </c>
      <c r="D44" t="s">
        <v>13</v>
      </c>
      <c r="E44" t="s">
        <v>4913</v>
      </c>
      <c r="F44" t="s">
        <v>4089</v>
      </c>
      <c r="G44">
        <f>IF(K44="Pick-up","PICKUPS",IF(K44="Staff drop-off","STAFF_DROPOFF",IF(K44="Replacements","REPLACEMENT",IF(K44="Central Stores Dispatch","CENTRAL STORES DISPATCH",IFNA(IFNA(VLOOKUP(F44,'Raw Platform Nov 4-6 2025'!C:C,1,FALSE),VLOOKUP(F44,'Raw Platform Nov 4-6 2025'!D:D,1,FALSE)),IFNA(VLOOKUP(F44,'Glovo Raw Nov 4-6 2025'!B:B,1,FALSE),"Not Matched"))))))</f>
      </c>
      <c r="H44">
        <f>COUNTIF(F:F,F44)</f>
      </c>
      <c r="I44" t="s">
        <v>5155</v>
      </c>
      <c r="J44" t="s">
        <v>63</v>
      </c>
      <c r="K44" t="s">
        <v>4927</v>
      </c>
      <c r="L44" t="s">
        <v>5156</v>
      </c>
      <c r="M44" t="s">
        <v>5157</v>
      </c>
      <c r="N44" t="s">
        <v>5158</v>
      </c>
      <c r="O44" t="s">
        <v>4949</v>
      </c>
      <c r="P44" t="s">
        <v>4963</v>
      </c>
      <c r="Q44">
        <v>0</v>
      </c>
      <c r="R44" t="s">
        <v>5118</v>
      </c>
      <c r="S44" t="s">
        <v>29</v>
      </c>
      <c r="T44" t="s">
        <v>4923</v>
      </c>
      <c r="U44" t="s">
        <v>4924</v>
      </c>
      <c r="V44" t="s">
        <v>5159</v>
      </c>
      <c r="W44" t="s">
        <v>3667</v>
      </c>
      <c r="X44">
        <v>100</v>
      </c>
    </row>
    <row r="45" spans="1:24" x14ac:dyDescent="0.25">
      <c r="A45" t="s">
        <v>5130</v>
      </c>
      <c r="B45" t="s">
        <v>5113</v>
      </c>
      <c r="C45" t="s">
        <v>5114</v>
      </c>
      <c r="D45" t="s">
        <v>24</v>
      </c>
      <c r="E45" t="s">
        <v>4913</v>
      </c>
      <c r="F45" t="s">
        <v>1236</v>
      </c>
      <c r="G45">
        <f>IF(K45="Pick-up","PICKUPS",IF(K45="Staff drop-off","STAFF_DROPOFF",IF(K45="Replacements","REPLACEMENT",IF(K45="Central Stores Dispatch","CENTRAL STORES DISPATCH",IFNA(IFNA(VLOOKUP(F45,'Raw Platform Nov 4-6 2025'!C:C,1,FALSE),VLOOKUP(F45,'Raw Platform Nov 4-6 2025'!D:D,1,FALSE)),IFNA(VLOOKUP(F45,'Glovo Raw Nov 4-6 2025'!B:B,1,FALSE),"Not Matched"))))))</f>
      </c>
      <c r="H45">
        <f>COUNTIF(F:F,F45)</f>
      </c>
      <c r="I45" t="s">
        <v>5160</v>
      </c>
      <c r="J45" t="s">
        <v>4915</v>
      </c>
      <c r="K45" t="s">
        <v>4916</v>
      </c>
      <c r="L45" t="s">
        <v>5161</v>
      </c>
      <c r="M45" t="s">
        <v>5162</v>
      </c>
      <c r="N45" t="s">
        <v>5163</v>
      </c>
      <c r="O45" t="s">
        <v>73</v>
      </c>
      <c r="P45" t="s">
        <v>5164</v>
      </c>
      <c r="Q45">
        <v>942</v>
      </c>
      <c r="R45" t="s">
        <v>5118</v>
      </c>
      <c r="S45" t="s">
        <v>5136</v>
      </c>
      <c r="T45" t="s">
        <v>4923</v>
      </c>
      <c r="U45" t="s">
        <v>4924</v>
      </c>
      <c r="V45" t="s">
        <v>5165</v>
      </c>
      <c r="W45" t="s">
        <v>3667</v>
      </c>
      <c r="X45">
        <v>146</v>
      </c>
    </row>
    <row r="46" spans="1:24" x14ac:dyDescent="0.25">
      <c r="A46" t="s">
        <v>5130</v>
      </c>
      <c r="B46" t="s">
        <v>5113</v>
      </c>
      <c r="C46" t="s">
        <v>5114</v>
      </c>
      <c r="D46" t="s">
        <v>24</v>
      </c>
      <c r="E46" t="s">
        <v>4913</v>
      </c>
      <c r="F46" t="s">
        <v>646</v>
      </c>
      <c r="G46">
        <f>IF(K46="Pick-up","PICKUPS",IF(K46="Staff drop-off","STAFF_DROPOFF",IF(K46="Replacements","REPLACEMENT",IF(K46="Central Stores Dispatch","CENTRAL STORES DISPATCH",IFNA(IFNA(VLOOKUP(F46,'Raw Platform Nov 4-6 2025'!C:C,1,FALSE),VLOOKUP(F46,'Raw Platform Nov 4-6 2025'!D:D,1,FALSE)),IFNA(VLOOKUP(F46,'Glovo Raw Nov 4-6 2025'!B:B,1,FALSE),"Not Matched"))))))</f>
      </c>
      <c r="H46">
        <f>COUNTIF(F:F,F46)</f>
      </c>
      <c r="I46" t="s">
        <v>5166</v>
      </c>
      <c r="J46" t="s">
        <v>63</v>
      </c>
      <c r="K46" t="s">
        <v>4927</v>
      </c>
      <c r="L46" t="s">
        <v>5167</v>
      </c>
      <c r="M46" t="s">
        <v>5168</v>
      </c>
      <c r="N46" t="s">
        <v>5169</v>
      </c>
      <c r="O46" t="s">
        <v>4956</v>
      </c>
      <c r="P46" t="s">
        <v>5013</v>
      </c>
      <c r="Q46">
        <v>0</v>
      </c>
      <c r="R46" t="s">
        <v>5118</v>
      </c>
      <c r="S46" t="s">
        <v>5136</v>
      </c>
      <c r="T46" t="s">
        <v>4923</v>
      </c>
      <c r="U46" t="s">
        <v>4924</v>
      </c>
      <c r="V46" t="s">
        <v>5170</v>
      </c>
      <c r="W46" t="s">
        <v>3667</v>
      </c>
      <c r="X46">
        <v>100</v>
      </c>
    </row>
    <row r="47" spans="1:24" x14ac:dyDescent="0.25">
      <c r="A47" t="s">
        <v>4910</v>
      </c>
      <c r="B47" t="s">
        <v>5113</v>
      </c>
      <c r="C47" t="s">
        <v>5114</v>
      </c>
      <c r="D47" t="s">
        <v>13</v>
      </c>
      <c r="E47" t="s">
        <v>4913</v>
      </c>
      <c r="F47" t="s">
        <v>1174</v>
      </c>
      <c r="G47">
        <f>IF(K47="Pick-up","PICKUPS",IF(K47="Staff drop-off","STAFF_DROPOFF",IF(K47="Replacements","REPLACEMENT",IF(K47="Central Stores Dispatch","CENTRAL STORES DISPATCH",IFNA(IFNA(VLOOKUP(F47,'Raw Platform Nov 4-6 2025'!C:C,1,FALSE),VLOOKUP(F47,'Raw Platform Nov 4-6 2025'!D:D,1,FALSE)),IFNA(VLOOKUP(F47,'Glovo Raw Nov 4-6 2025'!B:B,1,FALSE),"Not Matched"))))))</f>
      </c>
      <c r="H47">
        <f>COUNTIF(F:F,F47)</f>
      </c>
      <c r="I47" t="s">
        <v>5171</v>
      </c>
      <c r="J47" t="s">
        <v>63</v>
      </c>
      <c r="K47" t="s">
        <v>4927</v>
      </c>
      <c r="L47" t="s">
        <v>5172</v>
      </c>
      <c r="M47" t="s">
        <v>5173</v>
      </c>
      <c r="N47" t="s">
        <v>5174</v>
      </c>
      <c r="O47" t="s">
        <v>4949</v>
      </c>
      <c r="P47" t="s">
        <v>4920</v>
      </c>
      <c r="Q47">
        <v>0</v>
      </c>
      <c r="R47" t="s">
        <v>5118</v>
      </c>
      <c r="S47" t="s">
        <v>12</v>
      </c>
      <c r="T47" t="s">
        <v>4923</v>
      </c>
      <c r="U47" t="s">
        <v>4924</v>
      </c>
      <c r="V47" t="s">
        <v>5175</v>
      </c>
      <c r="W47" t="s">
        <v>3667</v>
      </c>
      <c r="X47">
        <v>100</v>
      </c>
    </row>
    <row r="48" spans="1:24" x14ac:dyDescent="0.25">
      <c r="A48" t="s">
        <v>5176</v>
      </c>
      <c r="B48" t="s">
        <v>5177</v>
      </c>
      <c r="C48" t="s">
        <v>5178</v>
      </c>
      <c r="D48" t="s">
        <v>191</v>
      </c>
      <c r="E48" t="s">
        <v>4913</v>
      </c>
      <c r="F48" t="s">
        <v>2962</v>
      </c>
      <c r="G48">
        <f>IF(K48="Pick-up","PICKUPS",IF(K48="Staff drop-off","STAFF_DROPOFF",IF(K48="Replacements","REPLACEMENT",IF(K48="Central Stores Dispatch","CENTRAL STORES DISPATCH",IFNA(IFNA(VLOOKUP(F48,'Raw Platform Nov 4-6 2025'!C:C,1,FALSE),VLOOKUP(F48,'Raw Platform Nov 4-6 2025'!D:D,1,FALSE)),IFNA(VLOOKUP(F48,'Glovo Raw Nov 4-6 2025'!B:B,1,FALSE),"Not Matched"))))))</f>
      </c>
      <c r="H48">
        <f>COUNTIF(F:F,F48)</f>
      </c>
      <c r="I48" t="s">
        <v>5179</v>
      </c>
      <c r="J48" t="s">
        <v>5028</v>
      </c>
      <c r="K48" t="s">
        <v>4916</v>
      </c>
      <c r="L48" t="s">
        <v>5180</v>
      </c>
      <c r="M48" t="s">
        <v>5181</v>
      </c>
      <c r="N48" t="s">
        <v>5182</v>
      </c>
      <c r="O48" t="s">
        <v>5183</v>
      </c>
      <c r="P48" t="s">
        <v>42</v>
      </c>
      <c r="Q48">
        <v>2710</v>
      </c>
      <c r="R48" t="s">
        <v>5118</v>
      </c>
      <c r="S48" t="s">
        <v>5184</v>
      </c>
      <c r="T48" t="s">
        <v>4923</v>
      </c>
      <c r="U48" t="s">
        <v>4924</v>
      </c>
      <c r="V48" t="s">
        <v>5185</v>
      </c>
      <c r="W48" t="s">
        <v>3667</v>
      </c>
      <c r="X48">
        <v>479.5</v>
      </c>
    </row>
    <row r="49" spans="1:24" x14ac:dyDescent="0.25">
      <c r="A49" t="s">
        <v>5176</v>
      </c>
      <c r="B49" t="s">
        <v>5177</v>
      </c>
      <c r="C49" t="s">
        <v>5178</v>
      </c>
      <c r="D49" t="s">
        <v>30</v>
      </c>
      <c r="E49" t="s">
        <v>4913</v>
      </c>
      <c r="F49" t="s">
        <v>3111</v>
      </c>
      <c r="G49">
        <f>IF(K49="Pick-up","PICKUPS",IF(K49="Staff drop-off","STAFF_DROPOFF",IF(K49="Replacements","REPLACEMENT",IF(K49="Central Stores Dispatch","CENTRAL STORES DISPATCH",IFNA(IFNA(VLOOKUP(F49,'Raw Platform Nov 4-6 2025'!C:C,1,FALSE),VLOOKUP(F49,'Raw Platform Nov 4-6 2025'!D:D,1,FALSE)),IFNA(VLOOKUP(F49,'Glovo Raw Nov 4-6 2025'!B:B,1,FALSE),"Not Matched"))))))</f>
      </c>
      <c r="H49">
        <f>COUNTIF(F:F,F49)</f>
      </c>
      <c r="I49" t="s">
        <v>5186</v>
      </c>
      <c r="J49" t="s">
        <v>4915</v>
      </c>
      <c r="K49" t="s">
        <v>4927</v>
      </c>
      <c r="L49" t="s">
        <v>5187</v>
      </c>
      <c r="M49" t="s">
        <v>5188</v>
      </c>
      <c r="N49" t="s">
        <v>5189</v>
      </c>
      <c r="O49" t="s">
        <v>42</v>
      </c>
      <c r="P49" t="s">
        <v>5190</v>
      </c>
      <c r="Q49">
        <v>0</v>
      </c>
      <c r="R49" t="s">
        <v>5118</v>
      </c>
      <c r="S49" t="s">
        <v>116</v>
      </c>
      <c r="T49" t="s">
        <v>4923</v>
      </c>
      <c r="U49" t="s">
        <v>4924</v>
      </c>
      <c r="V49" t="s">
        <v>5191</v>
      </c>
      <c r="W49" t="s">
        <v>3667</v>
      </c>
      <c r="X49">
        <v>270.2</v>
      </c>
    </row>
    <row r="50" spans="1:24" x14ac:dyDescent="0.25">
      <c r="A50" t="s">
        <v>5176</v>
      </c>
      <c r="B50" t="s">
        <v>5177</v>
      </c>
      <c r="C50" t="s">
        <v>5178</v>
      </c>
      <c r="D50" t="s">
        <v>30</v>
      </c>
      <c r="E50" t="s">
        <v>4913</v>
      </c>
      <c r="F50" t="s">
        <v>2631</v>
      </c>
      <c r="G50">
        <f>IF(K50="Pick-up","PICKUPS",IF(K50="Staff drop-off","STAFF_DROPOFF",IF(K50="Replacements","REPLACEMENT",IF(K50="Central Stores Dispatch","CENTRAL STORES DISPATCH",IFNA(IFNA(VLOOKUP(F50,'Raw Platform Nov 4-6 2025'!C:C,1,FALSE),VLOOKUP(F50,'Raw Platform Nov 4-6 2025'!D:D,1,FALSE)),IFNA(VLOOKUP(F50,'Glovo Raw Nov 4-6 2025'!B:B,1,FALSE),"Not Matched"))))))</f>
      </c>
      <c r="H50">
        <f>COUNTIF(F:F,F50)</f>
      </c>
      <c r="I50" t="s">
        <v>5192</v>
      </c>
      <c r="J50" t="s">
        <v>4915</v>
      </c>
      <c r="K50" t="s">
        <v>4927</v>
      </c>
      <c r="L50" t="s">
        <v>5193</v>
      </c>
      <c r="M50" t="s">
        <v>5194</v>
      </c>
      <c r="N50" t="s">
        <v>5195</v>
      </c>
      <c r="O50" t="s">
        <v>4990</v>
      </c>
      <c r="P50" t="s">
        <v>5196</v>
      </c>
      <c r="Q50">
        <v>0</v>
      </c>
      <c r="R50" t="s">
        <v>5118</v>
      </c>
      <c r="S50" t="s">
        <v>12</v>
      </c>
      <c r="T50" t="s">
        <v>4923</v>
      </c>
      <c r="U50" t="s">
        <v>4924</v>
      </c>
      <c r="V50" t="s">
        <v>5197</v>
      </c>
      <c r="W50" t="s">
        <v>3667</v>
      </c>
      <c r="X50">
        <v>100</v>
      </c>
    </row>
    <row r="51" spans="1:24" x14ac:dyDescent="0.25">
      <c r="A51" t="s">
        <v>5176</v>
      </c>
      <c r="B51" t="s">
        <v>5177</v>
      </c>
      <c r="C51" t="s">
        <v>5178</v>
      </c>
      <c r="D51" t="s">
        <v>30</v>
      </c>
      <c r="E51" t="s">
        <v>4913</v>
      </c>
      <c r="F51" t="s">
        <v>3063</v>
      </c>
      <c r="G51">
        <f>IF(K51="Pick-up","PICKUPS",IF(K51="Staff drop-off","STAFF_DROPOFF",IF(K51="Replacements","REPLACEMENT",IF(K51="Central Stores Dispatch","CENTRAL STORES DISPATCH",IFNA(IFNA(VLOOKUP(F51,'Raw Platform Nov 4-6 2025'!C:C,1,FALSE),VLOOKUP(F51,'Raw Platform Nov 4-6 2025'!D:D,1,FALSE)),IFNA(VLOOKUP(F51,'Glovo Raw Nov 4-6 2025'!B:B,1,FALSE),"Not Matched"))))))</f>
      </c>
      <c r="H51">
        <f>COUNTIF(F:F,F51)</f>
      </c>
      <c r="I51" t="s">
        <v>5198</v>
      </c>
      <c r="J51" t="s">
        <v>63</v>
      </c>
      <c r="K51" t="s">
        <v>4927</v>
      </c>
      <c r="L51" t="s">
        <v>5199</v>
      </c>
      <c r="M51" t="s">
        <v>5200</v>
      </c>
      <c r="N51" t="s">
        <v>5201</v>
      </c>
      <c r="O51" t="s">
        <v>123</v>
      </c>
      <c r="P51" t="s">
        <v>4996</v>
      </c>
      <c r="Q51">
        <v>0</v>
      </c>
      <c r="R51" t="s">
        <v>5118</v>
      </c>
      <c r="S51" t="s">
        <v>50</v>
      </c>
      <c r="T51" t="s">
        <v>4923</v>
      </c>
      <c r="U51" t="s">
        <v>4924</v>
      </c>
      <c r="V51" t="s">
        <v>5202</v>
      </c>
      <c r="W51" t="s">
        <v>3667</v>
      </c>
      <c r="X51">
        <v>129.9</v>
      </c>
    </row>
    <row r="52" spans="1:24" x14ac:dyDescent="0.25">
      <c r="A52" t="s">
        <v>5176</v>
      </c>
      <c r="B52" t="s">
        <v>5177</v>
      </c>
      <c r="C52" t="s">
        <v>5178</v>
      </c>
      <c r="D52" t="s">
        <v>30</v>
      </c>
      <c r="E52" t="s">
        <v>4913</v>
      </c>
      <c r="F52" t="s">
        <v>2887</v>
      </c>
      <c r="G52">
        <f>IF(K52="Pick-up","PICKUPS",IF(K52="Staff drop-off","STAFF_DROPOFF",IF(K52="Replacements","REPLACEMENT",IF(K52="Central Stores Dispatch","CENTRAL STORES DISPATCH",IFNA(IFNA(VLOOKUP(F52,'Raw Platform Nov 4-6 2025'!C:C,1,FALSE),VLOOKUP(F52,'Raw Platform Nov 4-6 2025'!D:D,1,FALSE)),IFNA(VLOOKUP(F52,'Glovo Raw Nov 4-6 2025'!B:B,1,FALSE),"Not Matched"))))))</f>
      </c>
      <c r="H52">
        <f>COUNTIF(F:F,F52)</f>
      </c>
      <c r="I52" t="s">
        <v>5203</v>
      </c>
      <c r="J52" t="s">
        <v>4915</v>
      </c>
      <c r="K52" t="s">
        <v>4916</v>
      </c>
      <c r="L52" t="s">
        <v>5204</v>
      </c>
      <c r="M52" t="s">
        <v>5205</v>
      </c>
      <c r="N52" t="s">
        <v>5061</v>
      </c>
      <c r="O52" t="s">
        <v>183</v>
      </c>
      <c r="P52" t="s">
        <v>5206</v>
      </c>
      <c r="Q52">
        <v>912</v>
      </c>
      <c r="R52" t="s">
        <v>5118</v>
      </c>
      <c r="S52" t="s">
        <v>172</v>
      </c>
      <c r="T52" t="s">
        <v>4923</v>
      </c>
      <c r="U52" t="s">
        <v>4924</v>
      </c>
      <c r="V52" t="s">
        <v>5207</v>
      </c>
      <c r="W52" t="s">
        <v>3667</v>
      </c>
      <c r="X52">
        <v>311.6</v>
      </c>
    </row>
    <row r="53" spans="1:24" x14ac:dyDescent="0.25">
      <c r="A53" t="s">
        <v>5130</v>
      </c>
      <c r="B53" t="s">
        <v>5208</v>
      </c>
      <c r="C53" t="s">
        <v>5209</v>
      </c>
      <c r="D53" t="s">
        <v>24</v>
      </c>
      <c r="E53" t="s">
        <v>4913</v>
      </c>
      <c r="F53" t="s">
        <v>1108</v>
      </c>
      <c r="G53">
        <f>IF(K53="Pick-up","PICKUPS",IF(K53="Staff drop-off","STAFF_DROPOFF",IF(K53="Replacements","REPLACEMENT",IF(K53="Central Stores Dispatch","CENTRAL STORES DISPATCH",IFNA(IFNA(VLOOKUP(F53,'Raw Platform Nov 4-6 2025'!C:C,1,FALSE),VLOOKUP(F53,'Raw Platform Nov 4-6 2025'!D:D,1,FALSE)),IFNA(VLOOKUP(F53,'Glovo Raw Nov 4-6 2025'!B:B,1,FALSE),"Not Matched"))))))</f>
      </c>
      <c r="H53">
        <f>COUNTIF(F:F,F53)</f>
      </c>
      <c r="I53" t="s">
        <v>5131</v>
      </c>
      <c r="J53" t="s">
        <v>63</v>
      </c>
      <c r="K53" t="s">
        <v>4916</v>
      </c>
      <c r="L53" t="s">
        <v>5210</v>
      </c>
      <c r="M53" t="s">
        <v>5211</v>
      </c>
      <c r="N53" t="s">
        <v>5212</v>
      </c>
      <c r="O53" t="s">
        <v>77</v>
      </c>
      <c r="P53" t="s">
        <v>5213</v>
      </c>
      <c r="Q53">
        <v>1612</v>
      </c>
      <c r="R53" t="s">
        <v>5118</v>
      </c>
      <c r="S53" t="s">
        <v>50</v>
      </c>
      <c r="T53" t="s">
        <v>4923</v>
      </c>
      <c r="U53" t="s">
        <v>4924</v>
      </c>
      <c r="V53" t="s">
        <v>5214</v>
      </c>
      <c r="W53" t="s">
        <v>3667</v>
      </c>
      <c r="X53">
        <v>215</v>
      </c>
    </row>
    <row r="54" spans="1:24" x14ac:dyDescent="0.25">
      <c r="A54" t="s">
        <v>5130</v>
      </c>
      <c r="B54" t="s">
        <v>5208</v>
      </c>
      <c r="C54" t="s">
        <v>5209</v>
      </c>
      <c r="D54" t="s">
        <v>24</v>
      </c>
      <c r="E54" t="s">
        <v>4913</v>
      </c>
      <c r="F54" t="s">
        <v>837</v>
      </c>
      <c r="G54">
        <f>IF(K54="Pick-up","PICKUPS",IF(K54="Staff drop-off","STAFF_DROPOFF",IF(K54="Replacements","REPLACEMENT",IF(K54="Central Stores Dispatch","CENTRAL STORES DISPATCH",IFNA(IFNA(VLOOKUP(F54,'Raw Platform Nov 4-6 2025'!C:C,1,FALSE),VLOOKUP(F54,'Raw Platform Nov 4-6 2025'!D:D,1,FALSE)),IFNA(VLOOKUP(F54,'Glovo Raw Nov 4-6 2025'!B:B,1,FALSE),"Not Matched"))))))</f>
      </c>
      <c r="H54">
        <f>COUNTIF(F:F,F54)</f>
      </c>
      <c r="I54" t="s">
        <v>5215</v>
      </c>
      <c r="J54" t="s">
        <v>4915</v>
      </c>
      <c r="K54" t="s">
        <v>4927</v>
      </c>
      <c r="L54" t="s">
        <v>5216</v>
      </c>
      <c r="M54" t="s">
        <v>5217</v>
      </c>
      <c r="N54" t="s">
        <v>5218</v>
      </c>
      <c r="O54" t="s">
        <v>4949</v>
      </c>
      <c r="P54" t="s">
        <v>5219</v>
      </c>
      <c r="Q54">
        <v>0</v>
      </c>
      <c r="R54" t="s">
        <v>5118</v>
      </c>
      <c r="S54" t="s">
        <v>5136</v>
      </c>
      <c r="T54" t="s">
        <v>4923</v>
      </c>
      <c r="U54" t="s">
        <v>4924</v>
      </c>
      <c r="V54" t="s">
        <v>5220</v>
      </c>
      <c r="W54" t="s">
        <v>3667</v>
      </c>
      <c r="X54">
        <v>100</v>
      </c>
    </row>
    <row r="55" spans="1:24" x14ac:dyDescent="0.25">
      <c r="A55" t="s">
        <v>5130</v>
      </c>
      <c r="B55" t="s">
        <v>5208</v>
      </c>
      <c r="C55" t="s">
        <v>5209</v>
      </c>
      <c r="D55" t="s">
        <v>24</v>
      </c>
      <c r="E55" t="s">
        <v>4913</v>
      </c>
      <c r="F55" t="s">
        <v>359</v>
      </c>
      <c r="G55">
        <f>IF(K55="Pick-up","PICKUPS",IF(K55="Staff drop-off","STAFF_DROPOFF",IF(K55="Replacements","REPLACEMENT",IF(K55="Central Stores Dispatch","CENTRAL STORES DISPATCH",IFNA(IFNA(VLOOKUP(F55,'Raw Platform Nov 4-6 2025'!C:C,1,FALSE),VLOOKUP(F55,'Raw Platform Nov 4-6 2025'!D:D,1,FALSE)),IFNA(VLOOKUP(F55,'Glovo Raw Nov 4-6 2025'!B:B,1,FALSE),"Not Matched"))))))</f>
      </c>
      <c r="H55">
        <f>COUNTIF(F:F,F55)</f>
      </c>
      <c r="I55" t="s">
        <v>5221</v>
      </c>
      <c r="J55" t="s">
        <v>4915</v>
      </c>
      <c r="K55" t="s">
        <v>4927</v>
      </c>
      <c r="L55" t="s">
        <v>5222</v>
      </c>
      <c r="M55" t="s">
        <v>5223</v>
      </c>
      <c r="N55" t="s">
        <v>5224</v>
      </c>
      <c r="O55" t="s">
        <v>4990</v>
      </c>
      <c r="P55" t="s">
        <v>4937</v>
      </c>
      <c r="Q55">
        <v>0</v>
      </c>
      <c r="R55" t="s">
        <v>5118</v>
      </c>
      <c r="S55" t="s">
        <v>35</v>
      </c>
      <c r="T55" t="s">
        <v>4923</v>
      </c>
      <c r="U55" t="s">
        <v>4924</v>
      </c>
      <c r="V55" t="s">
        <v>5225</v>
      </c>
      <c r="W55" t="s">
        <v>3667</v>
      </c>
      <c r="X55">
        <v>100</v>
      </c>
    </row>
    <row r="56" spans="1:24" x14ac:dyDescent="0.25">
      <c r="A56" t="s">
        <v>5130</v>
      </c>
      <c r="B56" t="s">
        <v>5208</v>
      </c>
      <c r="C56" t="s">
        <v>5209</v>
      </c>
      <c r="D56" t="s">
        <v>24</v>
      </c>
      <c r="E56" t="s">
        <v>4913</v>
      </c>
      <c r="F56" t="s">
        <v>371</v>
      </c>
      <c r="G56">
        <f>IF(K56="Pick-up","PICKUPS",IF(K56="Staff drop-off","STAFF_DROPOFF",IF(K56="Replacements","REPLACEMENT",IF(K56="Central Stores Dispatch","CENTRAL STORES DISPATCH",IFNA(IFNA(VLOOKUP(F56,'Raw Platform Nov 4-6 2025'!C:C,1,FALSE),VLOOKUP(F56,'Raw Platform Nov 4-6 2025'!D:D,1,FALSE)),IFNA(VLOOKUP(F56,'Glovo Raw Nov 4-6 2025'!B:B,1,FALSE),"Not Matched"))))))</f>
      </c>
      <c r="H56">
        <f>COUNTIF(F:F,F56)</f>
      </c>
      <c r="I56" t="s">
        <v>5226</v>
      </c>
      <c r="J56" t="s">
        <v>4915</v>
      </c>
      <c r="K56" t="s">
        <v>4916</v>
      </c>
      <c r="L56" t="s">
        <v>5227</v>
      </c>
      <c r="M56" t="s">
        <v>5228</v>
      </c>
      <c r="N56" t="s">
        <v>5229</v>
      </c>
      <c r="O56" t="s">
        <v>4949</v>
      </c>
      <c r="P56" t="s">
        <v>4950</v>
      </c>
      <c r="Q56">
        <v>720</v>
      </c>
      <c r="R56" t="s">
        <v>5118</v>
      </c>
      <c r="S56" t="s">
        <v>5136</v>
      </c>
      <c r="T56" t="s">
        <v>4923</v>
      </c>
      <c r="U56" t="s">
        <v>4924</v>
      </c>
      <c r="V56" t="s">
        <v>5230</v>
      </c>
      <c r="W56" t="s">
        <v>3667</v>
      </c>
      <c r="X56">
        <v>100</v>
      </c>
    </row>
    <row r="57" spans="1:24" x14ac:dyDescent="0.25">
      <c r="A57" t="s">
        <v>5231</v>
      </c>
      <c r="B57" t="s">
        <v>5208</v>
      </c>
      <c r="C57" t="s">
        <v>5209</v>
      </c>
      <c r="D57" t="s">
        <v>191</v>
      </c>
      <c r="E57" t="s">
        <v>4913</v>
      </c>
      <c r="F57" t="s">
        <v>1526</v>
      </c>
      <c r="G57">
        <f>IF(K57="Pick-up","PICKUPS",IF(K57="Staff drop-off","STAFF_DROPOFF",IF(K57="Replacements","REPLACEMENT",IF(K57="Central Stores Dispatch","CENTRAL STORES DISPATCH",IFNA(IFNA(VLOOKUP(F57,'Raw Platform Nov 4-6 2025'!C:C,1,FALSE),VLOOKUP(F57,'Raw Platform Nov 4-6 2025'!D:D,1,FALSE)),IFNA(VLOOKUP(F57,'Glovo Raw Nov 4-6 2025'!B:B,1,FALSE),"Not Matched"))))))</f>
      </c>
      <c r="H57">
        <f>COUNTIF(F:F,F57)</f>
      </c>
      <c r="I57" t="s">
        <v>5232</v>
      </c>
      <c r="J57" t="s">
        <v>4915</v>
      </c>
      <c r="K57" t="s">
        <v>4927</v>
      </c>
      <c r="L57" t="s">
        <v>5233</v>
      </c>
      <c r="M57" t="s">
        <v>5234</v>
      </c>
      <c r="N57" t="s">
        <v>5235</v>
      </c>
      <c r="O57" t="s">
        <v>26</v>
      </c>
      <c r="P57" t="s">
        <v>5236</v>
      </c>
      <c r="Q57">
        <v>0</v>
      </c>
      <c r="R57" t="s">
        <v>5118</v>
      </c>
      <c r="S57" t="s">
        <v>5184</v>
      </c>
      <c r="T57" t="s">
        <v>4923</v>
      </c>
      <c r="U57" t="s">
        <v>4924</v>
      </c>
      <c r="V57" t="s">
        <v>5237</v>
      </c>
      <c r="W57" t="s">
        <v>3667</v>
      </c>
      <c r="X57">
        <v>210.4</v>
      </c>
    </row>
    <row r="58" spans="1:24" x14ac:dyDescent="0.25">
      <c r="A58" t="s">
        <v>5130</v>
      </c>
      <c r="B58" t="s">
        <v>5208</v>
      </c>
      <c r="C58" t="s">
        <v>5209</v>
      </c>
      <c r="D58" t="s">
        <v>24</v>
      </c>
      <c r="E58" t="s">
        <v>4913</v>
      </c>
      <c r="F58" t="s">
        <v>2083</v>
      </c>
      <c r="G58">
        <f>IF(K58="Pick-up","PICKUPS",IF(K58="Staff drop-off","STAFF_DROPOFF",IF(K58="Replacements","REPLACEMENT",IF(K58="Central Stores Dispatch","CENTRAL STORES DISPATCH",IFNA(IFNA(VLOOKUP(F58,'Raw Platform Nov 4-6 2025'!C:C,1,FALSE),VLOOKUP(F58,'Raw Platform Nov 4-6 2025'!D:D,1,FALSE)),IFNA(VLOOKUP(F58,'Glovo Raw Nov 4-6 2025'!B:B,1,FALSE),"Not Matched"))))))</f>
      </c>
      <c r="H58">
        <f>COUNTIF(F:F,F58)</f>
      </c>
      <c r="I58" t="s">
        <v>5238</v>
      </c>
      <c r="J58" t="s">
        <v>4915</v>
      </c>
      <c r="K58" t="s">
        <v>4916</v>
      </c>
      <c r="L58" t="s">
        <v>5239</v>
      </c>
      <c r="M58" t="s">
        <v>5240</v>
      </c>
      <c r="N58" t="s">
        <v>5241</v>
      </c>
      <c r="O58" t="s">
        <v>47</v>
      </c>
      <c r="P58" t="s">
        <v>5001</v>
      </c>
      <c r="Q58">
        <v>772</v>
      </c>
      <c r="R58" t="s">
        <v>5118</v>
      </c>
      <c r="S58" t="s">
        <v>35</v>
      </c>
      <c r="T58" t="s">
        <v>4923</v>
      </c>
      <c r="U58" t="s">
        <v>4924</v>
      </c>
      <c r="V58" t="s">
        <v>5242</v>
      </c>
      <c r="W58" t="s">
        <v>3667</v>
      </c>
      <c r="X58">
        <v>120.7</v>
      </c>
    </row>
    <row r="59" spans="1:24" x14ac:dyDescent="0.25">
      <c r="A59" t="s">
        <v>5130</v>
      </c>
      <c r="B59" t="s">
        <v>5208</v>
      </c>
      <c r="C59" t="s">
        <v>5209</v>
      </c>
      <c r="D59" t="s">
        <v>24</v>
      </c>
      <c r="E59" t="s">
        <v>4913</v>
      </c>
      <c r="F59" t="s">
        <v>1885</v>
      </c>
      <c r="G59">
        <f>IF(K59="Pick-up","PICKUPS",IF(K59="Staff drop-off","STAFF_DROPOFF",IF(K59="Replacements","REPLACEMENT",IF(K59="Central Stores Dispatch","CENTRAL STORES DISPATCH",IFNA(IFNA(VLOOKUP(F59,'Raw Platform Nov 4-6 2025'!C:C,1,FALSE),VLOOKUP(F59,'Raw Platform Nov 4-6 2025'!D:D,1,FALSE)),IFNA(VLOOKUP(F59,'Glovo Raw Nov 4-6 2025'!B:B,1,FALSE),"Not Matched"))))))</f>
      </c>
      <c r="H59">
        <f>COUNTIF(F:F,F59)</f>
      </c>
      <c r="I59" t="s">
        <v>5243</v>
      </c>
      <c r="J59" t="s">
        <v>4915</v>
      </c>
      <c r="K59" t="s">
        <v>4927</v>
      </c>
      <c r="L59" t="s">
        <v>5244</v>
      </c>
      <c r="M59" t="s">
        <v>5245</v>
      </c>
      <c r="N59" t="s">
        <v>5246</v>
      </c>
      <c r="O59" t="s">
        <v>73</v>
      </c>
      <c r="P59" t="s">
        <v>5247</v>
      </c>
      <c r="Q59">
        <v>0</v>
      </c>
      <c r="R59" t="s">
        <v>5118</v>
      </c>
      <c r="S59" t="s">
        <v>116</v>
      </c>
      <c r="T59" t="s">
        <v>4923</v>
      </c>
      <c r="U59" t="s">
        <v>4924</v>
      </c>
      <c r="V59" t="s">
        <v>5248</v>
      </c>
      <c r="W59" t="s">
        <v>3667</v>
      </c>
      <c r="X59">
        <v>148.3</v>
      </c>
    </row>
    <row r="60" spans="1:24" x14ac:dyDescent="0.25">
      <c r="A60" t="s">
        <v>5130</v>
      </c>
      <c r="B60" t="s">
        <v>5208</v>
      </c>
      <c r="C60" t="s">
        <v>5209</v>
      </c>
      <c r="D60" t="s">
        <v>24</v>
      </c>
      <c r="E60" t="s">
        <v>4913</v>
      </c>
      <c r="F60" t="s">
        <v>2332</v>
      </c>
      <c r="G60">
        <f>IF(K60="Pick-up","PICKUPS",IF(K60="Staff drop-off","STAFF_DROPOFF",IF(K60="Replacements","REPLACEMENT",IF(K60="Central Stores Dispatch","CENTRAL STORES DISPATCH",IFNA(IFNA(VLOOKUP(F60,'Raw Platform Nov 4-6 2025'!C:C,1,FALSE),VLOOKUP(F60,'Raw Platform Nov 4-6 2025'!D:D,1,FALSE)),IFNA(VLOOKUP(F60,'Glovo Raw Nov 4-6 2025'!B:B,1,FALSE),"Not Matched"))))))</f>
      </c>
      <c r="H60">
        <f>COUNTIF(F:F,F60)</f>
      </c>
      <c r="I60" t="s">
        <v>5249</v>
      </c>
      <c r="J60" t="s">
        <v>63</v>
      </c>
      <c r="K60" t="s">
        <v>4927</v>
      </c>
      <c r="L60" t="s">
        <v>5250</v>
      </c>
      <c r="M60" t="s">
        <v>5251</v>
      </c>
      <c r="N60" t="s">
        <v>5252</v>
      </c>
      <c r="O60" t="s">
        <v>2009</v>
      </c>
      <c r="P60" t="s">
        <v>4963</v>
      </c>
      <c r="Q60">
        <v>0</v>
      </c>
      <c r="R60" t="s">
        <v>5118</v>
      </c>
      <c r="S60" t="s">
        <v>45</v>
      </c>
      <c r="T60" t="s">
        <v>4923</v>
      </c>
      <c r="U60" t="s">
        <v>4924</v>
      </c>
      <c r="V60" t="s">
        <v>5253</v>
      </c>
      <c r="W60" t="s">
        <v>3667</v>
      </c>
      <c r="X60">
        <v>100</v>
      </c>
    </row>
    <row r="61" spans="1:24" x14ac:dyDescent="0.25">
      <c r="A61" t="s">
        <v>5130</v>
      </c>
      <c r="B61" t="s">
        <v>5254</v>
      </c>
      <c r="C61" t="s">
        <v>5255</v>
      </c>
      <c r="D61" t="s">
        <v>24</v>
      </c>
      <c r="E61" t="s">
        <v>4913</v>
      </c>
      <c r="F61" t="s">
        <v>1023</v>
      </c>
      <c r="G61">
        <f>IF(K61="Pick-up","PICKUPS",IF(K61="Staff drop-off","STAFF_DROPOFF",IF(K61="Replacements","REPLACEMENT",IF(K61="Central Stores Dispatch","CENTRAL STORES DISPATCH",IFNA(IFNA(VLOOKUP(F61,'Raw Platform Nov 4-6 2025'!C:C,1,FALSE),VLOOKUP(F61,'Raw Platform Nov 4-6 2025'!D:D,1,FALSE)),IFNA(VLOOKUP(F61,'Glovo Raw Nov 4-6 2025'!B:B,1,FALSE),"Not Matched"))))))</f>
      </c>
      <c r="H61">
        <f>COUNTIF(F:F,F61)</f>
      </c>
      <c r="I61" t="s">
        <v>5256</v>
      </c>
      <c r="J61" t="s">
        <v>4915</v>
      </c>
      <c r="K61" t="s">
        <v>4927</v>
      </c>
      <c r="L61" t="s">
        <v>5257</v>
      </c>
      <c r="M61" t="s">
        <v>5258</v>
      </c>
      <c r="N61" t="s">
        <v>5259</v>
      </c>
      <c r="O61" t="s">
        <v>73</v>
      </c>
      <c r="P61" t="s">
        <v>5164</v>
      </c>
      <c r="Q61">
        <v>0</v>
      </c>
      <c r="R61" t="s">
        <v>5118</v>
      </c>
      <c r="S61" t="s">
        <v>35</v>
      </c>
      <c r="T61" t="s">
        <v>4923</v>
      </c>
      <c r="U61" t="s">
        <v>4924</v>
      </c>
      <c r="V61" t="s">
        <v>5260</v>
      </c>
      <c r="W61" t="s">
        <v>3667</v>
      </c>
      <c r="X61">
        <v>146</v>
      </c>
    </row>
    <row r="62" spans="1:24" x14ac:dyDescent="0.25">
      <c r="A62" t="s">
        <v>5231</v>
      </c>
      <c r="B62" t="s">
        <v>5254</v>
      </c>
      <c r="C62" t="s">
        <v>5255</v>
      </c>
      <c r="D62" t="s">
        <v>3667</v>
      </c>
      <c r="E62" t="s">
        <v>4913</v>
      </c>
      <c r="F62" t="s">
        <v>810</v>
      </c>
      <c r="G62">
        <f>IF(K62="Pick-up","PICKUPS",IF(K62="Staff drop-off","STAFF_DROPOFF",IF(K62="Replacements","REPLACEMENT",IF(K62="Central Stores Dispatch","CENTRAL STORES DISPATCH",IFNA(IFNA(VLOOKUP(F62,'Raw Platform Nov 4-6 2025'!C:C,1,FALSE),VLOOKUP(F62,'Raw Platform Nov 4-6 2025'!D:D,1,FALSE)),IFNA(VLOOKUP(F62,'Glovo Raw Nov 4-6 2025'!B:B,1,FALSE),"Not Matched"))))))</f>
      </c>
      <c r="H62">
        <f>COUNTIF(F:F,F62)</f>
      </c>
      <c r="I62" t="s">
        <v>5261</v>
      </c>
      <c r="J62" t="s">
        <v>4915</v>
      </c>
      <c r="K62" t="s">
        <v>4927</v>
      </c>
      <c r="L62" t="s">
        <v>5262</v>
      </c>
      <c r="M62" t="s">
        <v>5263</v>
      </c>
      <c r="N62" t="s">
        <v>5264</v>
      </c>
      <c r="O62" t="s">
        <v>77</v>
      </c>
      <c r="P62" t="s">
        <v>5265</v>
      </c>
      <c r="Q62">
        <v>0</v>
      </c>
      <c r="R62" t="s">
        <v>5118</v>
      </c>
      <c r="S62" t="s">
        <v>3667</v>
      </c>
      <c r="T62" t="s">
        <v>4923</v>
      </c>
      <c r="U62" t="s">
        <v>4924</v>
      </c>
      <c r="V62" t="s">
        <v>5266</v>
      </c>
      <c r="W62" t="s">
        <v>3667</v>
      </c>
      <c r="X62">
        <v>263.3</v>
      </c>
    </row>
    <row r="63" spans="1:24" x14ac:dyDescent="0.25">
      <c r="A63" t="s">
        <v>5130</v>
      </c>
      <c r="B63" t="s">
        <v>5254</v>
      </c>
      <c r="C63" t="s">
        <v>5255</v>
      </c>
      <c r="D63" t="s">
        <v>24</v>
      </c>
      <c r="E63" t="s">
        <v>4913</v>
      </c>
      <c r="F63" t="s">
        <v>923</v>
      </c>
      <c r="G63">
        <f>IF(K63="Pick-up","PICKUPS",IF(K63="Staff drop-off","STAFF_DROPOFF",IF(K63="Replacements","REPLACEMENT",IF(K63="Central Stores Dispatch","CENTRAL STORES DISPATCH",IFNA(IFNA(VLOOKUP(F63,'Raw Platform Nov 4-6 2025'!C:C,1,FALSE),VLOOKUP(F63,'Raw Platform Nov 4-6 2025'!D:D,1,FALSE)),IFNA(VLOOKUP(F63,'Glovo Raw Nov 4-6 2025'!B:B,1,FALSE),"Not Matched"))))))</f>
      </c>
      <c r="H63">
        <f>COUNTIF(F:F,F63)</f>
      </c>
      <c r="I63" t="s">
        <v>5267</v>
      </c>
      <c r="J63" t="s">
        <v>63</v>
      </c>
      <c r="K63" t="s">
        <v>4927</v>
      </c>
      <c r="L63" t="s">
        <v>5268</v>
      </c>
      <c r="M63" t="s">
        <v>5269</v>
      </c>
      <c r="N63" t="s">
        <v>5270</v>
      </c>
      <c r="O63" t="s">
        <v>77</v>
      </c>
      <c r="P63" t="s">
        <v>5271</v>
      </c>
      <c r="Q63">
        <v>0</v>
      </c>
      <c r="R63" t="s">
        <v>5118</v>
      </c>
      <c r="S63" t="s">
        <v>5136</v>
      </c>
      <c r="T63" t="s">
        <v>4923</v>
      </c>
      <c r="U63" t="s">
        <v>4924</v>
      </c>
      <c r="V63" t="s">
        <v>5272</v>
      </c>
      <c r="W63" t="s">
        <v>3667</v>
      </c>
      <c r="X63">
        <v>182.8</v>
      </c>
    </row>
    <row r="64" spans="1:24" x14ac:dyDescent="0.25">
      <c r="A64" t="s">
        <v>4910</v>
      </c>
      <c r="B64" t="s">
        <v>5254</v>
      </c>
      <c r="C64" t="s">
        <v>5255</v>
      </c>
      <c r="D64" t="s">
        <v>13</v>
      </c>
      <c r="E64" t="s">
        <v>4913</v>
      </c>
      <c r="F64" t="s">
        <v>1246</v>
      </c>
      <c r="G64">
        <f>IF(K64="Pick-up","PICKUPS",IF(K64="Staff drop-off","STAFF_DROPOFF",IF(K64="Replacements","REPLACEMENT",IF(K64="Central Stores Dispatch","CENTRAL STORES DISPATCH",IFNA(IFNA(VLOOKUP(F64,'Raw Platform Nov 4-6 2025'!C:C,1,FALSE),VLOOKUP(F64,'Raw Platform Nov 4-6 2025'!D:D,1,FALSE)),IFNA(VLOOKUP(F64,'Glovo Raw Nov 4-6 2025'!B:B,1,FALSE),"Not Matched"))))))</f>
      </c>
      <c r="H64">
        <f>COUNTIF(F:F,F64)</f>
      </c>
      <c r="I64" t="s">
        <v>5273</v>
      </c>
      <c r="J64" t="s">
        <v>4915</v>
      </c>
      <c r="K64" t="s">
        <v>4927</v>
      </c>
      <c r="L64" t="s">
        <v>5274</v>
      </c>
      <c r="M64" t="s">
        <v>4918</v>
      </c>
      <c r="N64" t="s">
        <v>4973</v>
      </c>
      <c r="O64" t="s">
        <v>123</v>
      </c>
      <c r="P64" t="s">
        <v>4974</v>
      </c>
      <c r="Q64">
        <v>0</v>
      </c>
      <c r="R64" t="s">
        <v>5118</v>
      </c>
      <c r="S64" t="s">
        <v>12</v>
      </c>
      <c r="T64" t="s">
        <v>4923</v>
      </c>
      <c r="U64" t="s">
        <v>4924</v>
      </c>
      <c r="V64" t="s">
        <v>5275</v>
      </c>
      <c r="W64" t="s">
        <v>3667</v>
      </c>
      <c r="X64">
        <v>178.2</v>
      </c>
    </row>
    <row r="65" spans="1:24" x14ac:dyDescent="0.25">
      <c r="A65" t="s">
        <v>5130</v>
      </c>
      <c r="B65" t="s">
        <v>5254</v>
      </c>
      <c r="C65" t="s">
        <v>5255</v>
      </c>
      <c r="D65" t="s">
        <v>24</v>
      </c>
      <c r="E65" t="s">
        <v>4913</v>
      </c>
      <c r="F65" t="s">
        <v>660</v>
      </c>
      <c r="G65">
        <f>IF(K65="Pick-up","PICKUPS",IF(K65="Staff drop-off","STAFF_DROPOFF",IF(K65="Replacements","REPLACEMENT",IF(K65="Central Stores Dispatch","CENTRAL STORES DISPATCH",IFNA(IFNA(VLOOKUP(F65,'Raw Platform Nov 4-6 2025'!C:C,1,FALSE),VLOOKUP(F65,'Raw Platform Nov 4-6 2025'!D:D,1,FALSE)),IFNA(VLOOKUP(F65,'Glovo Raw Nov 4-6 2025'!B:B,1,FALSE),"Not Matched"))))))</f>
      </c>
      <c r="H65">
        <f>COUNTIF(F:F,F65)</f>
      </c>
      <c r="I65" t="s">
        <v>5276</v>
      </c>
      <c r="J65" t="s">
        <v>4915</v>
      </c>
      <c r="K65" t="s">
        <v>4916</v>
      </c>
      <c r="L65" t="s">
        <v>5277</v>
      </c>
      <c r="M65" t="s">
        <v>5278</v>
      </c>
      <c r="N65" t="s">
        <v>5279</v>
      </c>
      <c r="O65" t="s">
        <v>42</v>
      </c>
      <c r="P65" t="s">
        <v>5280</v>
      </c>
      <c r="Q65">
        <v>1590</v>
      </c>
      <c r="R65" t="s">
        <v>5118</v>
      </c>
      <c r="S65" t="s">
        <v>45</v>
      </c>
      <c r="T65" t="s">
        <v>4923</v>
      </c>
      <c r="U65" t="s">
        <v>4924</v>
      </c>
      <c r="V65" t="s">
        <v>5281</v>
      </c>
      <c r="W65" t="s">
        <v>3667</v>
      </c>
      <c r="X65">
        <v>438.1</v>
      </c>
    </row>
    <row r="66" spans="1:24" x14ac:dyDescent="0.25">
      <c r="A66" t="s">
        <v>5130</v>
      </c>
      <c r="B66" t="s">
        <v>5254</v>
      </c>
      <c r="C66" t="s">
        <v>5255</v>
      </c>
      <c r="D66" t="s">
        <v>24</v>
      </c>
      <c r="E66" t="s">
        <v>4913</v>
      </c>
      <c r="F66" t="s">
        <v>648</v>
      </c>
      <c r="G66">
        <f>IF(K66="Pick-up","PICKUPS",IF(K66="Staff drop-off","STAFF_DROPOFF",IF(K66="Replacements","REPLACEMENT",IF(K66="Central Stores Dispatch","CENTRAL STORES DISPATCH",IFNA(IFNA(VLOOKUP(F66,'Raw Platform Nov 4-6 2025'!C:C,1,FALSE),VLOOKUP(F66,'Raw Platform Nov 4-6 2025'!D:D,1,FALSE)),IFNA(VLOOKUP(F66,'Glovo Raw Nov 4-6 2025'!B:B,1,FALSE),"Not Matched"))))))</f>
      </c>
      <c r="H66">
        <f>COUNTIF(F:F,F66)</f>
      </c>
      <c r="I66" t="s">
        <v>5282</v>
      </c>
      <c r="J66" t="s">
        <v>4915</v>
      </c>
      <c r="K66" t="s">
        <v>4927</v>
      </c>
      <c r="L66" t="s">
        <v>5283</v>
      </c>
      <c r="M66" t="s">
        <v>5284</v>
      </c>
      <c r="N66" t="s">
        <v>4973</v>
      </c>
      <c r="O66" t="s">
        <v>123</v>
      </c>
      <c r="P66" t="s">
        <v>5285</v>
      </c>
      <c r="Q66">
        <v>0</v>
      </c>
      <c r="R66" t="s">
        <v>5118</v>
      </c>
      <c r="S66" t="s">
        <v>5136</v>
      </c>
      <c r="T66" t="s">
        <v>4923</v>
      </c>
      <c r="U66" t="s">
        <v>4924</v>
      </c>
      <c r="V66" t="s">
        <v>5286</v>
      </c>
      <c r="W66" t="s">
        <v>3667</v>
      </c>
      <c r="X66">
        <v>175.9</v>
      </c>
    </row>
    <row r="67" spans="1:24" x14ac:dyDescent="0.25">
      <c r="A67" t="s">
        <v>4932</v>
      </c>
      <c r="B67" t="s">
        <v>5254</v>
      </c>
      <c r="C67" t="s">
        <v>5255</v>
      </c>
      <c r="D67" t="s">
        <v>13</v>
      </c>
      <c r="E67" t="s">
        <v>4913</v>
      </c>
      <c r="F67" t="s">
        <v>5287</v>
      </c>
      <c r="G67">
        <f>IF(K67="Pick-up","PICKUPS",IF(K67="Staff drop-off","STAFF_DROPOFF",IF(K67="Replacements","REPLACEMENT",IF(K67="Central Stores Dispatch","CENTRAL STORES DISPATCH",IFNA(IFNA(VLOOKUP(F67,'Raw Platform Nov 4-6 2025'!C:C,1,FALSE),VLOOKUP(F67,'Raw Platform Nov 4-6 2025'!D:D,1,FALSE)),IFNA(VLOOKUP(F67,'Glovo Raw Nov 4-6 2025'!B:B,1,FALSE),"Not Matched"))))))</f>
      </c>
      <c r="H67">
        <f>COUNTIF(F:F,F67)</f>
      </c>
      <c r="I67" t="s">
        <v>5288</v>
      </c>
      <c r="J67" t="s">
        <v>5289</v>
      </c>
      <c r="K67" t="s">
        <v>4927</v>
      </c>
      <c r="L67" t="s">
        <v>5290</v>
      </c>
      <c r="M67" t="s">
        <v>5291</v>
      </c>
      <c r="N67" t="s">
        <v>5292</v>
      </c>
      <c r="O67" t="s">
        <v>3676</v>
      </c>
      <c r="P67" t="s">
        <v>3676</v>
      </c>
      <c r="Q67">
        <v>0</v>
      </c>
      <c r="R67" t="s">
        <v>5118</v>
      </c>
      <c r="S67" t="s">
        <v>5293</v>
      </c>
      <c r="T67" t="s">
        <v>4923</v>
      </c>
      <c r="U67" t="s">
        <v>4924</v>
      </c>
      <c r="V67" t="s">
        <v>5294</v>
      </c>
      <c r="W67" t="s">
        <v>3667</v>
      </c>
      <c r="X67">
        <v>100</v>
      </c>
    </row>
    <row r="68" spans="1:24" x14ac:dyDescent="0.25">
      <c r="A68" t="s">
        <v>4932</v>
      </c>
      <c r="B68" t="s">
        <v>5254</v>
      </c>
      <c r="C68" t="s">
        <v>5255</v>
      </c>
      <c r="D68" t="s">
        <v>13</v>
      </c>
      <c r="E68" t="s">
        <v>4913</v>
      </c>
      <c r="F68" t="s">
        <v>1035</v>
      </c>
      <c r="G68">
        <f>IF(K68="Pick-up","PICKUPS",IF(K68="Staff drop-off","STAFF_DROPOFF",IF(K68="Replacements","REPLACEMENT",IF(K68="Central Stores Dispatch","CENTRAL STORES DISPATCH",IFNA(IFNA(VLOOKUP(F68,'Raw Platform Nov 4-6 2025'!C:C,1,FALSE),VLOOKUP(F68,'Raw Platform Nov 4-6 2025'!D:D,1,FALSE)),IFNA(VLOOKUP(F68,'Glovo Raw Nov 4-6 2025'!B:B,1,FALSE),"Not Matched"))))))</f>
      </c>
      <c r="H68">
        <f>COUNTIF(F:F,F68)</f>
      </c>
      <c r="I68" t="s">
        <v>5295</v>
      </c>
      <c r="J68" t="s">
        <v>4915</v>
      </c>
      <c r="K68" t="s">
        <v>4927</v>
      </c>
      <c r="L68" t="s">
        <v>5296</v>
      </c>
      <c r="M68" t="s">
        <v>5297</v>
      </c>
      <c r="N68" t="s">
        <v>5298</v>
      </c>
      <c r="O68" t="s">
        <v>4962</v>
      </c>
      <c r="P68" t="s">
        <v>4984</v>
      </c>
      <c r="Q68">
        <v>0</v>
      </c>
      <c r="R68" t="s">
        <v>5118</v>
      </c>
      <c r="S68" t="s">
        <v>29</v>
      </c>
      <c r="T68" t="s">
        <v>4923</v>
      </c>
      <c r="U68" t="s">
        <v>4924</v>
      </c>
      <c r="V68" t="s">
        <v>5299</v>
      </c>
      <c r="W68" t="s">
        <v>3667</v>
      </c>
      <c r="X68">
        <v>100</v>
      </c>
    </row>
    <row r="69" spans="1:24" x14ac:dyDescent="0.25">
      <c r="A69" t="s">
        <v>5130</v>
      </c>
      <c r="B69" t="s">
        <v>5254</v>
      </c>
      <c r="C69" t="s">
        <v>5255</v>
      </c>
      <c r="D69" t="s">
        <v>24</v>
      </c>
      <c r="E69" t="s">
        <v>4913</v>
      </c>
      <c r="F69" t="s">
        <v>1209</v>
      </c>
      <c r="G69">
        <f>IF(K69="Pick-up","PICKUPS",IF(K69="Staff drop-off","STAFF_DROPOFF",IF(K69="Replacements","REPLACEMENT",IF(K69="Central Stores Dispatch","CENTRAL STORES DISPATCH",IFNA(IFNA(VLOOKUP(F69,'Raw Platform Nov 4-6 2025'!C:C,1,FALSE),VLOOKUP(F69,'Raw Platform Nov 4-6 2025'!D:D,1,FALSE)),IFNA(VLOOKUP(F69,'Glovo Raw Nov 4-6 2025'!B:B,1,FALSE),"Not Matched"))))))</f>
      </c>
      <c r="H69">
        <f>COUNTIF(F:F,F69)</f>
      </c>
      <c r="I69" t="s">
        <v>5300</v>
      </c>
      <c r="J69" t="s">
        <v>4915</v>
      </c>
      <c r="K69" t="s">
        <v>4927</v>
      </c>
      <c r="L69" t="s">
        <v>5301</v>
      </c>
      <c r="M69" t="s">
        <v>5302</v>
      </c>
      <c r="N69" t="s">
        <v>5303</v>
      </c>
      <c r="O69" t="s">
        <v>53</v>
      </c>
      <c r="P69" t="s">
        <v>4943</v>
      </c>
      <c r="Q69">
        <v>0</v>
      </c>
      <c r="R69" t="s">
        <v>5118</v>
      </c>
      <c r="S69" t="s">
        <v>35</v>
      </c>
      <c r="T69" t="s">
        <v>4923</v>
      </c>
      <c r="U69" t="s">
        <v>4924</v>
      </c>
      <c r="V69" t="s">
        <v>5304</v>
      </c>
      <c r="W69" t="s">
        <v>3667</v>
      </c>
      <c r="X69">
        <v>106.9</v>
      </c>
    </row>
    <row r="70" spans="1:24" x14ac:dyDescent="0.25">
      <c r="A70" t="s">
        <v>5130</v>
      </c>
      <c r="B70" t="s">
        <v>5254</v>
      </c>
      <c r="C70" t="s">
        <v>5255</v>
      </c>
      <c r="D70" t="s">
        <v>24</v>
      </c>
      <c r="E70" t="s">
        <v>4913</v>
      </c>
      <c r="F70" t="s">
        <v>1850</v>
      </c>
      <c r="G70">
        <f>IF(K70="Pick-up","PICKUPS",IF(K70="Staff drop-off","STAFF_DROPOFF",IF(K70="Replacements","REPLACEMENT",IF(K70="Central Stores Dispatch","CENTRAL STORES DISPATCH",IFNA(IFNA(VLOOKUP(F70,'Raw Platform Nov 4-6 2025'!C:C,1,FALSE),VLOOKUP(F70,'Raw Platform Nov 4-6 2025'!D:D,1,FALSE)),IFNA(VLOOKUP(F70,'Glovo Raw Nov 4-6 2025'!B:B,1,FALSE),"Not Matched"))))))</f>
      </c>
      <c r="H70">
        <f>COUNTIF(F:F,F70)</f>
      </c>
      <c r="I70" t="s">
        <v>5305</v>
      </c>
      <c r="J70" t="s">
        <v>4915</v>
      </c>
      <c r="K70" t="s">
        <v>4927</v>
      </c>
      <c r="L70" t="s">
        <v>5306</v>
      </c>
      <c r="M70" t="s">
        <v>5307</v>
      </c>
      <c r="N70" t="s">
        <v>5308</v>
      </c>
      <c r="O70" t="s">
        <v>113</v>
      </c>
      <c r="P70" t="s">
        <v>5271</v>
      </c>
      <c r="Q70">
        <v>0</v>
      </c>
      <c r="R70" t="s">
        <v>5118</v>
      </c>
      <c r="S70" t="s">
        <v>5136</v>
      </c>
      <c r="T70" t="s">
        <v>4923</v>
      </c>
      <c r="U70" t="s">
        <v>4924</v>
      </c>
      <c r="V70" t="s">
        <v>5309</v>
      </c>
      <c r="W70" t="s">
        <v>3667</v>
      </c>
      <c r="X70">
        <v>182.8</v>
      </c>
    </row>
    <row r="71" spans="1:24" x14ac:dyDescent="0.25">
      <c r="A71" t="s">
        <v>5130</v>
      </c>
      <c r="B71" t="s">
        <v>5254</v>
      </c>
      <c r="C71" t="s">
        <v>5255</v>
      </c>
      <c r="D71" t="s">
        <v>24</v>
      </c>
      <c r="E71" t="s">
        <v>4913</v>
      </c>
      <c r="F71" t="s">
        <v>4453</v>
      </c>
      <c r="G71">
        <f>IF(K71="Pick-up","PICKUPS",IF(K71="Staff drop-off","STAFF_DROPOFF",IF(K71="Replacements","REPLACEMENT",IF(K71="Central Stores Dispatch","CENTRAL STORES DISPATCH",IFNA(IFNA(VLOOKUP(F71,'Raw Platform Nov 4-6 2025'!C:C,1,FALSE),VLOOKUP(F71,'Raw Platform Nov 4-6 2025'!D:D,1,FALSE)),IFNA(VLOOKUP(F71,'Glovo Raw Nov 4-6 2025'!B:B,1,FALSE),"Not Matched"))))))</f>
      </c>
      <c r="H71">
        <f>COUNTIF(F:F,F71)</f>
      </c>
      <c r="I71" t="s">
        <v>5310</v>
      </c>
      <c r="J71" t="s">
        <v>63</v>
      </c>
      <c r="K71" t="s">
        <v>4927</v>
      </c>
      <c r="L71" t="s">
        <v>5311</v>
      </c>
      <c r="M71" t="s">
        <v>5312</v>
      </c>
      <c r="N71" t="s">
        <v>5313</v>
      </c>
      <c r="O71" t="s">
        <v>73</v>
      </c>
      <c r="P71" t="s">
        <v>5314</v>
      </c>
      <c r="Q71">
        <v>0</v>
      </c>
      <c r="R71" t="s">
        <v>5118</v>
      </c>
      <c r="S71" t="s">
        <v>116</v>
      </c>
      <c r="T71" t="s">
        <v>4923</v>
      </c>
      <c r="U71" t="s">
        <v>4924</v>
      </c>
      <c r="V71" t="s">
        <v>5315</v>
      </c>
      <c r="W71" t="s">
        <v>3667</v>
      </c>
      <c r="X71">
        <v>201.2</v>
      </c>
    </row>
    <row r="72" spans="1:24" x14ac:dyDescent="0.25">
      <c r="A72" t="s">
        <v>5130</v>
      </c>
      <c r="B72" t="s">
        <v>5254</v>
      </c>
      <c r="C72" t="s">
        <v>5255</v>
      </c>
      <c r="D72" t="s">
        <v>24</v>
      </c>
      <c r="E72" t="s">
        <v>4913</v>
      </c>
      <c r="F72" t="s">
        <v>5316</v>
      </c>
      <c r="G72">
        <f>IF(K72="Pick-up","PICKUPS",IF(K72="Staff drop-off","STAFF_DROPOFF",IF(K72="Replacements","REPLACEMENT",IF(K72="Central Stores Dispatch","CENTRAL STORES DISPATCH",IFNA(IFNA(VLOOKUP(F72,'Raw Platform Nov 4-6 2025'!C:C,1,FALSE),VLOOKUP(F72,'Raw Platform Nov 4-6 2025'!D:D,1,FALSE)),IFNA(VLOOKUP(F72,'Glovo Raw Nov 4-6 2025'!B:B,1,FALSE),"Not Matched"))))))</f>
      </c>
      <c r="H72">
        <f>COUNTIF(F:F,F72)</f>
      </c>
      <c r="I72" t="s">
        <v>5317</v>
      </c>
      <c r="J72" t="s">
        <v>5318</v>
      </c>
      <c r="K72" t="s">
        <v>4927</v>
      </c>
      <c r="L72" t="s">
        <v>5319</v>
      </c>
      <c r="M72" t="s">
        <v>5320</v>
      </c>
      <c r="N72" t="s">
        <v>5321</v>
      </c>
      <c r="O72" t="s">
        <v>9</v>
      </c>
      <c r="P72" t="s">
        <v>5322</v>
      </c>
      <c r="Q72">
        <v>0</v>
      </c>
      <c r="R72" t="s">
        <v>5118</v>
      </c>
      <c r="S72" t="s">
        <v>5293</v>
      </c>
      <c r="T72" t="s">
        <v>4923</v>
      </c>
      <c r="U72" t="s">
        <v>4924</v>
      </c>
      <c r="V72" t="s">
        <v>5323</v>
      </c>
      <c r="W72" t="s">
        <v>3667</v>
      </c>
      <c r="X72">
        <v>189.7</v>
      </c>
    </row>
    <row r="73" spans="1:24" x14ac:dyDescent="0.25">
      <c r="A73" t="s">
        <v>5176</v>
      </c>
      <c r="B73" t="s">
        <v>5254</v>
      </c>
      <c r="C73" t="s">
        <v>5255</v>
      </c>
      <c r="D73" t="s">
        <v>30</v>
      </c>
      <c r="E73" t="s">
        <v>4913</v>
      </c>
      <c r="F73" t="s">
        <v>5324</v>
      </c>
      <c r="G73">
        <f>IF(K73="Pick-up","PICKUPS",IF(K73="Staff drop-off","STAFF_DROPOFF",IF(K73="Replacements","REPLACEMENT",IF(K73="Central Stores Dispatch","CENTRAL STORES DISPATCH",IFNA(IFNA(VLOOKUP(F73,'Raw Platform Nov 4-6 2025'!C:C,1,FALSE),VLOOKUP(F73,'Raw Platform Nov 4-6 2025'!D:D,1,FALSE)),IFNA(VLOOKUP(F73,'Glovo Raw Nov 4-6 2025'!B:B,1,FALSE),"Not Matched"))))))</f>
      </c>
      <c r="H73">
        <f>COUNTIF(F:F,F73)</f>
      </c>
      <c r="I73" t="s">
        <v>5325</v>
      </c>
      <c r="J73" t="s">
        <v>5289</v>
      </c>
      <c r="K73" t="s">
        <v>4927</v>
      </c>
      <c r="L73" t="s">
        <v>5326</v>
      </c>
      <c r="M73" t="s">
        <v>5327</v>
      </c>
      <c r="N73" t="s">
        <v>5292</v>
      </c>
      <c r="O73" t="s">
        <v>100</v>
      </c>
      <c r="P73" t="s">
        <v>5328</v>
      </c>
      <c r="Q73">
        <v>0</v>
      </c>
      <c r="R73" t="s">
        <v>5118</v>
      </c>
      <c r="S73" t="s">
        <v>116</v>
      </c>
      <c r="T73" t="s">
        <v>4923</v>
      </c>
      <c r="U73" t="s">
        <v>4924</v>
      </c>
      <c r="V73" t="s">
        <v>5329</v>
      </c>
      <c r="W73" t="s">
        <v>3667</v>
      </c>
      <c r="X73">
        <v>205.8</v>
      </c>
    </row>
    <row r="74" spans="1:24" x14ac:dyDescent="0.25">
      <c r="A74" t="s">
        <v>5130</v>
      </c>
      <c r="B74" t="s">
        <v>5254</v>
      </c>
      <c r="C74" t="s">
        <v>5255</v>
      </c>
      <c r="D74" t="s">
        <v>24</v>
      </c>
      <c r="E74" t="s">
        <v>4913</v>
      </c>
      <c r="F74" t="s">
        <v>1798</v>
      </c>
      <c r="G74">
        <f>IF(K74="Pick-up","PICKUPS",IF(K74="Staff drop-off","STAFF_DROPOFF",IF(K74="Replacements","REPLACEMENT",IF(K74="Central Stores Dispatch","CENTRAL STORES DISPATCH",IFNA(IFNA(VLOOKUP(F74,'Raw Platform Nov 4-6 2025'!C:C,1,FALSE),VLOOKUP(F74,'Raw Platform Nov 4-6 2025'!D:D,1,FALSE)),IFNA(VLOOKUP(F74,'Glovo Raw Nov 4-6 2025'!B:B,1,FALSE),"Not Matched"))))))</f>
      </c>
      <c r="H74">
        <f>COUNTIF(F:F,F74)</f>
      </c>
      <c r="I74" t="s">
        <v>5330</v>
      </c>
      <c r="J74" t="s">
        <v>4915</v>
      </c>
      <c r="K74" t="s">
        <v>4927</v>
      </c>
      <c r="L74" t="s">
        <v>5331</v>
      </c>
      <c r="M74" t="s">
        <v>5332</v>
      </c>
      <c r="N74" t="s">
        <v>5333</v>
      </c>
      <c r="O74" t="s">
        <v>4956</v>
      </c>
      <c r="P74" t="s">
        <v>5097</v>
      </c>
      <c r="Q74">
        <v>0</v>
      </c>
      <c r="R74" t="s">
        <v>5118</v>
      </c>
      <c r="S74" t="s">
        <v>45</v>
      </c>
      <c r="T74" t="s">
        <v>4923</v>
      </c>
      <c r="U74" t="s">
        <v>4924</v>
      </c>
      <c r="V74" t="s">
        <v>5334</v>
      </c>
      <c r="W74" t="s">
        <v>3667</v>
      </c>
      <c r="X74">
        <v>100</v>
      </c>
    </row>
    <row r="75" spans="1:24" x14ac:dyDescent="0.25">
      <c r="A75" t="s">
        <v>5130</v>
      </c>
      <c r="B75" t="s">
        <v>5254</v>
      </c>
      <c r="C75" t="s">
        <v>5255</v>
      </c>
      <c r="D75" t="s">
        <v>24</v>
      </c>
      <c r="E75" t="s">
        <v>4913</v>
      </c>
      <c r="F75" t="s">
        <v>1723</v>
      </c>
      <c r="G75">
        <f>IF(K75="Pick-up","PICKUPS",IF(K75="Staff drop-off","STAFF_DROPOFF",IF(K75="Replacements","REPLACEMENT",IF(K75="Central Stores Dispatch","CENTRAL STORES DISPATCH",IFNA(IFNA(VLOOKUP(F75,'Raw Platform Nov 4-6 2025'!C:C,1,FALSE),VLOOKUP(F75,'Raw Platform Nov 4-6 2025'!D:D,1,FALSE)),IFNA(VLOOKUP(F75,'Glovo Raw Nov 4-6 2025'!B:B,1,FALSE),"Not Matched"))))))</f>
      </c>
      <c r="H75">
        <f>COUNTIF(F:F,F75)</f>
      </c>
      <c r="I75" t="s">
        <v>5335</v>
      </c>
      <c r="J75" t="s">
        <v>4915</v>
      </c>
      <c r="K75" t="s">
        <v>4916</v>
      </c>
      <c r="L75" t="s">
        <v>5336</v>
      </c>
      <c r="M75" t="s">
        <v>5337</v>
      </c>
      <c r="N75" t="s">
        <v>5338</v>
      </c>
      <c r="O75" t="s">
        <v>100</v>
      </c>
      <c r="P75" t="s">
        <v>5271</v>
      </c>
      <c r="Q75">
        <v>1684</v>
      </c>
      <c r="R75" t="s">
        <v>5118</v>
      </c>
      <c r="S75" t="s">
        <v>35</v>
      </c>
      <c r="T75" t="s">
        <v>4923</v>
      </c>
      <c r="U75" t="s">
        <v>4924</v>
      </c>
      <c r="V75" t="s">
        <v>5339</v>
      </c>
      <c r="W75" t="s">
        <v>3667</v>
      </c>
      <c r="X75">
        <v>182.8</v>
      </c>
    </row>
    <row r="76" spans="1:24" x14ac:dyDescent="0.25">
      <c r="A76" t="s">
        <v>5130</v>
      </c>
      <c r="B76" t="s">
        <v>5254</v>
      </c>
      <c r="C76" t="s">
        <v>5255</v>
      </c>
      <c r="D76" t="s">
        <v>24</v>
      </c>
      <c r="E76" t="s">
        <v>4913</v>
      </c>
      <c r="F76" t="s">
        <v>3332</v>
      </c>
      <c r="G76">
        <f>IF(K76="Pick-up","PICKUPS",IF(K76="Staff drop-off","STAFF_DROPOFF",IF(K76="Replacements","REPLACEMENT",IF(K76="Central Stores Dispatch","CENTRAL STORES DISPATCH",IFNA(IFNA(VLOOKUP(F76,'Raw Platform Nov 4-6 2025'!C:C,1,FALSE),VLOOKUP(F76,'Raw Platform Nov 4-6 2025'!D:D,1,FALSE)),IFNA(VLOOKUP(F76,'Glovo Raw Nov 4-6 2025'!B:B,1,FALSE),"Not Matched"))))))</f>
      </c>
      <c r="H76">
        <f>COUNTIF(F:F,F76)</f>
      </c>
      <c r="I76" t="s">
        <v>5340</v>
      </c>
      <c r="J76" t="s">
        <v>5341</v>
      </c>
      <c r="K76" t="s">
        <v>4927</v>
      </c>
      <c r="L76" t="s">
        <v>5342</v>
      </c>
      <c r="M76" t="s">
        <v>5343</v>
      </c>
      <c r="N76" t="s">
        <v>5344</v>
      </c>
      <c r="O76" t="s">
        <v>73</v>
      </c>
      <c r="P76" t="s">
        <v>5345</v>
      </c>
      <c r="Q76">
        <v>0</v>
      </c>
      <c r="R76" t="s">
        <v>5118</v>
      </c>
      <c r="S76" t="s">
        <v>5136</v>
      </c>
      <c r="T76" t="s">
        <v>4923</v>
      </c>
      <c r="U76" t="s">
        <v>4924</v>
      </c>
      <c r="V76" t="s">
        <v>5346</v>
      </c>
      <c r="W76" t="s">
        <v>3667</v>
      </c>
      <c r="X76">
        <v>208.1</v>
      </c>
    </row>
    <row r="77" spans="1:24" x14ac:dyDescent="0.25">
      <c r="A77" t="s">
        <v>4932</v>
      </c>
      <c r="B77" t="s">
        <v>5254</v>
      </c>
      <c r="C77" t="s">
        <v>5255</v>
      </c>
      <c r="D77" t="s">
        <v>13</v>
      </c>
      <c r="E77" t="s">
        <v>4913</v>
      </c>
      <c r="F77" t="s">
        <v>3365</v>
      </c>
      <c r="G77">
        <f>IF(K77="Pick-up","PICKUPS",IF(K77="Staff drop-off","STAFF_DROPOFF",IF(K77="Replacements","REPLACEMENT",IF(K77="Central Stores Dispatch","CENTRAL STORES DISPATCH",IFNA(IFNA(VLOOKUP(F77,'Raw Platform Nov 4-6 2025'!C:C,1,FALSE),VLOOKUP(F77,'Raw Platform Nov 4-6 2025'!D:D,1,FALSE)),IFNA(VLOOKUP(F77,'Glovo Raw Nov 4-6 2025'!B:B,1,FALSE),"Not Matched"))))))</f>
      </c>
      <c r="H77">
        <f>COUNTIF(F:F,F77)</f>
      </c>
      <c r="I77" t="s">
        <v>5347</v>
      </c>
      <c r="J77" t="s">
        <v>5341</v>
      </c>
      <c r="K77" t="s">
        <v>4927</v>
      </c>
      <c r="L77" t="s">
        <v>5348</v>
      </c>
      <c r="M77" t="s">
        <v>5349</v>
      </c>
      <c r="N77" t="s">
        <v>5350</v>
      </c>
      <c r="O77" t="s">
        <v>123</v>
      </c>
      <c r="P77" t="s">
        <v>5164</v>
      </c>
      <c r="Q77">
        <v>0</v>
      </c>
      <c r="R77" t="s">
        <v>5118</v>
      </c>
      <c r="S77" t="s">
        <v>29</v>
      </c>
      <c r="T77" t="s">
        <v>4923</v>
      </c>
      <c r="U77" t="s">
        <v>4924</v>
      </c>
      <c r="V77" t="s">
        <v>5351</v>
      </c>
      <c r="W77" t="s">
        <v>3667</v>
      </c>
      <c r="X77">
        <v>146</v>
      </c>
    </row>
    <row r="78" spans="1:24" x14ac:dyDescent="0.25">
      <c r="A78" t="s">
        <v>5130</v>
      </c>
      <c r="B78" t="s">
        <v>5254</v>
      </c>
      <c r="C78" t="s">
        <v>5255</v>
      </c>
      <c r="D78" t="s">
        <v>24</v>
      </c>
      <c r="E78" t="s">
        <v>4913</v>
      </c>
      <c r="F78" t="s">
        <v>3373</v>
      </c>
      <c r="G78">
        <f>IF(K78="Pick-up","PICKUPS",IF(K78="Staff drop-off","STAFF_DROPOFF",IF(K78="Replacements","REPLACEMENT",IF(K78="Central Stores Dispatch","CENTRAL STORES DISPATCH",IFNA(IFNA(VLOOKUP(F78,'Raw Platform Nov 4-6 2025'!C:C,1,FALSE),VLOOKUP(F78,'Raw Platform Nov 4-6 2025'!D:D,1,FALSE)),IFNA(VLOOKUP(F78,'Glovo Raw Nov 4-6 2025'!B:B,1,FALSE),"Not Matched"))))))</f>
      </c>
      <c r="H78">
        <f>COUNTIF(F:F,F78)</f>
      </c>
      <c r="I78" t="s">
        <v>5352</v>
      </c>
      <c r="J78" t="s">
        <v>4915</v>
      </c>
      <c r="K78" t="s">
        <v>4927</v>
      </c>
      <c r="L78" t="s">
        <v>5353</v>
      </c>
      <c r="M78" t="s">
        <v>5354</v>
      </c>
      <c r="N78" t="s">
        <v>5355</v>
      </c>
      <c r="O78" t="s">
        <v>47</v>
      </c>
      <c r="P78" t="s">
        <v>5128</v>
      </c>
      <c r="Q78">
        <v>0</v>
      </c>
      <c r="R78" t="s">
        <v>5118</v>
      </c>
      <c r="S78" t="s">
        <v>5136</v>
      </c>
      <c r="T78" t="s">
        <v>4923</v>
      </c>
      <c r="U78" t="s">
        <v>4924</v>
      </c>
      <c r="V78" t="s">
        <v>5356</v>
      </c>
      <c r="W78" t="s">
        <v>3667</v>
      </c>
      <c r="X78">
        <v>116.1</v>
      </c>
    </row>
    <row r="79" spans="1:24" x14ac:dyDescent="0.25">
      <c r="A79" t="s">
        <v>4932</v>
      </c>
      <c r="B79" t="s">
        <v>5254</v>
      </c>
      <c r="C79" t="s">
        <v>5255</v>
      </c>
      <c r="D79" t="s">
        <v>13</v>
      </c>
      <c r="E79" t="s">
        <v>4913</v>
      </c>
      <c r="F79" t="s">
        <v>3514</v>
      </c>
      <c r="G79">
        <f>IF(K79="Pick-up","PICKUPS",IF(K79="Staff drop-off","STAFF_DROPOFF",IF(K79="Replacements","REPLACEMENT",IF(K79="Central Stores Dispatch","CENTRAL STORES DISPATCH",IFNA(IFNA(VLOOKUP(F79,'Raw Platform Nov 4-6 2025'!C:C,1,FALSE),VLOOKUP(F79,'Raw Platform Nov 4-6 2025'!D:D,1,FALSE)),IFNA(VLOOKUP(F79,'Glovo Raw Nov 4-6 2025'!B:B,1,FALSE),"Not Matched"))))))</f>
      </c>
      <c r="H79">
        <f>COUNTIF(F:F,F79)</f>
      </c>
      <c r="I79" t="s">
        <v>5357</v>
      </c>
      <c r="J79" t="s">
        <v>4915</v>
      </c>
      <c r="K79" t="s">
        <v>4927</v>
      </c>
      <c r="L79" t="s">
        <v>5358</v>
      </c>
      <c r="M79" t="s">
        <v>5359</v>
      </c>
      <c r="N79" t="s">
        <v>5264</v>
      </c>
      <c r="O79" t="s">
        <v>77</v>
      </c>
      <c r="P79" t="s">
        <v>5265</v>
      </c>
      <c r="Q79">
        <v>0</v>
      </c>
      <c r="R79" t="s">
        <v>5118</v>
      </c>
      <c r="S79" t="s">
        <v>29</v>
      </c>
      <c r="T79" t="s">
        <v>4923</v>
      </c>
      <c r="U79" t="s">
        <v>4924</v>
      </c>
      <c r="V79" t="s">
        <v>5360</v>
      </c>
      <c r="W79" t="s">
        <v>3667</v>
      </c>
      <c r="X79">
        <v>263.3</v>
      </c>
    </row>
    <row r="80" spans="1:24" x14ac:dyDescent="0.25">
      <c r="A80" t="s">
        <v>5130</v>
      </c>
      <c r="B80" t="s">
        <v>5254</v>
      </c>
      <c r="C80" t="s">
        <v>5255</v>
      </c>
      <c r="D80" t="s">
        <v>24</v>
      </c>
      <c r="E80" t="s">
        <v>4913</v>
      </c>
      <c r="F80" t="s">
        <v>2560</v>
      </c>
      <c r="G80">
        <f>IF(K80="Pick-up","PICKUPS",IF(K80="Staff drop-off","STAFF_DROPOFF",IF(K80="Replacements","REPLACEMENT",IF(K80="Central Stores Dispatch","CENTRAL STORES DISPATCH",IFNA(IFNA(VLOOKUP(F80,'Raw Platform Nov 4-6 2025'!C:C,1,FALSE),VLOOKUP(F80,'Raw Platform Nov 4-6 2025'!D:D,1,FALSE)),IFNA(VLOOKUP(F80,'Glovo Raw Nov 4-6 2025'!B:B,1,FALSE),"Not Matched"))))))</f>
      </c>
      <c r="H80">
        <f>COUNTIF(F:F,F80)</f>
      </c>
      <c r="I80" t="s">
        <v>5361</v>
      </c>
      <c r="J80" t="s">
        <v>4915</v>
      </c>
      <c r="K80" t="s">
        <v>4916</v>
      </c>
      <c r="L80" t="s">
        <v>5362</v>
      </c>
      <c r="M80" t="s">
        <v>5363</v>
      </c>
      <c r="N80" t="s">
        <v>5364</v>
      </c>
      <c r="O80" t="s">
        <v>5365</v>
      </c>
      <c r="P80" t="s">
        <v>5366</v>
      </c>
      <c r="Q80">
        <v>2329</v>
      </c>
      <c r="R80" t="s">
        <v>5118</v>
      </c>
      <c r="S80" t="s">
        <v>35</v>
      </c>
      <c r="T80" t="s">
        <v>4923</v>
      </c>
      <c r="U80" t="s">
        <v>4924</v>
      </c>
      <c r="V80" t="s">
        <v>5367</v>
      </c>
      <c r="W80" t="s">
        <v>3667</v>
      </c>
      <c r="X80">
        <v>412.8</v>
      </c>
    </row>
    <row r="81" spans="1:24" x14ac:dyDescent="0.25">
      <c r="A81" t="s">
        <v>4932</v>
      </c>
      <c r="B81" t="s">
        <v>5254</v>
      </c>
      <c r="C81" t="s">
        <v>5255</v>
      </c>
      <c r="D81" t="s">
        <v>13</v>
      </c>
      <c r="E81" t="s">
        <v>4913</v>
      </c>
      <c r="F81" t="s">
        <v>3216</v>
      </c>
      <c r="G81">
        <f>IF(K81="Pick-up","PICKUPS",IF(K81="Staff drop-off","STAFF_DROPOFF",IF(K81="Replacements","REPLACEMENT",IF(K81="Central Stores Dispatch","CENTRAL STORES DISPATCH",IFNA(IFNA(VLOOKUP(F81,'Raw Platform Nov 4-6 2025'!C:C,1,FALSE),VLOOKUP(F81,'Raw Platform Nov 4-6 2025'!D:D,1,FALSE)),IFNA(VLOOKUP(F81,'Glovo Raw Nov 4-6 2025'!B:B,1,FALSE),"Not Matched"))))))</f>
      </c>
      <c r="H81">
        <f>COUNTIF(F:F,F81)</f>
      </c>
      <c r="I81" t="s">
        <v>5368</v>
      </c>
      <c r="J81" t="s">
        <v>4915</v>
      </c>
      <c r="K81" t="s">
        <v>4916</v>
      </c>
      <c r="L81" t="s">
        <v>5369</v>
      </c>
      <c r="M81" t="s">
        <v>5370</v>
      </c>
      <c r="N81" t="s">
        <v>5371</v>
      </c>
      <c r="O81" t="s">
        <v>183</v>
      </c>
      <c r="P81" t="s">
        <v>5142</v>
      </c>
      <c r="Q81">
        <v>1118</v>
      </c>
      <c r="R81" t="s">
        <v>5118</v>
      </c>
      <c r="S81" t="s">
        <v>29</v>
      </c>
      <c r="T81" t="s">
        <v>4923</v>
      </c>
      <c r="U81" t="s">
        <v>4924</v>
      </c>
      <c r="V81" t="s">
        <v>5372</v>
      </c>
      <c r="W81" t="s">
        <v>3667</v>
      </c>
      <c r="X81">
        <v>281.7</v>
      </c>
    </row>
    <row r="82" spans="1:24" x14ac:dyDescent="0.25">
      <c r="A82" t="s">
        <v>5130</v>
      </c>
      <c r="B82" t="s">
        <v>5254</v>
      </c>
      <c r="C82" t="s">
        <v>5255</v>
      </c>
      <c r="D82" t="s">
        <v>24</v>
      </c>
      <c r="E82" t="s">
        <v>4913</v>
      </c>
      <c r="F82" t="s">
        <v>2798</v>
      </c>
      <c r="G82">
        <f>IF(K82="Pick-up","PICKUPS",IF(K82="Staff drop-off","STAFF_DROPOFF",IF(K82="Replacements","REPLACEMENT",IF(K82="Central Stores Dispatch","CENTRAL STORES DISPATCH",IFNA(IFNA(VLOOKUP(F82,'Raw Platform Nov 4-6 2025'!C:C,1,FALSE),VLOOKUP(F82,'Raw Platform Nov 4-6 2025'!D:D,1,FALSE)),IFNA(VLOOKUP(F82,'Glovo Raw Nov 4-6 2025'!B:B,1,FALSE),"Not Matched"))))))</f>
      </c>
      <c r="H82">
        <f>COUNTIF(F:F,F82)</f>
      </c>
      <c r="I82" t="s">
        <v>5373</v>
      </c>
      <c r="J82" t="s">
        <v>4915</v>
      </c>
      <c r="K82" t="s">
        <v>4916</v>
      </c>
      <c r="L82" t="s">
        <v>5374</v>
      </c>
      <c r="M82" t="s">
        <v>5375</v>
      </c>
      <c r="N82" t="s">
        <v>5376</v>
      </c>
      <c r="O82" t="s">
        <v>2009</v>
      </c>
      <c r="P82" t="s">
        <v>4990</v>
      </c>
      <c r="Q82">
        <v>1556</v>
      </c>
      <c r="R82" t="s">
        <v>5118</v>
      </c>
      <c r="S82" t="s">
        <v>50</v>
      </c>
      <c r="T82" t="s">
        <v>4923</v>
      </c>
      <c r="U82" t="s">
        <v>4924</v>
      </c>
      <c r="V82" t="s">
        <v>5377</v>
      </c>
      <c r="W82" t="s">
        <v>3667</v>
      </c>
      <c r="X82">
        <v>111.5</v>
      </c>
    </row>
    <row r="83" spans="1:24" x14ac:dyDescent="0.25">
      <c r="A83" t="s">
        <v>5130</v>
      </c>
      <c r="B83" t="s">
        <v>5254</v>
      </c>
      <c r="C83" t="s">
        <v>5255</v>
      </c>
      <c r="D83" t="s">
        <v>24</v>
      </c>
      <c r="E83" t="s">
        <v>4913</v>
      </c>
      <c r="F83" t="s">
        <v>2820</v>
      </c>
      <c r="G83">
        <f>IF(K83="Pick-up","PICKUPS",IF(K83="Staff drop-off","STAFF_DROPOFF",IF(K83="Replacements","REPLACEMENT",IF(K83="Central Stores Dispatch","CENTRAL STORES DISPATCH",IFNA(IFNA(VLOOKUP(F83,'Raw Platform Nov 4-6 2025'!C:C,1,FALSE),VLOOKUP(F83,'Raw Platform Nov 4-6 2025'!D:D,1,FALSE)),IFNA(VLOOKUP(F83,'Glovo Raw Nov 4-6 2025'!B:B,1,FALSE),"Not Matched"))))))</f>
      </c>
      <c r="H83">
        <f>COUNTIF(F:F,F83)</f>
      </c>
      <c r="I83" t="s">
        <v>5378</v>
      </c>
      <c r="J83" t="s">
        <v>4915</v>
      </c>
      <c r="K83" t="s">
        <v>4927</v>
      </c>
      <c r="L83" t="s">
        <v>5379</v>
      </c>
      <c r="M83" t="s">
        <v>5380</v>
      </c>
      <c r="N83" t="s">
        <v>5381</v>
      </c>
      <c r="O83" t="s">
        <v>26</v>
      </c>
      <c r="P83" t="s">
        <v>4962</v>
      </c>
      <c r="Q83">
        <v>0</v>
      </c>
      <c r="R83" t="s">
        <v>5118</v>
      </c>
      <c r="S83" t="s">
        <v>172</v>
      </c>
      <c r="T83" t="s">
        <v>4923</v>
      </c>
      <c r="U83" t="s">
        <v>4924</v>
      </c>
      <c r="V83" t="s">
        <v>5382</v>
      </c>
      <c r="W83" t="s">
        <v>3667</v>
      </c>
      <c r="X83">
        <v>180.5</v>
      </c>
    </row>
    <row r="84" spans="1:24" x14ac:dyDescent="0.25">
      <c r="A84" t="s">
        <v>5130</v>
      </c>
      <c r="B84" t="s">
        <v>5254</v>
      </c>
      <c r="C84" t="s">
        <v>5255</v>
      </c>
      <c r="D84" t="s">
        <v>24</v>
      </c>
      <c r="E84" t="s">
        <v>4913</v>
      </c>
      <c r="F84" t="s">
        <v>5383</v>
      </c>
      <c r="G84">
        <f>IF(K84="Pick-up","PICKUPS",IF(K84="Staff drop-off","STAFF_DROPOFF",IF(K84="Replacements","REPLACEMENT",IF(K84="Central Stores Dispatch","CENTRAL STORES DISPATCH",IFNA(IFNA(VLOOKUP(F84,'Raw Platform Nov 4-6 2025'!C:C,1,FALSE),VLOOKUP(F84,'Raw Platform Nov 4-6 2025'!D:D,1,FALSE)),IFNA(VLOOKUP(F84,'Glovo Raw Nov 4-6 2025'!B:B,1,FALSE),"Not Matched"))))))</f>
      </c>
      <c r="H84">
        <f>COUNTIF(F:F,F84)</f>
      </c>
      <c r="I84" t="s">
        <v>5384</v>
      </c>
      <c r="J84" t="s">
        <v>5289</v>
      </c>
      <c r="K84" t="s">
        <v>4927</v>
      </c>
      <c r="L84" t="s">
        <v>5385</v>
      </c>
      <c r="M84" t="s">
        <v>5217</v>
      </c>
      <c r="N84" t="s">
        <v>5386</v>
      </c>
      <c r="O84" t="s">
        <v>73</v>
      </c>
      <c r="P84" t="s">
        <v>5387</v>
      </c>
      <c r="Q84">
        <v>0</v>
      </c>
      <c r="R84" t="s">
        <v>5118</v>
      </c>
      <c r="S84" t="s">
        <v>5293</v>
      </c>
      <c r="T84" t="s">
        <v>4923</v>
      </c>
      <c r="U84" t="s">
        <v>4924</v>
      </c>
      <c r="V84" t="s">
        <v>5388</v>
      </c>
      <c r="W84" t="s">
        <v>3667</v>
      </c>
      <c r="X84">
        <v>152.9</v>
      </c>
    </row>
    <row r="85" spans="1:24" x14ac:dyDescent="0.25">
      <c r="A85" t="s">
        <v>5130</v>
      </c>
      <c r="B85" t="s">
        <v>5254</v>
      </c>
      <c r="C85" t="s">
        <v>5255</v>
      </c>
      <c r="D85" t="s">
        <v>24</v>
      </c>
      <c r="E85" t="s">
        <v>4913</v>
      </c>
      <c r="F85" t="s">
        <v>3377</v>
      </c>
      <c r="G85">
        <f>IF(K85="Pick-up","PICKUPS",IF(K85="Staff drop-off","STAFF_DROPOFF",IF(K85="Replacements","REPLACEMENT",IF(K85="Central Stores Dispatch","CENTRAL STORES DISPATCH",IFNA(IFNA(VLOOKUP(F85,'Raw Platform Nov 4-6 2025'!C:C,1,FALSE),VLOOKUP(F85,'Raw Platform Nov 4-6 2025'!D:D,1,FALSE)),IFNA(VLOOKUP(F85,'Glovo Raw Nov 4-6 2025'!B:B,1,FALSE),"Not Matched"))))))</f>
      </c>
      <c r="H85">
        <f>COUNTIF(F:F,F85)</f>
      </c>
      <c r="I85" t="s">
        <v>5389</v>
      </c>
      <c r="J85" t="s">
        <v>4915</v>
      </c>
      <c r="K85" t="s">
        <v>4916</v>
      </c>
      <c r="L85" t="s">
        <v>5390</v>
      </c>
      <c r="M85" t="s">
        <v>5217</v>
      </c>
      <c r="N85" t="s">
        <v>5391</v>
      </c>
      <c r="O85" t="s">
        <v>4949</v>
      </c>
      <c r="P85" t="s">
        <v>5013</v>
      </c>
      <c r="Q85">
        <v>1090</v>
      </c>
      <c r="R85" t="s">
        <v>5118</v>
      </c>
      <c r="S85" t="s">
        <v>35</v>
      </c>
      <c r="T85" t="s">
        <v>4923</v>
      </c>
      <c r="U85" t="s">
        <v>4924</v>
      </c>
      <c r="V85" t="s">
        <v>5392</v>
      </c>
      <c r="W85" t="s">
        <v>3667</v>
      </c>
      <c r="X85">
        <v>100</v>
      </c>
    </row>
    <row r="86" spans="1:24" x14ac:dyDescent="0.25">
      <c r="A86" t="s">
        <v>4910</v>
      </c>
      <c r="B86" t="s">
        <v>5393</v>
      </c>
      <c r="C86" t="s">
        <v>5394</v>
      </c>
      <c r="D86" t="s">
        <v>13</v>
      </c>
      <c r="E86" t="s">
        <v>4913</v>
      </c>
      <c r="F86" t="s">
        <v>184</v>
      </c>
      <c r="G86">
        <f>IF(K86="Pick-up","PICKUPS",IF(K86="Staff drop-off","STAFF_DROPOFF",IF(K86="Replacements","REPLACEMENT",IF(K86="Central Stores Dispatch","CENTRAL STORES DISPATCH",IFNA(IFNA(VLOOKUP(F86,'Raw Platform Nov 4-6 2025'!C:C,1,FALSE),VLOOKUP(F86,'Raw Platform Nov 4-6 2025'!D:D,1,FALSE)),IFNA(VLOOKUP(F86,'Glovo Raw Nov 4-6 2025'!B:B,1,FALSE),"Not Matched"))))))</f>
      </c>
      <c r="H86">
        <f>COUNTIF(F:F,F86)</f>
      </c>
      <c r="I86" t="s">
        <v>5395</v>
      </c>
      <c r="J86" t="s">
        <v>4915</v>
      </c>
      <c r="K86" t="s">
        <v>4927</v>
      </c>
      <c r="L86" t="s">
        <v>5396</v>
      </c>
      <c r="M86" t="s">
        <v>5397</v>
      </c>
      <c r="N86" t="s">
        <v>5398</v>
      </c>
      <c r="O86" t="s">
        <v>9</v>
      </c>
      <c r="P86" t="s">
        <v>5322</v>
      </c>
      <c r="Q86">
        <v>0</v>
      </c>
      <c r="R86" t="s">
        <v>5118</v>
      </c>
      <c r="S86" t="s">
        <v>12</v>
      </c>
      <c r="T86" t="s">
        <v>4923</v>
      </c>
      <c r="U86" t="s">
        <v>4924</v>
      </c>
      <c r="V86" t="s">
        <v>5399</v>
      </c>
      <c r="W86" t="s">
        <v>3667</v>
      </c>
      <c r="X86">
        <v>189.7</v>
      </c>
    </row>
    <row r="87" spans="1:24" x14ac:dyDescent="0.25">
      <c r="A87" t="s">
        <v>5130</v>
      </c>
      <c r="B87" t="s">
        <v>5393</v>
      </c>
      <c r="C87" t="s">
        <v>5394</v>
      </c>
      <c r="D87" t="s">
        <v>24</v>
      </c>
      <c r="E87" t="s">
        <v>4913</v>
      </c>
      <c r="F87" t="s">
        <v>1150</v>
      </c>
      <c r="G87">
        <f>IF(K87="Pick-up","PICKUPS",IF(K87="Staff drop-off","STAFF_DROPOFF",IF(K87="Replacements","REPLACEMENT",IF(K87="Central Stores Dispatch","CENTRAL STORES DISPATCH",IFNA(IFNA(VLOOKUP(F87,'Raw Platform Nov 4-6 2025'!C:C,1,FALSE),VLOOKUP(F87,'Raw Platform Nov 4-6 2025'!D:D,1,FALSE)),IFNA(VLOOKUP(F87,'Glovo Raw Nov 4-6 2025'!B:B,1,FALSE),"Not Matched"))))))</f>
      </c>
      <c r="H87">
        <f>COUNTIF(F:F,F87)</f>
      </c>
      <c r="I87" t="s">
        <v>5400</v>
      </c>
      <c r="J87" t="s">
        <v>4915</v>
      </c>
      <c r="K87" t="s">
        <v>4927</v>
      </c>
      <c r="L87" t="s">
        <v>5401</v>
      </c>
      <c r="M87" t="s">
        <v>5402</v>
      </c>
      <c r="N87" t="s">
        <v>5403</v>
      </c>
      <c r="O87" t="s">
        <v>123</v>
      </c>
      <c r="P87" t="s">
        <v>5404</v>
      </c>
      <c r="Q87">
        <v>0</v>
      </c>
      <c r="R87" t="s">
        <v>5118</v>
      </c>
      <c r="S87" t="s">
        <v>45</v>
      </c>
      <c r="T87" t="s">
        <v>4923</v>
      </c>
      <c r="U87" t="s">
        <v>4924</v>
      </c>
      <c r="V87" t="s">
        <v>5405</v>
      </c>
      <c r="W87" t="s">
        <v>3667</v>
      </c>
      <c r="X87">
        <v>123</v>
      </c>
    </row>
    <row r="88" spans="1:24" x14ac:dyDescent="0.25">
      <c r="A88" t="s">
        <v>5130</v>
      </c>
      <c r="B88" t="s">
        <v>5393</v>
      </c>
      <c r="C88" t="s">
        <v>5394</v>
      </c>
      <c r="D88" t="s">
        <v>24</v>
      </c>
      <c r="E88" t="s">
        <v>4913</v>
      </c>
      <c r="F88" t="s">
        <v>1250</v>
      </c>
      <c r="G88">
        <f>IF(K88="Pick-up","PICKUPS",IF(K88="Staff drop-off","STAFF_DROPOFF",IF(K88="Replacements","REPLACEMENT",IF(K88="Central Stores Dispatch","CENTRAL STORES DISPATCH",IFNA(IFNA(VLOOKUP(F88,'Raw Platform Nov 4-6 2025'!C:C,1,FALSE),VLOOKUP(F88,'Raw Platform Nov 4-6 2025'!D:D,1,FALSE)),IFNA(VLOOKUP(F88,'Glovo Raw Nov 4-6 2025'!B:B,1,FALSE),"Not Matched"))))))</f>
      </c>
      <c r="H88">
        <f>COUNTIF(F:F,F88)</f>
      </c>
      <c r="I88" t="s">
        <v>5406</v>
      </c>
      <c r="J88" t="s">
        <v>63</v>
      </c>
      <c r="K88" t="s">
        <v>4927</v>
      </c>
      <c r="L88" t="s">
        <v>5407</v>
      </c>
      <c r="M88" t="s">
        <v>5408</v>
      </c>
      <c r="N88" t="s">
        <v>5409</v>
      </c>
      <c r="O88" t="s">
        <v>91</v>
      </c>
      <c r="P88" t="s">
        <v>5410</v>
      </c>
      <c r="Q88">
        <v>0</v>
      </c>
      <c r="R88" t="s">
        <v>5118</v>
      </c>
      <c r="S88" t="s">
        <v>5136</v>
      </c>
      <c r="T88" t="s">
        <v>4923</v>
      </c>
      <c r="U88" t="s">
        <v>4924</v>
      </c>
      <c r="V88" t="s">
        <v>5411</v>
      </c>
      <c r="W88" t="s">
        <v>3667</v>
      </c>
      <c r="X88">
        <v>277.1</v>
      </c>
    </row>
    <row r="89" spans="1:24" x14ac:dyDescent="0.25">
      <c r="A89" t="s">
        <v>5130</v>
      </c>
      <c r="B89" t="s">
        <v>5393</v>
      </c>
      <c r="C89" t="s">
        <v>5394</v>
      </c>
      <c r="D89" t="s">
        <v>24</v>
      </c>
      <c r="E89" t="s">
        <v>4913</v>
      </c>
      <c r="F89" t="s">
        <v>762</v>
      </c>
      <c r="G89">
        <f>IF(K89="Pick-up","PICKUPS",IF(K89="Staff drop-off","STAFF_DROPOFF",IF(K89="Replacements","REPLACEMENT",IF(K89="Central Stores Dispatch","CENTRAL STORES DISPATCH",IFNA(IFNA(VLOOKUP(F89,'Raw Platform Nov 4-6 2025'!C:C,1,FALSE),VLOOKUP(F89,'Raw Platform Nov 4-6 2025'!D:D,1,FALSE)),IFNA(VLOOKUP(F89,'Glovo Raw Nov 4-6 2025'!B:B,1,FALSE),"Not Matched"))))))</f>
      </c>
      <c r="H89">
        <f>COUNTIF(F:F,F89)</f>
      </c>
      <c r="I89" t="s">
        <v>5412</v>
      </c>
      <c r="J89" t="s">
        <v>4915</v>
      </c>
      <c r="K89" t="s">
        <v>4927</v>
      </c>
      <c r="L89" t="s">
        <v>5413</v>
      </c>
      <c r="M89" t="s">
        <v>5414</v>
      </c>
      <c r="N89" t="s">
        <v>5415</v>
      </c>
      <c r="O89" t="s">
        <v>113</v>
      </c>
      <c r="P89" t="s">
        <v>5345</v>
      </c>
      <c r="Q89">
        <v>0</v>
      </c>
      <c r="R89" t="s">
        <v>5118</v>
      </c>
      <c r="S89" t="s">
        <v>5136</v>
      </c>
      <c r="T89" t="s">
        <v>4923</v>
      </c>
      <c r="U89" t="s">
        <v>4924</v>
      </c>
      <c r="V89" t="s">
        <v>5416</v>
      </c>
      <c r="W89" t="s">
        <v>3667</v>
      </c>
      <c r="X89">
        <v>208.1</v>
      </c>
    </row>
    <row r="90" spans="1:24" x14ac:dyDescent="0.25">
      <c r="A90" t="s">
        <v>5130</v>
      </c>
      <c r="B90" t="s">
        <v>5393</v>
      </c>
      <c r="C90" t="s">
        <v>5394</v>
      </c>
      <c r="D90" t="s">
        <v>24</v>
      </c>
      <c r="E90" t="s">
        <v>4913</v>
      </c>
      <c r="F90" t="s">
        <v>749</v>
      </c>
      <c r="G90">
        <f>IF(K90="Pick-up","PICKUPS",IF(K90="Staff drop-off","STAFF_DROPOFF",IF(K90="Replacements","REPLACEMENT",IF(K90="Central Stores Dispatch","CENTRAL STORES DISPATCH",IFNA(IFNA(VLOOKUP(F90,'Raw Platform Nov 4-6 2025'!C:C,1,FALSE),VLOOKUP(F90,'Raw Platform Nov 4-6 2025'!D:D,1,FALSE)),IFNA(VLOOKUP(F90,'Glovo Raw Nov 4-6 2025'!B:B,1,FALSE),"Not Matched"))))))</f>
      </c>
      <c r="H90">
        <f>COUNTIF(F:F,F90)</f>
      </c>
      <c r="I90" t="s">
        <v>5417</v>
      </c>
      <c r="J90" t="s">
        <v>4915</v>
      </c>
      <c r="K90" t="s">
        <v>4927</v>
      </c>
      <c r="L90" t="s">
        <v>5418</v>
      </c>
      <c r="M90" t="s">
        <v>5419</v>
      </c>
      <c r="N90" t="s">
        <v>5420</v>
      </c>
      <c r="O90" t="s">
        <v>4956</v>
      </c>
      <c r="P90" t="s">
        <v>5097</v>
      </c>
      <c r="Q90">
        <v>0</v>
      </c>
      <c r="R90" t="s">
        <v>5118</v>
      </c>
      <c r="S90" t="s">
        <v>172</v>
      </c>
      <c r="T90" t="s">
        <v>4923</v>
      </c>
      <c r="U90" t="s">
        <v>4924</v>
      </c>
      <c r="V90" t="s">
        <v>5421</v>
      </c>
      <c r="W90" t="s">
        <v>3667</v>
      </c>
      <c r="X90">
        <v>100</v>
      </c>
    </row>
    <row r="91" spans="1:24" x14ac:dyDescent="0.25">
      <c r="A91" t="s">
        <v>5130</v>
      </c>
      <c r="B91" t="s">
        <v>5393</v>
      </c>
      <c r="C91" t="s">
        <v>5394</v>
      </c>
      <c r="D91" t="s">
        <v>24</v>
      </c>
      <c r="E91" t="s">
        <v>4913</v>
      </c>
      <c r="F91" t="s">
        <v>677</v>
      </c>
      <c r="G91">
        <f>IF(K91="Pick-up","PICKUPS",IF(K91="Staff drop-off","STAFF_DROPOFF",IF(K91="Replacements","REPLACEMENT",IF(K91="Central Stores Dispatch","CENTRAL STORES DISPATCH",IFNA(IFNA(VLOOKUP(F91,'Raw Platform Nov 4-6 2025'!C:C,1,FALSE),VLOOKUP(F91,'Raw Platform Nov 4-6 2025'!D:D,1,FALSE)),IFNA(VLOOKUP(F91,'Glovo Raw Nov 4-6 2025'!B:B,1,FALSE),"Not Matched"))))))</f>
      </c>
      <c r="H91">
        <f>COUNTIF(F:F,F91)</f>
      </c>
      <c r="I91" t="s">
        <v>5422</v>
      </c>
      <c r="J91" t="s">
        <v>4915</v>
      </c>
      <c r="K91" t="s">
        <v>4927</v>
      </c>
      <c r="L91" t="s">
        <v>5423</v>
      </c>
      <c r="M91" t="s">
        <v>5217</v>
      </c>
      <c r="N91" t="s">
        <v>5424</v>
      </c>
      <c r="O91" t="s">
        <v>47</v>
      </c>
      <c r="P91" t="s">
        <v>5404</v>
      </c>
      <c r="Q91">
        <v>0</v>
      </c>
      <c r="R91" t="s">
        <v>5118</v>
      </c>
      <c r="S91" t="s">
        <v>35</v>
      </c>
      <c r="T91" t="s">
        <v>4923</v>
      </c>
      <c r="U91" t="s">
        <v>4924</v>
      </c>
      <c r="V91" t="s">
        <v>5425</v>
      </c>
      <c r="W91" t="s">
        <v>3667</v>
      </c>
      <c r="X91">
        <v>123</v>
      </c>
    </row>
    <row r="92" spans="1:24" x14ac:dyDescent="0.25">
      <c r="A92" t="s">
        <v>5130</v>
      </c>
      <c r="B92" t="s">
        <v>5393</v>
      </c>
      <c r="C92" t="s">
        <v>5394</v>
      </c>
      <c r="D92" t="s">
        <v>24</v>
      </c>
      <c r="E92" t="s">
        <v>4913</v>
      </c>
      <c r="F92" t="s">
        <v>1185</v>
      </c>
      <c r="G92">
        <f>IF(K92="Pick-up","PICKUPS",IF(K92="Staff drop-off","STAFF_DROPOFF",IF(K92="Replacements","REPLACEMENT",IF(K92="Central Stores Dispatch","CENTRAL STORES DISPATCH",IFNA(IFNA(VLOOKUP(F92,'Raw Platform Nov 4-6 2025'!C:C,1,FALSE),VLOOKUP(F92,'Raw Platform Nov 4-6 2025'!D:D,1,FALSE)),IFNA(VLOOKUP(F92,'Glovo Raw Nov 4-6 2025'!B:B,1,FALSE),"Not Matched"))))))</f>
      </c>
      <c r="H92">
        <f>COUNTIF(F:F,F92)</f>
      </c>
      <c r="I92" t="s">
        <v>5426</v>
      </c>
      <c r="J92" t="s">
        <v>5341</v>
      </c>
      <c r="K92" t="s">
        <v>4916</v>
      </c>
      <c r="L92" t="s">
        <v>5427</v>
      </c>
      <c r="M92" t="s">
        <v>5428</v>
      </c>
      <c r="N92" t="s">
        <v>5429</v>
      </c>
      <c r="O92" t="s">
        <v>4920</v>
      </c>
      <c r="P92" t="s">
        <v>5430</v>
      </c>
      <c r="Q92">
        <v>875</v>
      </c>
      <c r="R92" t="s">
        <v>5118</v>
      </c>
      <c r="S92" t="s">
        <v>5136</v>
      </c>
      <c r="T92" t="s">
        <v>4923</v>
      </c>
      <c r="U92" t="s">
        <v>4924</v>
      </c>
      <c r="V92" t="s">
        <v>5431</v>
      </c>
      <c r="W92" t="s">
        <v>3667</v>
      </c>
      <c r="X92">
        <v>100</v>
      </c>
    </row>
    <row r="93" spans="1:24" x14ac:dyDescent="0.25">
      <c r="A93" t="s">
        <v>5231</v>
      </c>
      <c r="B93" t="s">
        <v>5393</v>
      </c>
      <c r="C93" t="s">
        <v>5394</v>
      </c>
      <c r="D93" t="s">
        <v>24</v>
      </c>
      <c r="E93" t="s">
        <v>4913</v>
      </c>
      <c r="F93" t="s">
        <v>991</v>
      </c>
      <c r="G93">
        <f>IF(K93="Pick-up","PICKUPS",IF(K93="Staff drop-off","STAFF_DROPOFF",IF(K93="Replacements","REPLACEMENT",IF(K93="Central Stores Dispatch","CENTRAL STORES DISPATCH",IFNA(IFNA(VLOOKUP(F93,'Raw Platform Nov 4-6 2025'!C:C,1,FALSE),VLOOKUP(F93,'Raw Platform Nov 4-6 2025'!D:D,1,FALSE)),IFNA(VLOOKUP(F93,'Glovo Raw Nov 4-6 2025'!B:B,1,FALSE),"Not Matched"))))))</f>
      </c>
      <c r="H93">
        <f>COUNTIF(F:F,F93)</f>
      </c>
      <c r="I93" t="s">
        <v>5432</v>
      </c>
      <c r="J93" t="s">
        <v>4915</v>
      </c>
      <c r="K93" t="s">
        <v>4916</v>
      </c>
      <c r="L93" t="s">
        <v>5433</v>
      </c>
      <c r="M93" t="s">
        <v>5434</v>
      </c>
      <c r="N93" t="s">
        <v>5435</v>
      </c>
      <c r="O93" t="s">
        <v>9</v>
      </c>
      <c r="P93" t="s">
        <v>5436</v>
      </c>
      <c r="Q93">
        <v>2760</v>
      </c>
      <c r="R93" t="s">
        <v>5118</v>
      </c>
      <c r="S93" t="s">
        <v>5437</v>
      </c>
      <c r="T93" t="s">
        <v>4923</v>
      </c>
      <c r="U93" t="s">
        <v>4924</v>
      </c>
      <c r="V93" t="s">
        <v>5438</v>
      </c>
      <c r="W93" t="s">
        <v>3667</v>
      </c>
      <c r="X93">
        <v>164.4</v>
      </c>
    </row>
    <row r="94" spans="1:24" x14ac:dyDescent="0.25">
      <c r="A94" t="s">
        <v>5130</v>
      </c>
      <c r="B94" t="s">
        <v>5393</v>
      </c>
      <c r="C94" t="s">
        <v>5394</v>
      </c>
      <c r="D94" t="s">
        <v>24</v>
      </c>
      <c r="E94" t="s">
        <v>4913</v>
      </c>
      <c r="F94" t="s">
        <v>547</v>
      </c>
      <c r="G94">
        <f>IF(K94="Pick-up","PICKUPS",IF(K94="Staff drop-off","STAFF_DROPOFF",IF(K94="Replacements","REPLACEMENT",IF(K94="Central Stores Dispatch","CENTRAL STORES DISPATCH",IFNA(IFNA(VLOOKUP(F94,'Raw Platform Nov 4-6 2025'!C:C,1,FALSE),VLOOKUP(F94,'Raw Platform Nov 4-6 2025'!D:D,1,FALSE)),IFNA(VLOOKUP(F94,'Glovo Raw Nov 4-6 2025'!B:B,1,FALSE),"Not Matched"))))))</f>
      </c>
      <c r="H94">
        <f>COUNTIF(F:F,F94)</f>
      </c>
      <c r="I94" t="s">
        <v>5439</v>
      </c>
      <c r="J94" t="s">
        <v>4915</v>
      </c>
      <c r="K94" t="s">
        <v>4927</v>
      </c>
      <c r="L94" t="s">
        <v>5440</v>
      </c>
      <c r="M94" t="s">
        <v>5441</v>
      </c>
      <c r="N94" t="s">
        <v>5442</v>
      </c>
      <c r="O94" t="s">
        <v>9</v>
      </c>
      <c r="P94" t="s">
        <v>4949</v>
      </c>
      <c r="Q94">
        <v>0</v>
      </c>
      <c r="R94" t="s">
        <v>5118</v>
      </c>
      <c r="S94" t="s">
        <v>172</v>
      </c>
      <c r="T94" t="s">
        <v>4923</v>
      </c>
      <c r="U94" t="s">
        <v>4924</v>
      </c>
      <c r="V94" t="s">
        <v>5443</v>
      </c>
      <c r="W94" t="s">
        <v>3667</v>
      </c>
      <c r="X94">
        <v>157.5</v>
      </c>
    </row>
    <row r="95" spans="1:24" x14ac:dyDescent="0.25">
      <c r="A95" t="s">
        <v>4910</v>
      </c>
      <c r="B95" t="s">
        <v>5393</v>
      </c>
      <c r="C95" t="s">
        <v>5394</v>
      </c>
      <c r="D95" t="s">
        <v>13</v>
      </c>
      <c r="E95" t="s">
        <v>4913</v>
      </c>
      <c r="F95" t="s">
        <v>672</v>
      </c>
      <c r="G95">
        <f>IF(K95="Pick-up","PICKUPS",IF(K95="Staff drop-off","STAFF_DROPOFF",IF(K95="Replacements","REPLACEMENT",IF(K95="Central Stores Dispatch","CENTRAL STORES DISPATCH",IFNA(IFNA(VLOOKUP(F95,'Raw Platform Nov 4-6 2025'!C:C,1,FALSE),VLOOKUP(F95,'Raw Platform Nov 4-6 2025'!D:D,1,FALSE)),IFNA(VLOOKUP(F95,'Glovo Raw Nov 4-6 2025'!B:B,1,FALSE),"Not Matched"))))))</f>
      </c>
      <c r="H95">
        <f>COUNTIF(F:F,F95)</f>
      </c>
      <c r="I95" t="s">
        <v>5444</v>
      </c>
      <c r="J95" t="s">
        <v>4915</v>
      </c>
      <c r="K95" t="s">
        <v>4916</v>
      </c>
      <c r="L95" t="s">
        <v>5445</v>
      </c>
      <c r="M95" t="s">
        <v>5446</v>
      </c>
      <c r="N95" t="s">
        <v>5447</v>
      </c>
      <c r="O95" t="s">
        <v>42</v>
      </c>
      <c r="P95" t="s">
        <v>5448</v>
      </c>
      <c r="Q95">
        <v>1140</v>
      </c>
      <c r="R95" t="s">
        <v>5118</v>
      </c>
      <c r="S95" t="s">
        <v>12</v>
      </c>
      <c r="T95" t="s">
        <v>4923</v>
      </c>
      <c r="U95" t="s">
        <v>4924</v>
      </c>
      <c r="V95" t="s">
        <v>5449</v>
      </c>
      <c r="W95" t="s">
        <v>3667</v>
      </c>
      <c r="X95">
        <v>339.2</v>
      </c>
    </row>
    <row r="96" spans="1:24" x14ac:dyDescent="0.25">
      <c r="A96" t="s">
        <v>4932</v>
      </c>
      <c r="B96" t="s">
        <v>5393</v>
      </c>
      <c r="C96" t="s">
        <v>5394</v>
      </c>
      <c r="D96" t="s">
        <v>13</v>
      </c>
      <c r="E96" t="s">
        <v>4913</v>
      </c>
      <c r="F96" t="s">
        <v>1491</v>
      </c>
      <c r="G96">
        <f>IF(K96="Pick-up","PICKUPS",IF(K96="Staff drop-off","STAFF_DROPOFF",IF(K96="Replacements","REPLACEMENT",IF(K96="Central Stores Dispatch","CENTRAL STORES DISPATCH",IFNA(IFNA(VLOOKUP(F96,'Raw Platform Nov 4-6 2025'!C:C,1,FALSE),VLOOKUP(F96,'Raw Platform Nov 4-6 2025'!D:D,1,FALSE)),IFNA(VLOOKUP(F96,'Glovo Raw Nov 4-6 2025'!B:B,1,FALSE),"Not Matched"))))))</f>
      </c>
      <c r="H96">
        <f>COUNTIF(F:F,F96)</f>
      </c>
      <c r="I96" t="s">
        <v>5450</v>
      </c>
      <c r="J96" t="s">
        <v>63</v>
      </c>
      <c r="K96" t="s">
        <v>4927</v>
      </c>
      <c r="L96" t="s">
        <v>5451</v>
      </c>
      <c r="M96" t="s">
        <v>5452</v>
      </c>
      <c r="N96" t="s">
        <v>5453</v>
      </c>
      <c r="O96" t="s">
        <v>77</v>
      </c>
      <c r="P96" t="s">
        <v>4974</v>
      </c>
      <c r="Q96">
        <v>0</v>
      </c>
      <c r="R96" t="s">
        <v>5118</v>
      </c>
      <c r="S96" t="s">
        <v>29</v>
      </c>
      <c r="T96" t="s">
        <v>4923</v>
      </c>
      <c r="U96" t="s">
        <v>4924</v>
      </c>
      <c r="V96" t="s">
        <v>5454</v>
      </c>
      <c r="W96" t="s">
        <v>3667</v>
      </c>
      <c r="X96">
        <v>178.2</v>
      </c>
    </row>
    <row r="97" spans="1:24" x14ac:dyDescent="0.25">
      <c r="A97" t="s">
        <v>5130</v>
      </c>
      <c r="B97" t="s">
        <v>5393</v>
      </c>
      <c r="C97" t="s">
        <v>5394</v>
      </c>
      <c r="D97" t="s">
        <v>24</v>
      </c>
      <c r="E97" t="s">
        <v>4913</v>
      </c>
      <c r="F97" t="s">
        <v>1691</v>
      </c>
      <c r="G97">
        <f>IF(K97="Pick-up","PICKUPS",IF(K97="Staff drop-off","STAFF_DROPOFF",IF(K97="Replacements","REPLACEMENT",IF(K97="Central Stores Dispatch","CENTRAL STORES DISPATCH",IFNA(IFNA(VLOOKUP(F97,'Raw Platform Nov 4-6 2025'!C:C,1,FALSE),VLOOKUP(F97,'Raw Platform Nov 4-6 2025'!D:D,1,FALSE)),IFNA(VLOOKUP(F97,'Glovo Raw Nov 4-6 2025'!B:B,1,FALSE),"Not Matched"))))))</f>
      </c>
      <c r="H97">
        <f>COUNTIF(F:F,F97)</f>
      </c>
      <c r="I97" t="s">
        <v>5455</v>
      </c>
      <c r="J97" t="s">
        <v>5341</v>
      </c>
      <c r="K97" t="s">
        <v>4927</v>
      </c>
      <c r="L97" t="s">
        <v>5456</v>
      </c>
      <c r="M97" t="s">
        <v>5457</v>
      </c>
      <c r="N97" t="s">
        <v>5458</v>
      </c>
      <c r="O97" t="s">
        <v>16</v>
      </c>
      <c r="P97" t="s">
        <v>5148</v>
      </c>
      <c r="Q97">
        <v>0</v>
      </c>
      <c r="R97" t="s">
        <v>5118</v>
      </c>
      <c r="S97" t="s">
        <v>5136</v>
      </c>
      <c r="T97" t="s">
        <v>4923</v>
      </c>
      <c r="U97" t="s">
        <v>4924</v>
      </c>
      <c r="V97" t="s">
        <v>5459</v>
      </c>
      <c r="W97" t="s">
        <v>3667</v>
      </c>
      <c r="X97">
        <v>304.7</v>
      </c>
    </row>
    <row r="98" spans="1:24" x14ac:dyDescent="0.25">
      <c r="A98" t="s">
        <v>5130</v>
      </c>
      <c r="B98" t="s">
        <v>5393</v>
      </c>
      <c r="C98" t="s">
        <v>5394</v>
      </c>
      <c r="D98" t="s">
        <v>24</v>
      </c>
      <c r="E98" t="s">
        <v>4913</v>
      </c>
      <c r="F98" t="s">
        <v>2396</v>
      </c>
      <c r="G98">
        <f>IF(K98="Pick-up","PICKUPS",IF(K98="Staff drop-off","STAFF_DROPOFF",IF(K98="Replacements","REPLACEMENT",IF(K98="Central Stores Dispatch","CENTRAL STORES DISPATCH",IFNA(IFNA(VLOOKUP(F98,'Raw Platform Nov 4-6 2025'!C:C,1,FALSE),VLOOKUP(F98,'Raw Platform Nov 4-6 2025'!D:D,1,FALSE)),IFNA(VLOOKUP(F98,'Glovo Raw Nov 4-6 2025'!B:B,1,FALSE),"Not Matched"))))))</f>
      </c>
      <c r="H98">
        <f>COUNTIF(F:F,F98)</f>
      </c>
      <c r="I98" t="s">
        <v>5460</v>
      </c>
      <c r="J98" t="s">
        <v>63</v>
      </c>
      <c r="K98" t="s">
        <v>4927</v>
      </c>
      <c r="L98" t="s">
        <v>5461</v>
      </c>
      <c r="M98" t="s">
        <v>5462</v>
      </c>
      <c r="N98" t="s">
        <v>5463</v>
      </c>
      <c r="O98" t="s">
        <v>4962</v>
      </c>
      <c r="P98" t="s">
        <v>5097</v>
      </c>
      <c r="Q98">
        <v>0</v>
      </c>
      <c r="R98" t="s">
        <v>5118</v>
      </c>
      <c r="S98" t="s">
        <v>116</v>
      </c>
      <c r="T98" t="s">
        <v>4923</v>
      </c>
      <c r="U98" t="s">
        <v>4924</v>
      </c>
      <c r="V98" t="s">
        <v>5464</v>
      </c>
      <c r="W98" t="s">
        <v>3667</v>
      </c>
      <c r="X98">
        <v>100</v>
      </c>
    </row>
    <row r="99" spans="1:24" x14ac:dyDescent="0.25">
      <c r="A99" t="s">
        <v>5130</v>
      </c>
      <c r="B99" t="s">
        <v>5393</v>
      </c>
      <c r="C99" t="s">
        <v>5394</v>
      </c>
      <c r="D99" t="s">
        <v>24</v>
      </c>
      <c r="E99" t="s">
        <v>4913</v>
      </c>
      <c r="F99" t="s">
        <v>1957</v>
      </c>
      <c r="G99">
        <f>IF(K99="Pick-up","PICKUPS",IF(K99="Staff drop-off","STAFF_DROPOFF",IF(K99="Replacements","REPLACEMENT",IF(K99="Central Stores Dispatch","CENTRAL STORES DISPATCH",IFNA(IFNA(VLOOKUP(F99,'Raw Platform Nov 4-6 2025'!C:C,1,FALSE),VLOOKUP(F99,'Raw Platform Nov 4-6 2025'!D:D,1,FALSE)),IFNA(VLOOKUP(F99,'Glovo Raw Nov 4-6 2025'!B:B,1,FALSE),"Not Matched"))))))</f>
      </c>
      <c r="H99">
        <f>COUNTIF(F:F,F99)</f>
      </c>
      <c r="I99" t="s">
        <v>5465</v>
      </c>
      <c r="J99" t="s">
        <v>4915</v>
      </c>
      <c r="K99" t="s">
        <v>4927</v>
      </c>
      <c r="L99" t="s">
        <v>5466</v>
      </c>
      <c r="M99" t="s">
        <v>5467</v>
      </c>
      <c r="N99" t="s">
        <v>5468</v>
      </c>
      <c r="O99" t="s">
        <v>5469</v>
      </c>
      <c r="P99" t="s">
        <v>5470</v>
      </c>
      <c r="Q99">
        <v>0</v>
      </c>
      <c r="R99" t="s">
        <v>5118</v>
      </c>
      <c r="S99" t="s">
        <v>35</v>
      </c>
      <c r="T99" t="s">
        <v>4923</v>
      </c>
      <c r="U99" t="s">
        <v>4924</v>
      </c>
      <c r="V99" t="s">
        <v>5471</v>
      </c>
      <c r="W99" t="s">
        <v>3667</v>
      </c>
      <c r="X99">
        <v>348.4</v>
      </c>
    </row>
    <row r="100" spans="1:24" x14ac:dyDescent="0.25">
      <c r="A100" t="s">
        <v>5130</v>
      </c>
      <c r="B100" t="s">
        <v>5393</v>
      </c>
      <c r="C100" t="s">
        <v>5394</v>
      </c>
      <c r="D100" t="s">
        <v>24</v>
      </c>
      <c r="E100" t="s">
        <v>4913</v>
      </c>
      <c r="F100" t="s">
        <v>2362</v>
      </c>
      <c r="G100">
        <f>IF(K100="Pick-up","PICKUPS",IF(K100="Staff drop-off","STAFF_DROPOFF",IF(K100="Replacements","REPLACEMENT",IF(K100="Central Stores Dispatch","CENTRAL STORES DISPATCH",IFNA(IFNA(VLOOKUP(F100,'Raw Platform Nov 4-6 2025'!C:C,1,FALSE),VLOOKUP(F100,'Raw Platform Nov 4-6 2025'!D:D,1,FALSE)),IFNA(VLOOKUP(F100,'Glovo Raw Nov 4-6 2025'!B:B,1,FALSE),"Not Matched"))))))</f>
      </c>
      <c r="H100">
        <f>COUNTIF(F:F,F100)</f>
      </c>
      <c r="I100" t="s">
        <v>5472</v>
      </c>
      <c r="J100" t="s">
        <v>4915</v>
      </c>
      <c r="K100" t="s">
        <v>4927</v>
      </c>
      <c r="L100" t="s">
        <v>5473</v>
      </c>
      <c r="M100" t="s">
        <v>5474</v>
      </c>
      <c r="N100" t="s">
        <v>5475</v>
      </c>
      <c r="O100" t="s">
        <v>4949</v>
      </c>
      <c r="P100" t="s">
        <v>5476</v>
      </c>
      <c r="Q100">
        <v>0</v>
      </c>
      <c r="R100" t="s">
        <v>5118</v>
      </c>
      <c r="S100" t="s">
        <v>35</v>
      </c>
      <c r="T100" t="s">
        <v>4923</v>
      </c>
      <c r="U100" t="s">
        <v>4924</v>
      </c>
      <c r="V100" t="s">
        <v>5477</v>
      </c>
      <c r="W100" t="s">
        <v>3667</v>
      </c>
      <c r="X100">
        <v>100</v>
      </c>
    </row>
    <row r="101" spans="1:24" x14ac:dyDescent="0.25">
      <c r="A101" t="s">
        <v>5130</v>
      </c>
      <c r="B101" t="s">
        <v>5393</v>
      </c>
      <c r="C101" t="s">
        <v>5394</v>
      </c>
      <c r="D101" t="s">
        <v>24</v>
      </c>
      <c r="E101" t="s">
        <v>4913</v>
      </c>
      <c r="F101" t="s">
        <v>1684</v>
      </c>
      <c r="G101">
        <f>IF(K101="Pick-up","PICKUPS",IF(K101="Staff drop-off","STAFF_DROPOFF",IF(K101="Replacements","REPLACEMENT",IF(K101="Central Stores Dispatch","CENTRAL STORES DISPATCH",IFNA(IFNA(VLOOKUP(F101,'Raw Platform Nov 4-6 2025'!C:C,1,FALSE),VLOOKUP(F101,'Raw Platform Nov 4-6 2025'!D:D,1,FALSE)),IFNA(VLOOKUP(F101,'Glovo Raw Nov 4-6 2025'!B:B,1,FALSE),"Not Matched"))))))</f>
      </c>
      <c r="H101">
        <f>COUNTIF(F:F,F101)</f>
      </c>
      <c r="I101" t="s">
        <v>5478</v>
      </c>
      <c r="J101" t="s">
        <v>4915</v>
      </c>
      <c r="K101" t="s">
        <v>4927</v>
      </c>
      <c r="L101" t="s">
        <v>5479</v>
      </c>
      <c r="M101" t="s">
        <v>5480</v>
      </c>
      <c r="N101" t="s">
        <v>5481</v>
      </c>
      <c r="O101" t="s">
        <v>123</v>
      </c>
      <c r="P101" t="s">
        <v>5482</v>
      </c>
      <c r="Q101">
        <v>0</v>
      </c>
      <c r="R101" t="s">
        <v>5118</v>
      </c>
      <c r="S101" t="s">
        <v>5136</v>
      </c>
      <c r="T101" t="s">
        <v>4923</v>
      </c>
      <c r="U101" t="s">
        <v>4924</v>
      </c>
      <c r="V101" t="s">
        <v>5483</v>
      </c>
      <c r="W101" t="s">
        <v>3667</v>
      </c>
      <c r="X101">
        <v>187.4</v>
      </c>
    </row>
    <row r="102" spans="1:24" x14ac:dyDescent="0.25">
      <c r="A102" t="s">
        <v>5130</v>
      </c>
      <c r="B102" t="s">
        <v>5393</v>
      </c>
      <c r="C102" t="s">
        <v>5394</v>
      </c>
      <c r="D102" t="s">
        <v>24</v>
      </c>
      <c r="E102" t="s">
        <v>5034</v>
      </c>
      <c r="F102" t="s">
        <v>1739</v>
      </c>
      <c r="G102">
        <f>IF(K102="Pick-up","PICKUPS",IF(K102="Staff drop-off","STAFF_DROPOFF",IF(K102="Replacements","REPLACEMENT",IF(K102="Central Stores Dispatch","CENTRAL STORES DISPATCH",IFNA(IFNA(VLOOKUP(F102,'Raw Platform Nov 4-6 2025'!C:C,1,FALSE),VLOOKUP(F102,'Raw Platform Nov 4-6 2025'!D:D,1,FALSE)),IFNA(VLOOKUP(F102,'Glovo Raw Nov 4-6 2025'!B:B,1,FALSE),"Not Matched"))))))</f>
      </c>
      <c r="H102">
        <f>COUNTIF(F:F,F102)</f>
      </c>
      <c r="I102" t="s">
        <v>5484</v>
      </c>
      <c r="J102" t="s">
        <v>4915</v>
      </c>
      <c r="K102" t="s">
        <v>4916</v>
      </c>
      <c r="L102" t="s">
        <v>5485</v>
      </c>
      <c r="M102" t="s">
        <v>5486</v>
      </c>
      <c r="N102" t="s">
        <v>5487</v>
      </c>
      <c r="O102" t="s">
        <v>47</v>
      </c>
      <c r="P102" t="s">
        <v>5062</v>
      </c>
      <c r="Q102">
        <v>1090</v>
      </c>
      <c r="R102" t="s">
        <v>5118</v>
      </c>
      <c r="S102" t="s">
        <v>432</v>
      </c>
      <c r="T102" t="s">
        <v>4923</v>
      </c>
      <c r="U102" t="s">
        <v>4923</v>
      </c>
      <c r="V102" t="s">
        <v>5488</v>
      </c>
      <c r="W102" t="s">
        <v>3667</v>
      </c>
      <c r="X102">
        <v>0</v>
      </c>
    </row>
    <row r="103" spans="1:24" x14ac:dyDescent="0.25">
      <c r="A103" t="s">
        <v>5130</v>
      </c>
      <c r="B103" t="s">
        <v>5393</v>
      </c>
      <c r="C103" t="s">
        <v>5394</v>
      </c>
      <c r="D103" t="s">
        <v>24</v>
      </c>
      <c r="E103" t="s">
        <v>4913</v>
      </c>
      <c r="F103" t="s">
        <v>2486</v>
      </c>
      <c r="G103">
        <f>IF(K103="Pick-up","PICKUPS",IF(K103="Staff drop-off","STAFF_DROPOFF",IF(K103="Replacements","REPLACEMENT",IF(K103="Central Stores Dispatch","CENTRAL STORES DISPATCH",IFNA(IFNA(VLOOKUP(F103,'Raw Platform Nov 4-6 2025'!C:C,1,FALSE),VLOOKUP(F103,'Raw Platform Nov 4-6 2025'!D:D,1,FALSE)),IFNA(VLOOKUP(F103,'Glovo Raw Nov 4-6 2025'!B:B,1,FALSE),"Not Matched"))))))</f>
      </c>
      <c r="H103">
        <f>COUNTIF(F:F,F103)</f>
      </c>
      <c r="I103" t="s">
        <v>5489</v>
      </c>
      <c r="J103" t="s">
        <v>5341</v>
      </c>
      <c r="K103" t="s">
        <v>4927</v>
      </c>
      <c r="L103" t="s">
        <v>5490</v>
      </c>
      <c r="M103" t="s">
        <v>5491</v>
      </c>
      <c r="N103" t="s">
        <v>5492</v>
      </c>
      <c r="O103" t="s">
        <v>5183</v>
      </c>
      <c r="P103" t="s">
        <v>5493</v>
      </c>
      <c r="Q103">
        <v>0</v>
      </c>
      <c r="R103" t="s">
        <v>5118</v>
      </c>
      <c r="S103" t="s">
        <v>5136</v>
      </c>
      <c r="T103" t="s">
        <v>4923</v>
      </c>
      <c r="U103" t="s">
        <v>4924</v>
      </c>
      <c r="V103" t="s">
        <v>5494</v>
      </c>
      <c r="W103" t="s">
        <v>3667</v>
      </c>
      <c r="X103">
        <v>518.6</v>
      </c>
    </row>
    <row r="104" spans="1:24" x14ac:dyDescent="0.25">
      <c r="A104" t="s">
        <v>5130</v>
      </c>
      <c r="B104" t="s">
        <v>5393</v>
      </c>
      <c r="C104" t="s">
        <v>5394</v>
      </c>
      <c r="D104" t="s">
        <v>24</v>
      </c>
      <c r="E104" t="s">
        <v>4913</v>
      </c>
      <c r="F104" t="s">
        <v>3086</v>
      </c>
      <c r="G104">
        <f>IF(K104="Pick-up","PICKUPS",IF(K104="Staff drop-off","STAFF_DROPOFF",IF(K104="Replacements","REPLACEMENT",IF(K104="Central Stores Dispatch","CENTRAL STORES DISPATCH",IFNA(IFNA(VLOOKUP(F104,'Raw Platform Nov 4-6 2025'!C:C,1,FALSE),VLOOKUP(F104,'Raw Platform Nov 4-6 2025'!D:D,1,FALSE)),IFNA(VLOOKUP(F104,'Glovo Raw Nov 4-6 2025'!B:B,1,FALSE),"Not Matched"))))))</f>
      </c>
      <c r="H104">
        <f>COUNTIF(F:F,F104)</f>
      </c>
      <c r="I104" t="s">
        <v>5495</v>
      </c>
      <c r="J104" t="s">
        <v>63</v>
      </c>
      <c r="K104" t="s">
        <v>4927</v>
      </c>
      <c r="L104" t="s">
        <v>5496</v>
      </c>
      <c r="M104" t="s">
        <v>5497</v>
      </c>
      <c r="N104" t="s">
        <v>5498</v>
      </c>
      <c r="O104" t="s">
        <v>113</v>
      </c>
      <c r="P104" t="s">
        <v>5499</v>
      </c>
      <c r="Q104">
        <v>0</v>
      </c>
      <c r="R104" t="s">
        <v>5118</v>
      </c>
      <c r="S104" t="s">
        <v>5136</v>
      </c>
      <c r="T104" t="s">
        <v>4923</v>
      </c>
      <c r="U104" t="s">
        <v>4924</v>
      </c>
      <c r="V104" t="s">
        <v>5500</v>
      </c>
      <c r="W104" t="s">
        <v>3667</v>
      </c>
      <c r="X104">
        <v>267.9</v>
      </c>
    </row>
    <row r="105" spans="1:24" x14ac:dyDescent="0.25">
      <c r="A105" t="s">
        <v>5130</v>
      </c>
      <c r="B105" t="s">
        <v>5393</v>
      </c>
      <c r="C105" t="s">
        <v>5394</v>
      </c>
      <c r="D105" t="s">
        <v>24</v>
      </c>
      <c r="E105" t="s">
        <v>4913</v>
      </c>
      <c r="F105" t="s">
        <v>3543</v>
      </c>
      <c r="G105">
        <f>IF(K105="Pick-up","PICKUPS",IF(K105="Staff drop-off","STAFF_DROPOFF",IF(K105="Replacements","REPLACEMENT",IF(K105="Central Stores Dispatch","CENTRAL STORES DISPATCH",IFNA(IFNA(VLOOKUP(F105,'Raw Platform Nov 4-6 2025'!C:C,1,FALSE),VLOOKUP(F105,'Raw Platform Nov 4-6 2025'!D:D,1,FALSE)),IFNA(VLOOKUP(F105,'Glovo Raw Nov 4-6 2025'!B:B,1,FALSE),"Not Matched"))))))</f>
      </c>
      <c r="H105">
        <f>COUNTIF(F:F,F105)</f>
      </c>
      <c r="I105" t="s">
        <v>5501</v>
      </c>
      <c r="J105" t="s">
        <v>4915</v>
      </c>
      <c r="K105" t="s">
        <v>4916</v>
      </c>
      <c r="L105" t="s">
        <v>5502</v>
      </c>
      <c r="M105" t="s">
        <v>5503</v>
      </c>
      <c r="N105" t="s">
        <v>5504</v>
      </c>
      <c r="O105" t="s">
        <v>73</v>
      </c>
      <c r="P105" t="s">
        <v>4962</v>
      </c>
      <c r="Q105">
        <v>1072</v>
      </c>
      <c r="R105" t="s">
        <v>5118</v>
      </c>
      <c r="S105" t="s">
        <v>35</v>
      </c>
      <c r="T105" t="s">
        <v>4923</v>
      </c>
      <c r="U105" t="s">
        <v>4924</v>
      </c>
      <c r="V105" t="s">
        <v>5505</v>
      </c>
      <c r="W105" t="s">
        <v>3667</v>
      </c>
      <c r="X105">
        <v>180.5</v>
      </c>
    </row>
    <row r="106" spans="1:24" x14ac:dyDescent="0.25">
      <c r="A106" t="s">
        <v>5130</v>
      </c>
      <c r="B106" t="s">
        <v>5393</v>
      </c>
      <c r="C106" t="s">
        <v>5394</v>
      </c>
      <c r="D106" t="s">
        <v>24</v>
      </c>
      <c r="E106" t="s">
        <v>4913</v>
      </c>
      <c r="F106" t="s">
        <v>3445</v>
      </c>
      <c r="G106">
        <f>IF(K106="Pick-up","PICKUPS",IF(K106="Staff drop-off","STAFF_DROPOFF",IF(K106="Replacements","REPLACEMENT",IF(K106="Central Stores Dispatch","CENTRAL STORES DISPATCH",IFNA(IFNA(VLOOKUP(F106,'Raw Platform Nov 4-6 2025'!C:C,1,FALSE),VLOOKUP(F106,'Raw Platform Nov 4-6 2025'!D:D,1,FALSE)),IFNA(VLOOKUP(F106,'Glovo Raw Nov 4-6 2025'!B:B,1,FALSE),"Not Matched"))))))</f>
      </c>
      <c r="H106">
        <f>COUNTIF(F:F,F106)</f>
      </c>
      <c r="I106" t="s">
        <v>5506</v>
      </c>
      <c r="J106" t="s">
        <v>5341</v>
      </c>
      <c r="K106" t="s">
        <v>4916</v>
      </c>
      <c r="L106" t="s">
        <v>5507</v>
      </c>
      <c r="M106" t="s">
        <v>5508</v>
      </c>
      <c r="N106" t="s">
        <v>5509</v>
      </c>
      <c r="O106" t="s">
        <v>9</v>
      </c>
      <c r="P106" t="s">
        <v>5510</v>
      </c>
      <c r="Q106">
        <v>1900</v>
      </c>
      <c r="R106" t="s">
        <v>5118</v>
      </c>
      <c r="S106" t="s">
        <v>5136</v>
      </c>
      <c r="T106" t="s">
        <v>4923</v>
      </c>
      <c r="U106" t="s">
        <v>4924</v>
      </c>
      <c r="V106" t="s">
        <v>5511</v>
      </c>
      <c r="W106" t="s">
        <v>3667</v>
      </c>
      <c r="X106">
        <v>196.6</v>
      </c>
    </row>
    <row r="107" spans="1:24" x14ac:dyDescent="0.25">
      <c r="A107" t="s">
        <v>5130</v>
      </c>
      <c r="B107" t="s">
        <v>5393</v>
      </c>
      <c r="C107" t="s">
        <v>5394</v>
      </c>
      <c r="D107" t="s">
        <v>24</v>
      </c>
      <c r="E107" t="s">
        <v>4913</v>
      </c>
      <c r="F107" t="s">
        <v>3220</v>
      </c>
      <c r="G107">
        <f>IF(K107="Pick-up","PICKUPS",IF(K107="Staff drop-off","STAFF_DROPOFF",IF(K107="Replacements","REPLACEMENT",IF(K107="Central Stores Dispatch","CENTRAL STORES DISPATCH",IFNA(IFNA(VLOOKUP(F107,'Raw Platform Nov 4-6 2025'!C:C,1,FALSE),VLOOKUP(F107,'Raw Platform Nov 4-6 2025'!D:D,1,FALSE)),IFNA(VLOOKUP(F107,'Glovo Raw Nov 4-6 2025'!B:B,1,FALSE),"Not Matched"))))))</f>
      </c>
      <c r="H107">
        <f>COUNTIF(F:F,F107)</f>
      </c>
      <c r="I107" t="s">
        <v>5512</v>
      </c>
      <c r="J107" t="s">
        <v>4915</v>
      </c>
      <c r="K107" t="s">
        <v>4927</v>
      </c>
      <c r="L107" t="s">
        <v>5513</v>
      </c>
      <c r="M107" t="s">
        <v>5514</v>
      </c>
      <c r="N107" t="s">
        <v>5515</v>
      </c>
      <c r="O107" t="s">
        <v>73</v>
      </c>
      <c r="P107" t="s">
        <v>5516</v>
      </c>
      <c r="Q107">
        <v>0</v>
      </c>
      <c r="R107" t="s">
        <v>5118</v>
      </c>
      <c r="S107" t="s">
        <v>5136</v>
      </c>
      <c r="T107" t="s">
        <v>4923</v>
      </c>
      <c r="U107" t="s">
        <v>4924</v>
      </c>
      <c r="V107" t="s">
        <v>5517</v>
      </c>
      <c r="W107" t="s">
        <v>3667</v>
      </c>
      <c r="X107">
        <v>169</v>
      </c>
    </row>
    <row r="108" spans="1:24" x14ac:dyDescent="0.25">
      <c r="A108" t="s">
        <v>4932</v>
      </c>
      <c r="B108" t="s">
        <v>5393</v>
      </c>
      <c r="C108" t="s">
        <v>5394</v>
      </c>
      <c r="D108" t="s">
        <v>13</v>
      </c>
      <c r="E108" t="s">
        <v>4913</v>
      </c>
      <c r="F108" t="s">
        <v>3269</v>
      </c>
      <c r="G108">
        <f>IF(K108="Pick-up","PICKUPS",IF(K108="Staff drop-off","STAFF_DROPOFF",IF(K108="Replacements","REPLACEMENT",IF(K108="Central Stores Dispatch","CENTRAL STORES DISPATCH",IFNA(IFNA(VLOOKUP(F108,'Raw Platform Nov 4-6 2025'!C:C,1,FALSE),VLOOKUP(F108,'Raw Platform Nov 4-6 2025'!D:D,1,FALSE)),IFNA(VLOOKUP(F108,'Glovo Raw Nov 4-6 2025'!B:B,1,FALSE),"Not Matched"))))))</f>
      </c>
      <c r="H108">
        <f>COUNTIF(F:F,F108)</f>
      </c>
      <c r="I108" t="s">
        <v>5518</v>
      </c>
      <c r="J108" t="s">
        <v>4915</v>
      </c>
      <c r="K108" t="s">
        <v>4927</v>
      </c>
      <c r="L108" t="s">
        <v>5519</v>
      </c>
      <c r="M108" t="s">
        <v>5291</v>
      </c>
      <c r="N108" t="s">
        <v>5520</v>
      </c>
      <c r="O108" t="s">
        <v>47</v>
      </c>
      <c r="P108" t="s">
        <v>5001</v>
      </c>
      <c r="Q108">
        <v>0</v>
      </c>
      <c r="R108" t="s">
        <v>5118</v>
      </c>
      <c r="S108" t="s">
        <v>29</v>
      </c>
      <c r="T108" t="s">
        <v>4923</v>
      </c>
      <c r="U108" t="s">
        <v>4924</v>
      </c>
      <c r="V108" t="s">
        <v>5521</v>
      </c>
      <c r="W108" t="s">
        <v>3667</v>
      </c>
      <c r="X108">
        <v>120.7</v>
      </c>
    </row>
    <row r="109" spans="1:24" x14ac:dyDescent="0.25">
      <c r="A109" t="s">
        <v>5130</v>
      </c>
      <c r="B109" t="s">
        <v>5393</v>
      </c>
      <c r="C109" t="s">
        <v>5394</v>
      </c>
      <c r="D109" t="s">
        <v>24</v>
      </c>
      <c r="E109" t="s">
        <v>4913</v>
      </c>
      <c r="F109" t="s">
        <v>3512</v>
      </c>
      <c r="G109">
        <f>IF(K109="Pick-up","PICKUPS",IF(K109="Staff drop-off","STAFF_DROPOFF",IF(K109="Replacements","REPLACEMENT",IF(K109="Central Stores Dispatch","CENTRAL STORES DISPATCH",IFNA(IFNA(VLOOKUP(F109,'Raw Platform Nov 4-6 2025'!C:C,1,FALSE),VLOOKUP(F109,'Raw Platform Nov 4-6 2025'!D:D,1,FALSE)),IFNA(VLOOKUP(F109,'Glovo Raw Nov 4-6 2025'!B:B,1,FALSE),"Not Matched"))))))</f>
      </c>
      <c r="H109">
        <f>COUNTIF(F:F,F109)</f>
      </c>
      <c r="I109" t="s">
        <v>5522</v>
      </c>
      <c r="J109" t="s">
        <v>4915</v>
      </c>
      <c r="K109" t="s">
        <v>4927</v>
      </c>
      <c r="L109" t="s">
        <v>5523</v>
      </c>
      <c r="M109" t="s">
        <v>5524</v>
      </c>
      <c r="N109" t="s">
        <v>4973</v>
      </c>
      <c r="O109" t="s">
        <v>123</v>
      </c>
      <c r="P109" t="s">
        <v>5285</v>
      </c>
      <c r="Q109">
        <v>0</v>
      </c>
      <c r="R109" t="s">
        <v>5118</v>
      </c>
      <c r="S109" t="s">
        <v>35</v>
      </c>
      <c r="T109" t="s">
        <v>4923</v>
      </c>
      <c r="U109" t="s">
        <v>4924</v>
      </c>
      <c r="V109" t="s">
        <v>5525</v>
      </c>
      <c r="W109" t="s">
        <v>3667</v>
      </c>
      <c r="X109">
        <v>175.9</v>
      </c>
    </row>
    <row r="110" spans="1:24" x14ac:dyDescent="0.25">
      <c r="A110" t="s">
        <v>5130</v>
      </c>
      <c r="B110" t="s">
        <v>5393</v>
      </c>
      <c r="C110" t="s">
        <v>5394</v>
      </c>
      <c r="D110" t="s">
        <v>24</v>
      </c>
      <c r="E110" t="s">
        <v>4913</v>
      </c>
      <c r="F110" t="s">
        <v>2736</v>
      </c>
      <c r="G110">
        <f>IF(K110="Pick-up","PICKUPS",IF(K110="Staff drop-off","STAFF_DROPOFF",IF(K110="Replacements","REPLACEMENT",IF(K110="Central Stores Dispatch","CENTRAL STORES DISPATCH",IFNA(IFNA(VLOOKUP(F110,'Raw Platform Nov 4-6 2025'!C:C,1,FALSE),VLOOKUP(F110,'Raw Platform Nov 4-6 2025'!D:D,1,FALSE)),IFNA(VLOOKUP(F110,'Glovo Raw Nov 4-6 2025'!B:B,1,FALSE),"Not Matched"))))))</f>
      </c>
      <c r="H110">
        <f>COUNTIF(F:F,F110)</f>
      </c>
      <c r="I110" t="s">
        <v>5526</v>
      </c>
      <c r="J110" t="s">
        <v>4915</v>
      </c>
      <c r="K110" t="s">
        <v>4927</v>
      </c>
      <c r="L110" t="s">
        <v>5527</v>
      </c>
      <c r="M110" t="s">
        <v>5528</v>
      </c>
      <c r="N110" t="s">
        <v>5529</v>
      </c>
      <c r="O110" t="s">
        <v>4962</v>
      </c>
      <c r="P110" t="s">
        <v>5045</v>
      </c>
      <c r="Q110">
        <v>0</v>
      </c>
      <c r="R110" t="s">
        <v>5118</v>
      </c>
      <c r="S110" t="s">
        <v>45</v>
      </c>
      <c r="T110" t="s">
        <v>4923</v>
      </c>
      <c r="U110" t="s">
        <v>4924</v>
      </c>
      <c r="V110" t="s">
        <v>5530</v>
      </c>
      <c r="W110" t="s">
        <v>3667</v>
      </c>
      <c r="X110">
        <v>102.3</v>
      </c>
    </row>
    <row r="111" spans="1:24" x14ac:dyDescent="0.25">
      <c r="A111" t="s">
        <v>5130</v>
      </c>
      <c r="B111" t="s">
        <v>5393</v>
      </c>
      <c r="C111" t="s">
        <v>5394</v>
      </c>
      <c r="D111" t="s">
        <v>24</v>
      </c>
      <c r="E111" t="s">
        <v>4913</v>
      </c>
      <c r="F111" t="s">
        <v>3209</v>
      </c>
      <c r="G111">
        <f>IF(K111="Pick-up","PICKUPS",IF(K111="Staff drop-off","STAFF_DROPOFF",IF(K111="Replacements","REPLACEMENT",IF(K111="Central Stores Dispatch","CENTRAL STORES DISPATCH",IFNA(IFNA(VLOOKUP(F111,'Raw Platform Nov 4-6 2025'!C:C,1,FALSE),VLOOKUP(F111,'Raw Platform Nov 4-6 2025'!D:D,1,FALSE)),IFNA(VLOOKUP(F111,'Glovo Raw Nov 4-6 2025'!B:B,1,FALSE),"Not Matched"))))))</f>
      </c>
      <c r="H111">
        <f>COUNTIF(F:F,F111)</f>
      </c>
      <c r="I111" t="s">
        <v>5531</v>
      </c>
      <c r="J111" t="s">
        <v>63</v>
      </c>
      <c r="K111" t="s">
        <v>4927</v>
      </c>
      <c r="L111" t="s">
        <v>5532</v>
      </c>
      <c r="M111" t="s">
        <v>5217</v>
      </c>
      <c r="N111" t="s">
        <v>5533</v>
      </c>
      <c r="O111" t="s">
        <v>5534</v>
      </c>
      <c r="P111" t="s">
        <v>5535</v>
      </c>
      <c r="Q111">
        <v>0</v>
      </c>
      <c r="R111" t="s">
        <v>5118</v>
      </c>
      <c r="S111" t="s">
        <v>35</v>
      </c>
      <c r="T111" t="s">
        <v>4923</v>
      </c>
      <c r="U111" t="s">
        <v>4924</v>
      </c>
      <c r="V111" t="s">
        <v>5536</v>
      </c>
      <c r="W111" t="s">
        <v>3667</v>
      </c>
      <c r="X111">
        <v>346.1</v>
      </c>
    </row>
    <row r="112" spans="1:24" x14ac:dyDescent="0.25">
      <c r="A112" t="s">
        <v>5130</v>
      </c>
      <c r="B112" t="s">
        <v>5393</v>
      </c>
      <c r="C112" t="s">
        <v>5394</v>
      </c>
      <c r="D112" t="s">
        <v>24</v>
      </c>
      <c r="E112" t="s">
        <v>4913</v>
      </c>
      <c r="F112" t="s">
        <v>2711</v>
      </c>
      <c r="G112">
        <f>IF(K112="Pick-up","PICKUPS",IF(K112="Staff drop-off","STAFF_DROPOFF",IF(K112="Replacements","REPLACEMENT",IF(K112="Central Stores Dispatch","CENTRAL STORES DISPATCH",IFNA(IFNA(VLOOKUP(F112,'Raw Platform Nov 4-6 2025'!C:C,1,FALSE),VLOOKUP(F112,'Raw Platform Nov 4-6 2025'!D:D,1,FALSE)),IFNA(VLOOKUP(F112,'Glovo Raw Nov 4-6 2025'!B:B,1,FALSE),"Not Matched"))))))</f>
      </c>
      <c r="H112">
        <f>COUNTIF(F:F,F112)</f>
      </c>
      <c r="I112" t="s">
        <v>5537</v>
      </c>
      <c r="J112" t="s">
        <v>4915</v>
      </c>
      <c r="K112" t="s">
        <v>4927</v>
      </c>
      <c r="L112" t="s">
        <v>5538</v>
      </c>
      <c r="M112" t="s">
        <v>5539</v>
      </c>
      <c r="N112" t="s">
        <v>5540</v>
      </c>
      <c r="O112" t="s">
        <v>2009</v>
      </c>
      <c r="P112" t="s">
        <v>5541</v>
      </c>
      <c r="Q112">
        <v>0</v>
      </c>
      <c r="R112" t="s">
        <v>5118</v>
      </c>
      <c r="S112" t="s">
        <v>172</v>
      </c>
      <c r="T112" t="s">
        <v>4923</v>
      </c>
      <c r="U112" t="s">
        <v>4924</v>
      </c>
      <c r="V112" t="s">
        <v>5542</v>
      </c>
      <c r="W112" t="s">
        <v>3667</v>
      </c>
      <c r="X112">
        <v>100</v>
      </c>
    </row>
    <row r="113" spans="1:24" x14ac:dyDescent="0.25">
      <c r="A113" t="s">
        <v>5130</v>
      </c>
      <c r="B113" t="s">
        <v>5393</v>
      </c>
      <c r="C113" t="s">
        <v>5394</v>
      </c>
      <c r="D113" t="s">
        <v>24</v>
      </c>
      <c r="E113" t="s">
        <v>4913</v>
      </c>
      <c r="F113" t="s">
        <v>2933</v>
      </c>
      <c r="G113">
        <f>IF(K113="Pick-up","PICKUPS",IF(K113="Staff drop-off","STAFF_DROPOFF",IF(K113="Replacements","REPLACEMENT",IF(K113="Central Stores Dispatch","CENTRAL STORES DISPATCH",IFNA(IFNA(VLOOKUP(F113,'Raw Platform Nov 4-6 2025'!C:C,1,FALSE),VLOOKUP(F113,'Raw Platform Nov 4-6 2025'!D:D,1,FALSE)),IFNA(VLOOKUP(F113,'Glovo Raw Nov 4-6 2025'!B:B,1,FALSE),"Not Matched"))))))</f>
      </c>
      <c r="H113">
        <f>COUNTIF(F:F,F113)</f>
      </c>
      <c r="I113" t="s">
        <v>5543</v>
      </c>
      <c r="J113" t="s">
        <v>4915</v>
      </c>
      <c r="K113" t="s">
        <v>4916</v>
      </c>
      <c r="L113" t="s">
        <v>5544</v>
      </c>
      <c r="M113" t="s">
        <v>5545</v>
      </c>
      <c r="N113" t="s">
        <v>5546</v>
      </c>
      <c r="O113" t="s">
        <v>5534</v>
      </c>
      <c r="P113" t="s">
        <v>5547</v>
      </c>
      <c r="Q113">
        <v>1450</v>
      </c>
      <c r="R113" t="s">
        <v>5118</v>
      </c>
      <c r="S113" t="s">
        <v>116</v>
      </c>
      <c r="T113" t="s">
        <v>4923</v>
      </c>
      <c r="U113" t="s">
        <v>4924</v>
      </c>
      <c r="V113" t="s">
        <v>5548</v>
      </c>
      <c r="W113" t="s">
        <v>3667</v>
      </c>
      <c r="X113">
        <v>405.9</v>
      </c>
    </row>
    <row r="114" spans="1:24" x14ac:dyDescent="0.25">
      <c r="A114" t="s">
        <v>4932</v>
      </c>
      <c r="B114" t="s">
        <v>5393</v>
      </c>
      <c r="C114" t="s">
        <v>5394</v>
      </c>
      <c r="D114" t="s">
        <v>13</v>
      </c>
      <c r="E114" t="s">
        <v>4913</v>
      </c>
      <c r="F114" t="s">
        <v>3553</v>
      </c>
      <c r="G114">
        <f>IF(K114="Pick-up","PICKUPS",IF(K114="Staff drop-off","STAFF_DROPOFF",IF(K114="Replacements","REPLACEMENT",IF(K114="Central Stores Dispatch","CENTRAL STORES DISPATCH",IFNA(IFNA(VLOOKUP(F114,'Raw Platform Nov 4-6 2025'!C:C,1,FALSE),VLOOKUP(F114,'Raw Platform Nov 4-6 2025'!D:D,1,FALSE)),IFNA(VLOOKUP(F114,'Glovo Raw Nov 4-6 2025'!B:B,1,FALSE),"Not Matched"))))))</f>
      </c>
      <c r="H114">
        <f>COUNTIF(F:F,F114)</f>
      </c>
      <c r="I114" t="s">
        <v>5549</v>
      </c>
      <c r="J114" t="s">
        <v>4915</v>
      </c>
      <c r="K114" t="s">
        <v>4927</v>
      </c>
      <c r="L114" t="s">
        <v>5550</v>
      </c>
      <c r="M114" t="s">
        <v>5551</v>
      </c>
      <c r="N114" t="s">
        <v>5552</v>
      </c>
      <c r="O114" t="s">
        <v>26</v>
      </c>
      <c r="P114" t="s">
        <v>5345</v>
      </c>
      <c r="Q114">
        <v>0</v>
      </c>
      <c r="R114" t="s">
        <v>5118</v>
      </c>
      <c r="S114" t="s">
        <v>29</v>
      </c>
      <c r="T114" t="s">
        <v>4923</v>
      </c>
      <c r="U114" t="s">
        <v>4924</v>
      </c>
      <c r="V114" t="s">
        <v>5553</v>
      </c>
      <c r="W114" t="s">
        <v>3667</v>
      </c>
      <c r="X114">
        <v>208.1</v>
      </c>
    </row>
    <row r="115" spans="1:24" x14ac:dyDescent="0.25">
      <c r="A115" t="s">
        <v>4932</v>
      </c>
      <c r="B115" t="s">
        <v>5393</v>
      </c>
      <c r="C115" t="s">
        <v>5394</v>
      </c>
      <c r="D115" t="s">
        <v>13</v>
      </c>
      <c r="E115" t="s">
        <v>4913</v>
      </c>
      <c r="F115" t="s">
        <v>5554</v>
      </c>
      <c r="G115">
        <f>IF(K115="Pick-up","PICKUPS",IF(K115="Staff drop-off","STAFF_DROPOFF",IF(K115="Replacements","REPLACEMENT",IF(K115="Central Stores Dispatch","CENTRAL STORES DISPATCH",IFNA(IFNA(VLOOKUP(F115,'Raw Platform Nov 4-6 2025'!C:C,1,FALSE),VLOOKUP(F115,'Raw Platform Nov 4-6 2025'!D:D,1,FALSE)),IFNA(VLOOKUP(F115,'Glovo Raw Nov 4-6 2025'!B:B,1,FALSE),"Not Matched"))))))</f>
      </c>
      <c r="H115">
        <f>COUNTIF(F:F,F115)</f>
      </c>
      <c r="I115" t="s">
        <v>5555</v>
      </c>
      <c r="J115" t="s">
        <v>4915</v>
      </c>
      <c r="K115" t="s">
        <v>4916</v>
      </c>
      <c r="L115" t="s">
        <v>5556</v>
      </c>
      <c r="M115" t="s">
        <v>5291</v>
      </c>
      <c r="N115" t="s">
        <v>5557</v>
      </c>
      <c r="O115" t="s">
        <v>42</v>
      </c>
      <c r="P115" t="s">
        <v>5558</v>
      </c>
      <c r="Q115">
        <v>1150</v>
      </c>
      <c r="R115" t="s">
        <v>5118</v>
      </c>
      <c r="S115" t="s">
        <v>29</v>
      </c>
      <c r="T115" t="s">
        <v>4923</v>
      </c>
      <c r="U115" t="s">
        <v>4924</v>
      </c>
      <c r="V115" t="s">
        <v>5559</v>
      </c>
      <c r="W115" t="s">
        <v>3667</v>
      </c>
      <c r="X115">
        <v>357.6</v>
      </c>
    </row>
    <row r="116" spans="1:24" x14ac:dyDescent="0.25">
      <c r="A116" t="s">
        <v>4910</v>
      </c>
      <c r="B116" t="s">
        <v>5560</v>
      </c>
      <c r="C116" t="s">
        <v>5561</v>
      </c>
      <c r="D116" t="s">
        <v>13</v>
      </c>
      <c r="E116" t="s">
        <v>4913</v>
      </c>
      <c r="F116" t="s">
        <v>607</v>
      </c>
      <c r="G116">
        <f>IF(K116="Pick-up","PICKUPS",IF(K116="Staff drop-off","STAFF_DROPOFF",IF(K116="Replacements","REPLACEMENT",IF(K116="Central Stores Dispatch","CENTRAL STORES DISPATCH",IFNA(IFNA(VLOOKUP(F116,'Raw Platform Nov 4-6 2025'!C:C,1,FALSE),VLOOKUP(F116,'Raw Platform Nov 4-6 2025'!D:D,1,FALSE)),IFNA(VLOOKUP(F116,'Glovo Raw Nov 4-6 2025'!B:B,1,FALSE),"Not Matched"))))))</f>
      </c>
      <c r="H116">
        <f>COUNTIF(F:F,F116)</f>
      </c>
      <c r="I116" t="s">
        <v>5562</v>
      </c>
      <c r="J116" t="s">
        <v>4915</v>
      </c>
      <c r="K116" t="s">
        <v>4927</v>
      </c>
      <c r="L116" t="s">
        <v>5563</v>
      </c>
      <c r="M116" t="s">
        <v>5564</v>
      </c>
      <c r="N116" t="s">
        <v>5565</v>
      </c>
      <c r="O116" t="s">
        <v>32</v>
      </c>
      <c r="P116" t="s">
        <v>5566</v>
      </c>
      <c r="Q116">
        <v>0</v>
      </c>
      <c r="R116" t="s">
        <v>5118</v>
      </c>
      <c r="S116" t="s">
        <v>12</v>
      </c>
      <c r="T116" t="s">
        <v>4923</v>
      </c>
      <c r="U116" t="s">
        <v>4924</v>
      </c>
      <c r="V116" t="s">
        <v>5567</v>
      </c>
      <c r="W116" t="s">
        <v>3667</v>
      </c>
      <c r="X116">
        <v>327.7</v>
      </c>
    </row>
    <row r="117" spans="1:24" x14ac:dyDescent="0.25">
      <c r="A117" t="s">
        <v>4910</v>
      </c>
      <c r="B117" t="s">
        <v>5560</v>
      </c>
      <c r="C117" t="s">
        <v>5561</v>
      </c>
      <c r="D117" t="s">
        <v>13</v>
      </c>
      <c r="E117" t="s">
        <v>4913</v>
      </c>
      <c r="F117" t="s">
        <v>540</v>
      </c>
      <c r="G117">
        <f>IF(K117="Pick-up","PICKUPS",IF(K117="Staff drop-off","STAFF_DROPOFF",IF(K117="Replacements","REPLACEMENT",IF(K117="Central Stores Dispatch","CENTRAL STORES DISPATCH",IFNA(IFNA(VLOOKUP(F117,'Raw Platform Nov 4-6 2025'!C:C,1,FALSE),VLOOKUP(F117,'Raw Platform Nov 4-6 2025'!D:D,1,FALSE)),IFNA(VLOOKUP(F117,'Glovo Raw Nov 4-6 2025'!B:B,1,FALSE),"Not Matched"))))))</f>
      </c>
      <c r="H117">
        <f>COUNTIF(F:F,F117)</f>
      </c>
      <c r="I117" t="s">
        <v>5568</v>
      </c>
      <c r="J117" t="s">
        <v>63</v>
      </c>
      <c r="K117" t="s">
        <v>4927</v>
      </c>
      <c r="L117" t="s">
        <v>5569</v>
      </c>
      <c r="M117" t="s">
        <v>5570</v>
      </c>
      <c r="N117" t="s">
        <v>5571</v>
      </c>
      <c r="O117" t="s">
        <v>53</v>
      </c>
      <c r="P117" t="s">
        <v>5572</v>
      </c>
      <c r="Q117">
        <v>0</v>
      </c>
      <c r="R117" t="s">
        <v>5118</v>
      </c>
      <c r="S117" t="s">
        <v>12</v>
      </c>
      <c r="T117" t="s">
        <v>4923</v>
      </c>
      <c r="U117" t="s">
        <v>4924</v>
      </c>
      <c r="V117" t="s">
        <v>5573</v>
      </c>
      <c r="W117" t="s">
        <v>3667</v>
      </c>
      <c r="X117">
        <v>125.3</v>
      </c>
    </row>
    <row r="118" spans="1:24" x14ac:dyDescent="0.25">
      <c r="A118" t="s">
        <v>4910</v>
      </c>
      <c r="B118" t="s">
        <v>5560</v>
      </c>
      <c r="C118" t="s">
        <v>5561</v>
      </c>
      <c r="D118" t="s">
        <v>13</v>
      </c>
      <c r="E118" t="s">
        <v>4913</v>
      </c>
      <c r="F118" t="s">
        <v>1389</v>
      </c>
      <c r="G118">
        <f>IF(K118="Pick-up","PICKUPS",IF(K118="Staff drop-off","STAFF_DROPOFF",IF(K118="Replacements","REPLACEMENT",IF(K118="Central Stores Dispatch","CENTRAL STORES DISPATCH",IFNA(IFNA(VLOOKUP(F118,'Raw Platform Nov 4-6 2025'!C:C,1,FALSE),VLOOKUP(F118,'Raw Platform Nov 4-6 2025'!D:D,1,FALSE)),IFNA(VLOOKUP(F118,'Glovo Raw Nov 4-6 2025'!B:B,1,FALSE),"Not Matched"))))))</f>
      </c>
      <c r="H118">
        <f>COUNTIF(F:F,F118)</f>
      </c>
      <c r="I118" t="s">
        <v>5574</v>
      </c>
      <c r="J118" t="s">
        <v>4915</v>
      </c>
      <c r="K118" t="s">
        <v>4916</v>
      </c>
      <c r="L118" t="s">
        <v>5575</v>
      </c>
      <c r="M118" t="s">
        <v>5576</v>
      </c>
      <c r="N118" t="s">
        <v>5577</v>
      </c>
      <c r="O118" t="s">
        <v>4949</v>
      </c>
      <c r="P118" t="s">
        <v>5578</v>
      </c>
      <c r="Q118">
        <v>2300</v>
      </c>
      <c r="R118" t="s">
        <v>5118</v>
      </c>
      <c r="S118" t="s">
        <v>12</v>
      </c>
      <c r="T118" t="s">
        <v>4923</v>
      </c>
      <c r="U118" t="s">
        <v>4924</v>
      </c>
      <c r="V118" t="s">
        <v>5579</v>
      </c>
      <c r="W118" t="s">
        <v>3667</v>
      </c>
      <c r="X118">
        <v>100</v>
      </c>
    </row>
    <row r="119" spans="1:24" x14ac:dyDescent="0.25">
      <c r="A119" t="s">
        <v>4910</v>
      </c>
      <c r="B119" t="s">
        <v>5560</v>
      </c>
      <c r="C119" t="s">
        <v>5561</v>
      </c>
      <c r="D119" t="s">
        <v>13</v>
      </c>
      <c r="E119" t="s">
        <v>4913</v>
      </c>
      <c r="F119" t="s">
        <v>218</v>
      </c>
      <c r="G119">
        <f>IF(K119="Pick-up","PICKUPS",IF(K119="Staff drop-off","STAFF_DROPOFF",IF(K119="Replacements","REPLACEMENT",IF(K119="Central Stores Dispatch","CENTRAL STORES DISPATCH",IFNA(IFNA(VLOOKUP(F119,'Raw Platform Nov 4-6 2025'!C:C,1,FALSE),VLOOKUP(F119,'Raw Platform Nov 4-6 2025'!D:D,1,FALSE)),IFNA(VLOOKUP(F119,'Glovo Raw Nov 4-6 2025'!B:B,1,FALSE),"Not Matched"))))))</f>
      </c>
      <c r="H119">
        <f>COUNTIF(F:F,F119)</f>
      </c>
      <c r="I119" t="s">
        <v>5580</v>
      </c>
      <c r="J119" t="s">
        <v>4915</v>
      </c>
      <c r="K119" t="s">
        <v>4927</v>
      </c>
      <c r="L119" t="s">
        <v>5581</v>
      </c>
      <c r="M119" t="s">
        <v>5582</v>
      </c>
      <c r="N119" t="s">
        <v>5012</v>
      </c>
      <c r="O119" t="s">
        <v>4990</v>
      </c>
      <c r="P119" t="s">
        <v>5013</v>
      </c>
      <c r="Q119">
        <v>0</v>
      </c>
      <c r="R119" t="s">
        <v>5118</v>
      </c>
      <c r="S119" t="s">
        <v>12</v>
      </c>
      <c r="T119" t="s">
        <v>4923</v>
      </c>
      <c r="U119" t="s">
        <v>4924</v>
      </c>
      <c r="V119" t="s">
        <v>5583</v>
      </c>
      <c r="W119" t="s">
        <v>3667</v>
      </c>
      <c r="X119">
        <v>100</v>
      </c>
    </row>
    <row r="120" spans="1:24" x14ac:dyDescent="0.25">
      <c r="A120" t="s">
        <v>4910</v>
      </c>
      <c r="B120" t="s">
        <v>5560</v>
      </c>
      <c r="C120" t="s">
        <v>5561</v>
      </c>
      <c r="D120" t="s">
        <v>13</v>
      </c>
      <c r="E120" t="s">
        <v>4913</v>
      </c>
      <c r="F120" t="s">
        <v>797</v>
      </c>
      <c r="G120">
        <f>IF(K120="Pick-up","PICKUPS",IF(K120="Staff drop-off","STAFF_DROPOFF",IF(K120="Replacements","REPLACEMENT",IF(K120="Central Stores Dispatch","CENTRAL STORES DISPATCH",IFNA(IFNA(VLOOKUP(F120,'Raw Platform Nov 4-6 2025'!C:C,1,FALSE),VLOOKUP(F120,'Raw Platform Nov 4-6 2025'!D:D,1,FALSE)),IFNA(VLOOKUP(F120,'Glovo Raw Nov 4-6 2025'!B:B,1,FALSE),"Not Matched"))))))</f>
      </c>
      <c r="H120">
        <f>COUNTIF(F:F,F120)</f>
      </c>
      <c r="I120" t="s">
        <v>5584</v>
      </c>
      <c r="J120" t="s">
        <v>4915</v>
      </c>
      <c r="K120" t="s">
        <v>4927</v>
      </c>
      <c r="L120" t="s">
        <v>5585</v>
      </c>
      <c r="M120" t="s">
        <v>5586</v>
      </c>
      <c r="N120" t="s">
        <v>5587</v>
      </c>
      <c r="O120" t="s">
        <v>2009</v>
      </c>
      <c r="P120" t="s">
        <v>5588</v>
      </c>
      <c r="Q120">
        <v>0</v>
      </c>
      <c r="R120" t="s">
        <v>5118</v>
      </c>
      <c r="S120" t="s">
        <v>12</v>
      </c>
      <c r="T120" t="s">
        <v>4923</v>
      </c>
      <c r="U120" t="s">
        <v>4924</v>
      </c>
      <c r="V120" t="s">
        <v>5589</v>
      </c>
      <c r="W120" t="s">
        <v>3667</v>
      </c>
      <c r="X120">
        <v>109.2</v>
      </c>
    </row>
    <row r="121" spans="1:24" x14ac:dyDescent="0.25">
      <c r="A121" t="s">
        <v>4910</v>
      </c>
      <c r="B121" t="s">
        <v>5560</v>
      </c>
      <c r="C121" t="s">
        <v>5561</v>
      </c>
      <c r="D121" t="s">
        <v>13</v>
      </c>
      <c r="E121" t="s">
        <v>4913</v>
      </c>
      <c r="F121" t="s">
        <v>1080</v>
      </c>
      <c r="G121">
        <f>IF(K121="Pick-up","PICKUPS",IF(K121="Staff drop-off","STAFF_DROPOFF",IF(K121="Replacements","REPLACEMENT",IF(K121="Central Stores Dispatch","CENTRAL STORES DISPATCH",IFNA(IFNA(VLOOKUP(F121,'Raw Platform Nov 4-6 2025'!C:C,1,FALSE),VLOOKUP(F121,'Raw Platform Nov 4-6 2025'!D:D,1,FALSE)),IFNA(VLOOKUP(F121,'Glovo Raw Nov 4-6 2025'!B:B,1,FALSE),"Not Matched"))))))</f>
      </c>
      <c r="H121">
        <f>COUNTIF(F:F,F121)</f>
      </c>
      <c r="I121" t="s">
        <v>5590</v>
      </c>
      <c r="J121" t="s">
        <v>4915</v>
      </c>
      <c r="K121" t="s">
        <v>4916</v>
      </c>
      <c r="L121" t="s">
        <v>5591</v>
      </c>
      <c r="M121" t="s">
        <v>5592</v>
      </c>
      <c r="N121" t="s">
        <v>5593</v>
      </c>
      <c r="O121" t="s">
        <v>37</v>
      </c>
      <c r="P121" t="s">
        <v>53</v>
      </c>
      <c r="Q121">
        <v>672</v>
      </c>
      <c r="R121" t="s">
        <v>5118</v>
      </c>
      <c r="S121" t="s">
        <v>12</v>
      </c>
      <c r="T121" t="s">
        <v>4923</v>
      </c>
      <c r="U121" t="s">
        <v>4924</v>
      </c>
      <c r="V121" t="s">
        <v>5594</v>
      </c>
      <c r="W121" t="s">
        <v>3667</v>
      </c>
      <c r="X121">
        <v>249.5</v>
      </c>
    </row>
    <row r="122" spans="1:24" x14ac:dyDescent="0.25">
      <c r="A122" t="s">
        <v>4910</v>
      </c>
      <c r="B122" t="s">
        <v>5560</v>
      </c>
      <c r="C122" t="s">
        <v>5561</v>
      </c>
      <c r="D122" t="s">
        <v>13</v>
      </c>
      <c r="E122" t="s">
        <v>4913</v>
      </c>
      <c r="F122" t="s">
        <v>1028</v>
      </c>
      <c r="G122">
        <f>IF(K122="Pick-up","PICKUPS",IF(K122="Staff drop-off","STAFF_DROPOFF",IF(K122="Replacements","REPLACEMENT",IF(K122="Central Stores Dispatch","CENTRAL STORES DISPATCH",IFNA(IFNA(VLOOKUP(F122,'Raw Platform Nov 4-6 2025'!C:C,1,FALSE),VLOOKUP(F122,'Raw Platform Nov 4-6 2025'!D:D,1,FALSE)),IFNA(VLOOKUP(F122,'Glovo Raw Nov 4-6 2025'!B:B,1,FALSE),"Not Matched"))))))</f>
      </c>
      <c r="H122">
        <f>COUNTIF(F:F,F122)</f>
      </c>
      <c r="I122" t="s">
        <v>5595</v>
      </c>
      <c r="J122" t="s">
        <v>4915</v>
      </c>
      <c r="K122" t="s">
        <v>4927</v>
      </c>
      <c r="L122" t="s">
        <v>5596</v>
      </c>
      <c r="M122" t="s">
        <v>5597</v>
      </c>
      <c r="N122" t="s">
        <v>5598</v>
      </c>
      <c r="O122" t="s">
        <v>2009</v>
      </c>
      <c r="P122" t="s">
        <v>5572</v>
      </c>
      <c r="Q122">
        <v>0</v>
      </c>
      <c r="R122" t="s">
        <v>5118</v>
      </c>
      <c r="S122" t="s">
        <v>12</v>
      </c>
      <c r="T122" t="s">
        <v>4923</v>
      </c>
      <c r="U122" t="s">
        <v>4924</v>
      </c>
      <c r="V122" t="s">
        <v>5599</v>
      </c>
      <c r="W122" t="s">
        <v>3667</v>
      </c>
      <c r="X122">
        <v>125.3</v>
      </c>
    </row>
    <row r="123" spans="1:24" x14ac:dyDescent="0.25">
      <c r="A123" t="s">
        <v>4910</v>
      </c>
      <c r="B123" t="s">
        <v>5560</v>
      </c>
      <c r="C123" t="s">
        <v>5561</v>
      </c>
      <c r="D123" t="s">
        <v>13</v>
      </c>
      <c r="E123" t="s">
        <v>4913</v>
      </c>
      <c r="F123" t="s">
        <v>1308</v>
      </c>
      <c r="G123">
        <f>IF(K123="Pick-up","PICKUPS",IF(K123="Staff drop-off","STAFF_DROPOFF",IF(K123="Replacements","REPLACEMENT",IF(K123="Central Stores Dispatch","CENTRAL STORES DISPATCH",IFNA(IFNA(VLOOKUP(F123,'Raw Platform Nov 4-6 2025'!C:C,1,FALSE),VLOOKUP(F123,'Raw Platform Nov 4-6 2025'!D:D,1,FALSE)),IFNA(VLOOKUP(F123,'Glovo Raw Nov 4-6 2025'!B:B,1,FALSE),"Not Matched"))))))</f>
      </c>
      <c r="H123">
        <f>COUNTIF(F:F,F123)</f>
      </c>
      <c r="I123" t="s">
        <v>5600</v>
      </c>
      <c r="J123" t="s">
        <v>4915</v>
      </c>
      <c r="K123" t="s">
        <v>4927</v>
      </c>
      <c r="L123" t="s">
        <v>4977</v>
      </c>
      <c r="M123" t="s">
        <v>5601</v>
      </c>
      <c r="N123" t="s">
        <v>5602</v>
      </c>
      <c r="O123" t="s">
        <v>4962</v>
      </c>
      <c r="P123" t="s">
        <v>4950</v>
      </c>
      <c r="Q123">
        <v>0</v>
      </c>
      <c r="R123" t="s">
        <v>5118</v>
      </c>
      <c r="S123" t="s">
        <v>12</v>
      </c>
      <c r="T123" t="s">
        <v>4923</v>
      </c>
      <c r="U123" t="s">
        <v>4924</v>
      </c>
      <c r="V123" t="s">
        <v>5603</v>
      </c>
      <c r="W123" t="s">
        <v>3667</v>
      </c>
      <c r="X123">
        <v>100</v>
      </c>
    </row>
    <row r="124" spans="1:24" x14ac:dyDescent="0.25">
      <c r="A124" t="s">
        <v>4910</v>
      </c>
      <c r="B124" t="s">
        <v>5560</v>
      </c>
      <c r="C124" t="s">
        <v>5561</v>
      </c>
      <c r="D124" t="s">
        <v>13</v>
      </c>
      <c r="E124" t="s">
        <v>4913</v>
      </c>
      <c r="F124" t="s">
        <v>232</v>
      </c>
      <c r="G124">
        <f>IF(K124="Pick-up","PICKUPS",IF(K124="Staff drop-off","STAFF_DROPOFF",IF(K124="Replacements","REPLACEMENT",IF(K124="Central Stores Dispatch","CENTRAL STORES DISPATCH",IFNA(IFNA(VLOOKUP(F124,'Raw Platform Nov 4-6 2025'!C:C,1,FALSE),VLOOKUP(F124,'Raw Platform Nov 4-6 2025'!D:D,1,FALSE)),IFNA(VLOOKUP(F124,'Glovo Raw Nov 4-6 2025'!B:B,1,FALSE),"Not Matched"))))))</f>
      </c>
      <c r="H124">
        <f>COUNTIF(F:F,F124)</f>
      </c>
      <c r="I124" t="s">
        <v>5604</v>
      </c>
      <c r="J124" t="s">
        <v>4915</v>
      </c>
      <c r="K124" t="s">
        <v>4927</v>
      </c>
      <c r="L124" t="s">
        <v>5605</v>
      </c>
      <c r="M124" t="s">
        <v>5606</v>
      </c>
      <c r="N124" t="s">
        <v>5607</v>
      </c>
      <c r="O124" t="s">
        <v>53</v>
      </c>
      <c r="P124" t="s">
        <v>5001</v>
      </c>
      <c r="Q124">
        <v>0</v>
      </c>
      <c r="R124" t="s">
        <v>5118</v>
      </c>
      <c r="S124" t="s">
        <v>12</v>
      </c>
      <c r="T124" t="s">
        <v>4923</v>
      </c>
      <c r="U124" t="s">
        <v>4924</v>
      </c>
      <c r="V124" t="s">
        <v>5608</v>
      </c>
      <c r="W124" t="s">
        <v>3667</v>
      </c>
      <c r="X124">
        <v>120.7</v>
      </c>
    </row>
    <row r="125" spans="1:24" x14ac:dyDescent="0.25">
      <c r="A125" t="s">
        <v>4910</v>
      </c>
      <c r="B125" t="s">
        <v>5560</v>
      </c>
      <c r="C125" t="s">
        <v>5561</v>
      </c>
      <c r="D125" t="s">
        <v>13</v>
      </c>
      <c r="E125" t="s">
        <v>4913</v>
      </c>
      <c r="F125" t="s">
        <v>2675</v>
      </c>
      <c r="G125">
        <f>IF(K125="Pick-up","PICKUPS",IF(K125="Staff drop-off","STAFF_DROPOFF",IF(K125="Replacements","REPLACEMENT",IF(K125="Central Stores Dispatch","CENTRAL STORES DISPATCH",IFNA(IFNA(VLOOKUP(F125,'Raw Platform Nov 4-6 2025'!C:C,1,FALSE),VLOOKUP(F125,'Raw Platform Nov 4-6 2025'!D:D,1,FALSE)),IFNA(VLOOKUP(F125,'Glovo Raw Nov 4-6 2025'!B:B,1,FALSE),"Not Matched"))))))</f>
      </c>
      <c r="H125">
        <f>COUNTIF(F:F,F125)</f>
      </c>
      <c r="I125" t="s">
        <v>5609</v>
      </c>
      <c r="J125" t="s">
        <v>4915</v>
      </c>
      <c r="K125" t="s">
        <v>4927</v>
      </c>
      <c r="L125" t="s">
        <v>5610</v>
      </c>
      <c r="M125" t="s">
        <v>5611</v>
      </c>
      <c r="N125" t="s">
        <v>5612</v>
      </c>
      <c r="O125" t="s">
        <v>4990</v>
      </c>
      <c r="P125" t="s">
        <v>5613</v>
      </c>
      <c r="Q125">
        <v>0</v>
      </c>
      <c r="R125" t="s">
        <v>5118</v>
      </c>
      <c r="S125" t="s">
        <v>12</v>
      </c>
      <c r="T125" t="s">
        <v>4923</v>
      </c>
      <c r="U125" t="s">
        <v>4924</v>
      </c>
      <c r="V125" t="s">
        <v>5614</v>
      </c>
      <c r="W125" t="s">
        <v>3667</v>
      </c>
      <c r="X125">
        <v>100</v>
      </c>
    </row>
    <row r="126" spans="1:24" x14ac:dyDescent="0.25">
      <c r="A126" t="s">
        <v>4910</v>
      </c>
      <c r="B126" t="s">
        <v>5560</v>
      </c>
      <c r="C126" t="s">
        <v>5561</v>
      </c>
      <c r="D126" t="s">
        <v>13</v>
      </c>
      <c r="E126" t="s">
        <v>4913</v>
      </c>
      <c r="F126" t="s">
        <v>3256</v>
      </c>
      <c r="G126">
        <f>IF(K126="Pick-up","PICKUPS",IF(K126="Staff drop-off","STAFF_DROPOFF",IF(K126="Replacements","REPLACEMENT",IF(K126="Central Stores Dispatch","CENTRAL STORES DISPATCH",IFNA(IFNA(VLOOKUP(F126,'Raw Platform Nov 4-6 2025'!C:C,1,FALSE),VLOOKUP(F126,'Raw Platform Nov 4-6 2025'!D:D,1,FALSE)),IFNA(VLOOKUP(F126,'Glovo Raw Nov 4-6 2025'!B:B,1,FALSE),"Not Matched"))))))</f>
      </c>
      <c r="H126">
        <f>COUNTIF(F:F,F126)</f>
      </c>
      <c r="I126" t="s">
        <v>5615</v>
      </c>
      <c r="J126" t="s">
        <v>4915</v>
      </c>
      <c r="K126" t="s">
        <v>4927</v>
      </c>
      <c r="L126" t="s">
        <v>5010</v>
      </c>
      <c r="M126" t="s">
        <v>5011</v>
      </c>
      <c r="N126" t="s">
        <v>5012</v>
      </c>
      <c r="O126" t="s">
        <v>4990</v>
      </c>
      <c r="P126" t="s">
        <v>5013</v>
      </c>
      <c r="Q126">
        <v>0</v>
      </c>
      <c r="R126" t="s">
        <v>5118</v>
      </c>
      <c r="S126" t="s">
        <v>12</v>
      </c>
      <c r="T126" t="s">
        <v>4923</v>
      </c>
      <c r="U126" t="s">
        <v>4924</v>
      </c>
      <c r="V126" t="s">
        <v>5616</v>
      </c>
      <c r="W126" t="s">
        <v>3667</v>
      </c>
      <c r="X126">
        <v>100</v>
      </c>
    </row>
    <row r="127" spans="1:24" x14ac:dyDescent="0.25">
      <c r="A127" t="s">
        <v>4910</v>
      </c>
      <c r="B127" t="s">
        <v>5560</v>
      </c>
      <c r="C127" t="s">
        <v>5561</v>
      </c>
      <c r="D127" t="s">
        <v>13</v>
      </c>
      <c r="E127" t="s">
        <v>4913</v>
      </c>
      <c r="F127" t="s">
        <v>3524</v>
      </c>
      <c r="G127">
        <f>IF(K127="Pick-up","PICKUPS",IF(K127="Staff drop-off","STAFF_DROPOFF",IF(K127="Replacements","REPLACEMENT",IF(K127="Central Stores Dispatch","CENTRAL STORES DISPATCH",IFNA(IFNA(VLOOKUP(F127,'Raw Platform Nov 4-6 2025'!C:C,1,FALSE),VLOOKUP(F127,'Raw Platform Nov 4-6 2025'!D:D,1,FALSE)),IFNA(VLOOKUP(F127,'Glovo Raw Nov 4-6 2025'!B:B,1,FALSE),"Not Matched"))))))</f>
      </c>
      <c r="H127">
        <f>COUNTIF(F:F,F127)</f>
      </c>
      <c r="I127" t="s">
        <v>5617</v>
      </c>
      <c r="J127" t="s">
        <v>4915</v>
      </c>
      <c r="K127" t="s">
        <v>4916</v>
      </c>
      <c r="L127" t="s">
        <v>5618</v>
      </c>
      <c r="M127" t="s">
        <v>5619</v>
      </c>
      <c r="N127" t="s">
        <v>5620</v>
      </c>
      <c r="O127" t="s">
        <v>4949</v>
      </c>
      <c r="P127" t="s">
        <v>4943</v>
      </c>
      <c r="Q127">
        <v>1178</v>
      </c>
      <c r="R127" t="s">
        <v>5118</v>
      </c>
      <c r="S127" t="s">
        <v>12</v>
      </c>
      <c r="T127" t="s">
        <v>4923</v>
      </c>
      <c r="U127" t="s">
        <v>4924</v>
      </c>
      <c r="V127" t="s">
        <v>5621</v>
      </c>
      <c r="W127" t="s">
        <v>3667</v>
      </c>
      <c r="X127">
        <v>106.9</v>
      </c>
    </row>
    <row r="128" spans="1:24" x14ac:dyDescent="0.25">
      <c r="A128" t="s">
        <v>4910</v>
      </c>
      <c r="B128" t="s">
        <v>5560</v>
      </c>
      <c r="C128" t="s">
        <v>5561</v>
      </c>
      <c r="D128" t="s">
        <v>13</v>
      </c>
      <c r="E128" t="s">
        <v>4913</v>
      </c>
      <c r="F128" t="s">
        <v>3296</v>
      </c>
      <c r="G128">
        <f>IF(K128="Pick-up","PICKUPS",IF(K128="Staff drop-off","STAFF_DROPOFF",IF(K128="Replacements","REPLACEMENT",IF(K128="Central Stores Dispatch","CENTRAL STORES DISPATCH",IFNA(IFNA(VLOOKUP(F128,'Raw Platform Nov 4-6 2025'!C:C,1,FALSE),VLOOKUP(F128,'Raw Platform Nov 4-6 2025'!D:D,1,FALSE)),IFNA(VLOOKUP(F128,'Glovo Raw Nov 4-6 2025'!B:B,1,FALSE),"Not Matched"))))))</f>
      </c>
      <c r="H128">
        <f>COUNTIF(F:F,F128)</f>
      </c>
      <c r="I128" t="s">
        <v>5622</v>
      </c>
      <c r="J128" t="s">
        <v>4915</v>
      </c>
      <c r="K128" t="s">
        <v>4927</v>
      </c>
      <c r="L128" t="s">
        <v>5623</v>
      </c>
      <c r="M128" t="s">
        <v>5624</v>
      </c>
      <c r="N128" t="s">
        <v>5625</v>
      </c>
      <c r="O128" t="s">
        <v>4949</v>
      </c>
      <c r="P128" t="s">
        <v>4950</v>
      </c>
      <c r="Q128">
        <v>0</v>
      </c>
      <c r="R128" t="s">
        <v>5118</v>
      </c>
      <c r="S128" t="s">
        <v>12</v>
      </c>
      <c r="T128" t="s">
        <v>4923</v>
      </c>
      <c r="U128" t="s">
        <v>4924</v>
      </c>
      <c r="V128" t="s">
        <v>5626</v>
      </c>
      <c r="W128" t="s">
        <v>3667</v>
      </c>
      <c r="X128">
        <v>100</v>
      </c>
    </row>
    <row r="129" spans="1:24" x14ac:dyDescent="0.25">
      <c r="A129" t="s">
        <v>4910</v>
      </c>
      <c r="B129" t="s">
        <v>5560</v>
      </c>
      <c r="C129" t="s">
        <v>5561</v>
      </c>
      <c r="D129" t="s">
        <v>13</v>
      </c>
      <c r="E129" t="s">
        <v>4913</v>
      </c>
      <c r="F129" t="s">
        <v>2592</v>
      </c>
      <c r="G129">
        <f>IF(K129="Pick-up","PICKUPS",IF(K129="Staff drop-off","STAFF_DROPOFF",IF(K129="Replacements","REPLACEMENT",IF(K129="Central Stores Dispatch","CENTRAL STORES DISPATCH",IFNA(IFNA(VLOOKUP(F129,'Raw Platform Nov 4-6 2025'!C:C,1,FALSE),VLOOKUP(F129,'Raw Platform Nov 4-6 2025'!D:D,1,FALSE)),IFNA(VLOOKUP(F129,'Glovo Raw Nov 4-6 2025'!B:B,1,FALSE),"Not Matched"))))))</f>
      </c>
      <c r="H129">
        <f>COUNTIF(F:F,F129)</f>
      </c>
      <c r="I129" t="s">
        <v>5627</v>
      </c>
      <c r="J129" t="s">
        <v>4915</v>
      </c>
      <c r="K129" t="s">
        <v>4927</v>
      </c>
      <c r="L129" t="s">
        <v>5628</v>
      </c>
      <c r="M129" t="s">
        <v>5629</v>
      </c>
      <c r="N129" t="s">
        <v>5630</v>
      </c>
      <c r="O129" t="s">
        <v>37</v>
      </c>
      <c r="P129" t="s">
        <v>5631</v>
      </c>
      <c r="Q129">
        <v>0</v>
      </c>
      <c r="R129" t="s">
        <v>5118</v>
      </c>
      <c r="S129" t="s">
        <v>12</v>
      </c>
      <c r="T129" t="s">
        <v>4923</v>
      </c>
      <c r="U129" t="s">
        <v>4924</v>
      </c>
      <c r="V129" t="s">
        <v>5632</v>
      </c>
      <c r="W129" t="s">
        <v>3667</v>
      </c>
      <c r="X129">
        <v>307</v>
      </c>
    </row>
    <row r="130" spans="1:24" x14ac:dyDescent="0.25">
      <c r="A130" t="s">
        <v>4910</v>
      </c>
      <c r="B130" t="s">
        <v>5560</v>
      </c>
      <c r="C130" t="s">
        <v>5561</v>
      </c>
      <c r="D130" t="s">
        <v>24</v>
      </c>
      <c r="E130" t="s">
        <v>4913</v>
      </c>
      <c r="F130" t="s">
        <v>3549</v>
      </c>
      <c r="G130">
        <f>IF(K130="Pick-up","PICKUPS",IF(K130="Staff drop-off","STAFF_DROPOFF",IF(K130="Replacements","REPLACEMENT",IF(K130="Central Stores Dispatch","CENTRAL STORES DISPATCH",IFNA(IFNA(VLOOKUP(F130,'Raw Platform Nov 4-6 2025'!C:C,1,FALSE),VLOOKUP(F130,'Raw Platform Nov 4-6 2025'!D:D,1,FALSE)),IFNA(VLOOKUP(F130,'Glovo Raw Nov 4-6 2025'!B:B,1,FALSE),"Not Matched"))))))</f>
      </c>
      <c r="H130">
        <f>COUNTIF(F:F,F130)</f>
      </c>
      <c r="I130" t="s">
        <v>5633</v>
      </c>
      <c r="J130" t="s">
        <v>5341</v>
      </c>
      <c r="K130" t="s">
        <v>4927</v>
      </c>
      <c r="L130" t="s">
        <v>5634</v>
      </c>
      <c r="M130" t="s">
        <v>5635</v>
      </c>
      <c r="N130" t="s">
        <v>5195</v>
      </c>
      <c r="O130" t="s">
        <v>77</v>
      </c>
      <c r="P130" t="s">
        <v>5322</v>
      </c>
      <c r="Q130">
        <v>0</v>
      </c>
      <c r="R130" t="s">
        <v>5118</v>
      </c>
      <c r="S130" t="s">
        <v>5136</v>
      </c>
      <c r="T130" t="s">
        <v>4923</v>
      </c>
      <c r="U130" t="s">
        <v>4924</v>
      </c>
      <c r="V130" t="s">
        <v>5636</v>
      </c>
      <c r="W130" t="s">
        <v>3667</v>
      </c>
      <c r="X130">
        <v>189.7</v>
      </c>
    </row>
    <row r="131" spans="1:24" x14ac:dyDescent="0.25">
      <c r="A131" t="s">
        <v>4910</v>
      </c>
      <c r="B131" t="s">
        <v>5560</v>
      </c>
      <c r="C131" t="s">
        <v>5561</v>
      </c>
      <c r="D131" t="s">
        <v>13</v>
      </c>
      <c r="E131" t="s">
        <v>4913</v>
      </c>
      <c r="F131" t="s">
        <v>3128</v>
      </c>
      <c r="G131">
        <f>IF(K131="Pick-up","PICKUPS",IF(K131="Staff drop-off","STAFF_DROPOFF",IF(K131="Replacements","REPLACEMENT",IF(K131="Central Stores Dispatch","CENTRAL STORES DISPATCH",IFNA(IFNA(VLOOKUP(F131,'Raw Platform Nov 4-6 2025'!C:C,1,FALSE),VLOOKUP(F131,'Raw Platform Nov 4-6 2025'!D:D,1,FALSE)),IFNA(VLOOKUP(F131,'Glovo Raw Nov 4-6 2025'!B:B,1,FALSE),"Not Matched"))))))</f>
      </c>
      <c r="H131">
        <f>COUNTIF(F:F,F131)</f>
      </c>
      <c r="I131" t="s">
        <v>5637</v>
      </c>
      <c r="J131" t="s">
        <v>63</v>
      </c>
      <c r="K131" t="s">
        <v>4927</v>
      </c>
      <c r="L131" t="s">
        <v>5638</v>
      </c>
      <c r="M131" t="s">
        <v>5639</v>
      </c>
      <c r="N131" t="s">
        <v>4961</v>
      </c>
      <c r="O131" t="s">
        <v>4962</v>
      </c>
      <c r="P131" t="s">
        <v>4963</v>
      </c>
      <c r="Q131">
        <v>0</v>
      </c>
      <c r="R131" t="s">
        <v>5118</v>
      </c>
      <c r="S131" t="s">
        <v>12</v>
      </c>
      <c r="T131" t="s">
        <v>4923</v>
      </c>
      <c r="U131" t="s">
        <v>4924</v>
      </c>
      <c r="V131" t="s">
        <v>5640</v>
      </c>
      <c r="W131" t="s">
        <v>3667</v>
      </c>
      <c r="X131">
        <v>100</v>
      </c>
    </row>
    <row r="132" spans="1:24" x14ac:dyDescent="0.25">
      <c r="A132" t="s">
        <v>4910</v>
      </c>
      <c r="B132" t="s">
        <v>5560</v>
      </c>
      <c r="C132" t="s">
        <v>5561</v>
      </c>
      <c r="D132" t="s">
        <v>13</v>
      </c>
      <c r="E132" t="s">
        <v>4913</v>
      </c>
      <c r="F132" t="s">
        <v>2810</v>
      </c>
      <c r="G132">
        <f>IF(K132="Pick-up","PICKUPS",IF(K132="Staff drop-off","STAFF_DROPOFF",IF(K132="Replacements","REPLACEMENT",IF(K132="Central Stores Dispatch","CENTRAL STORES DISPATCH",IFNA(IFNA(VLOOKUP(F132,'Raw Platform Nov 4-6 2025'!C:C,1,FALSE),VLOOKUP(F132,'Raw Platform Nov 4-6 2025'!D:D,1,FALSE)),IFNA(VLOOKUP(F132,'Glovo Raw Nov 4-6 2025'!B:B,1,FALSE),"Not Matched"))))))</f>
      </c>
      <c r="H132">
        <f>COUNTIF(F:F,F132)</f>
      </c>
      <c r="I132" t="s">
        <v>5641</v>
      </c>
      <c r="J132" t="s">
        <v>4915</v>
      </c>
      <c r="K132" t="s">
        <v>4927</v>
      </c>
      <c r="L132" t="s">
        <v>5274</v>
      </c>
      <c r="M132" t="s">
        <v>5642</v>
      </c>
      <c r="N132" t="s">
        <v>4973</v>
      </c>
      <c r="O132" t="s">
        <v>123</v>
      </c>
      <c r="P132" t="s">
        <v>4974</v>
      </c>
      <c r="Q132">
        <v>0</v>
      </c>
      <c r="R132" t="s">
        <v>5118</v>
      </c>
      <c r="S132" t="s">
        <v>12</v>
      </c>
      <c r="T132" t="s">
        <v>4923</v>
      </c>
      <c r="U132" t="s">
        <v>4924</v>
      </c>
      <c r="V132" t="s">
        <v>5643</v>
      </c>
      <c r="W132" t="s">
        <v>3667</v>
      </c>
      <c r="X132">
        <v>178.2</v>
      </c>
    </row>
    <row r="133" spans="1:24" x14ac:dyDescent="0.25">
      <c r="A133" t="s">
        <v>4910</v>
      </c>
      <c r="B133" t="s">
        <v>5560</v>
      </c>
      <c r="C133" t="s">
        <v>5561</v>
      </c>
      <c r="D133" t="s">
        <v>13</v>
      </c>
      <c r="E133" t="s">
        <v>4913</v>
      </c>
      <c r="F133" t="s">
        <v>3526</v>
      </c>
      <c r="G133">
        <f>IF(K133="Pick-up","PICKUPS",IF(K133="Staff drop-off","STAFF_DROPOFF",IF(K133="Replacements","REPLACEMENT",IF(K133="Central Stores Dispatch","CENTRAL STORES DISPATCH",IFNA(IFNA(VLOOKUP(F133,'Raw Platform Nov 4-6 2025'!C:C,1,FALSE),VLOOKUP(F133,'Raw Platform Nov 4-6 2025'!D:D,1,FALSE)),IFNA(VLOOKUP(F133,'Glovo Raw Nov 4-6 2025'!B:B,1,FALSE),"Not Matched"))))))</f>
      </c>
      <c r="H133">
        <f>COUNTIF(F:F,F133)</f>
      </c>
      <c r="I133" t="s">
        <v>5644</v>
      </c>
      <c r="J133" t="s">
        <v>4915</v>
      </c>
      <c r="K133" t="s">
        <v>4927</v>
      </c>
      <c r="L133" t="s">
        <v>5645</v>
      </c>
      <c r="M133" t="s">
        <v>5646</v>
      </c>
      <c r="N133" t="s">
        <v>5647</v>
      </c>
      <c r="O133" t="s">
        <v>47</v>
      </c>
      <c r="P133" t="s">
        <v>5128</v>
      </c>
      <c r="Q133">
        <v>0</v>
      </c>
      <c r="R133" t="s">
        <v>5118</v>
      </c>
      <c r="S133" t="s">
        <v>12</v>
      </c>
      <c r="T133" t="s">
        <v>4923</v>
      </c>
      <c r="U133" t="s">
        <v>4924</v>
      </c>
      <c r="V133" t="s">
        <v>5648</v>
      </c>
      <c r="W133" t="s">
        <v>3667</v>
      </c>
      <c r="X133">
        <v>116.1</v>
      </c>
    </row>
    <row r="134" spans="1:24" x14ac:dyDescent="0.25">
      <c r="A134" t="s">
        <v>5130</v>
      </c>
      <c r="B134" t="s">
        <v>5649</v>
      </c>
      <c r="C134" t="s">
        <v>5650</v>
      </c>
      <c r="D134" t="s">
        <v>24</v>
      </c>
      <c r="E134" t="s">
        <v>4913</v>
      </c>
      <c r="F134" t="s">
        <v>915</v>
      </c>
      <c r="G134">
        <f>IF(K134="Pick-up","PICKUPS",IF(K134="Staff drop-off","STAFF_DROPOFF",IF(K134="Replacements","REPLACEMENT",IF(K134="Central Stores Dispatch","CENTRAL STORES DISPATCH",IFNA(IFNA(VLOOKUP(F134,'Raw Platform Nov 4-6 2025'!C:C,1,FALSE),VLOOKUP(F134,'Raw Platform Nov 4-6 2025'!D:D,1,FALSE)),IFNA(VLOOKUP(F134,'Glovo Raw Nov 4-6 2025'!B:B,1,FALSE),"Not Matched"))))))</f>
      </c>
      <c r="H134">
        <f>COUNTIF(F:F,F134)</f>
      </c>
      <c r="I134" t="s">
        <v>5651</v>
      </c>
      <c r="J134" t="s">
        <v>63</v>
      </c>
      <c r="K134" t="s">
        <v>4927</v>
      </c>
      <c r="L134" t="s">
        <v>5652</v>
      </c>
      <c r="M134" t="s">
        <v>5653</v>
      </c>
      <c r="N134" t="s">
        <v>5654</v>
      </c>
      <c r="O134" t="s">
        <v>47</v>
      </c>
      <c r="P134" t="s">
        <v>5019</v>
      </c>
      <c r="Q134">
        <v>0</v>
      </c>
      <c r="R134" t="s">
        <v>5118</v>
      </c>
      <c r="S134" t="s">
        <v>45</v>
      </c>
      <c r="T134" t="s">
        <v>4923</v>
      </c>
      <c r="U134" t="s">
        <v>4924</v>
      </c>
      <c r="V134" t="s">
        <v>5655</v>
      </c>
      <c r="W134" t="s">
        <v>3667</v>
      </c>
      <c r="X134">
        <v>100</v>
      </c>
    </row>
    <row r="135" spans="1:24" x14ac:dyDescent="0.25">
      <c r="A135" t="s">
        <v>5130</v>
      </c>
      <c r="B135" t="s">
        <v>5649</v>
      </c>
      <c r="C135" t="s">
        <v>5650</v>
      </c>
      <c r="D135" t="s">
        <v>24</v>
      </c>
      <c r="E135" t="s">
        <v>4913</v>
      </c>
      <c r="F135" t="s">
        <v>330</v>
      </c>
      <c r="G135">
        <f>IF(K135="Pick-up","PICKUPS",IF(K135="Staff drop-off","STAFF_DROPOFF",IF(K135="Replacements","REPLACEMENT",IF(K135="Central Stores Dispatch","CENTRAL STORES DISPATCH",IFNA(IFNA(VLOOKUP(F135,'Raw Platform Nov 4-6 2025'!C:C,1,FALSE),VLOOKUP(F135,'Raw Platform Nov 4-6 2025'!D:D,1,FALSE)),IFNA(VLOOKUP(F135,'Glovo Raw Nov 4-6 2025'!B:B,1,FALSE),"Not Matched"))))))</f>
      </c>
      <c r="H135">
        <f>COUNTIF(F:F,F135)</f>
      </c>
      <c r="I135" t="s">
        <v>5656</v>
      </c>
      <c r="J135" t="s">
        <v>4915</v>
      </c>
      <c r="K135" t="s">
        <v>4916</v>
      </c>
      <c r="L135" t="s">
        <v>5657</v>
      </c>
      <c r="M135" t="s">
        <v>5658</v>
      </c>
      <c r="N135" t="s">
        <v>5659</v>
      </c>
      <c r="O135" t="s">
        <v>113</v>
      </c>
      <c r="P135" t="s">
        <v>5660</v>
      </c>
      <c r="Q135">
        <v>2052</v>
      </c>
      <c r="R135" t="s">
        <v>5118</v>
      </c>
      <c r="S135" t="s">
        <v>35</v>
      </c>
      <c r="T135" t="s">
        <v>4923</v>
      </c>
      <c r="U135" t="s">
        <v>4924</v>
      </c>
      <c r="V135" t="s">
        <v>5661</v>
      </c>
      <c r="W135" t="s">
        <v>3667</v>
      </c>
      <c r="X135">
        <v>300.1</v>
      </c>
    </row>
    <row r="136" spans="1:24" x14ac:dyDescent="0.25">
      <c r="A136" t="s">
        <v>5231</v>
      </c>
      <c r="B136" t="s">
        <v>5649</v>
      </c>
      <c r="C136" t="s">
        <v>5650</v>
      </c>
      <c r="D136" t="s">
        <v>191</v>
      </c>
      <c r="E136" t="s">
        <v>4913</v>
      </c>
      <c r="F136" t="s">
        <v>1556</v>
      </c>
      <c r="G136">
        <f>IF(K136="Pick-up","PICKUPS",IF(K136="Staff drop-off","STAFF_DROPOFF",IF(K136="Replacements","REPLACEMENT",IF(K136="Central Stores Dispatch","CENTRAL STORES DISPATCH",IFNA(IFNA(VLOOKUP(F136,'Raw Platform Nov 4-6 2025'!C:C,1,FALSE),VLOOKUP(F136,'Raw Platform Nov 4-6 2025'!D:D,1,FALSE)),IFNA(VLOOKUP(F136,'Glovo Raw Nov 4-6 2025'!B:B,1,FALSE),"Not Matched"))))))</f>
      </c>
      <c r="H136">
        <f>COUNTIF(F:F,F136)</f>
      </c>
      <c r="I136" t="s">
        <v>5662</v>
      </c>
      <c r="J136" t="s">
        <v>63</v>
      </c>
      <c r="K136" t="s">
        <v>4927</v>
      </c>
      <c r="L136" t="s">
        <v>5663</v>
      </c>
      <c r="M136" t="s">
        <v>5664</v>
      </c>
      <c r="N136" t="s">
        <v>5665</v>
      </c>
      <c r="O136" t="s">
        <v>16</v>
      </c>
      <c r="P136" t="s">
        <v>5666</v>
      </c>
      <c r="Q136">
        <v>0</v>
      </c>
      <c r="R136" t="s">
        <v>5118</v>
      </c>
      <c r="S136" t="s">
        <v>5184</v>
      </c>
      <c r="T136" t="s">
        <v>4923</v>
      </c>
      <c r="U136" t="s">
        <v>4924</v>
      </c>
      <c r="V136" t="s">
        <v>5667</v>
      </c>
      <c r="W136" t="s">
        <v>3667</v>
      </c>
      <c r="X136">
        <v>309.3</v>
      </c>
    </row>
    <row r="137" spans="1:24" x14ac:dyDescent="0.25">
      <c r="A137" t="s">
        <v>5130</v>
      </c>
      <c r="B137" t="s">
        <v>5649</v>
      </c>
      <c r="C137" t="s">
        <v>5650</v>
      </c>
      <c r="D137" t="s">
        <v>24</v>
      </c>
      <c r="E137" t="s">
        <v>4913</v>
      </c>
      <c r="F137" t="s">
        <v>1500</v>
      </c>
      <c r="G137">
        <f>IF(K137="Pick-up","PICKUPS",IF(K137="Staff drop-off","STAFF_DROPOFF",IF(K137="Replacements","REPLACEMENT",IF(K137="Central Stores Dispatch","CENTRAL STORES DISPATCH",IFNA(IFNA(VLOOKUP(F137,'Raw Platform Nov 4-6 2025'!C:C,1,FALSE),VLOOKUP(F137,'Raw Platform Nov 4-6 2025'!D:D,1,FALSE)),IFNA(VLOOKUP(F137,'Glovo Raw Nov 4-6 2025'!B:B,1,FALSE),"Not Matched"))))))</f>
      </c>
      <c r="H137">
        <f>COUNTIF(F:F,F137)</f>
      </c>
      <c r="I137" t="s">
        <v>5668</v>
      </c>
      <c r="J137" t="s">
        <v>63</v>
      </c>
      <c r="K137" t="s">
        <v>4927</v>
      </c>
      <c r="L137" t="s">
        <v>5669</v>
      </c>
      <c r="M137" t="s">
        <v>5670</v>
      </c>
      <c r="N137" t="s">
        <v>5671</v>
      </c>
      <c r="O137" t="s">
        <v>9</v>
      </c>
      <c r="P137" t="s">
        <v>5672</v>
      </c>
      <c r="Q137">
        <v>0</v>
      </c>
      <c r="R137" t="s">
        <v>5118</v>
      </c>
      <c r="S137" t="s">
        <v>116</v>
      </c>
      <c r="T137" t="s">
        <v>4923</v>
      </c>
      <c r="U137" t="s">
        <v>4924</v>
      </c>
      <c r="V137" t="s">
        <v>5673</v>
      </c>
      <c r="W137" t="s">
        <v>3667</v>
      </c>
      <c r="X137">
        <v>244.9</v>
      </c>
    </row>
    <row r="138" spans="1:24" x14ac:dyDescent="0.25">
      <c r="A138" t="s">
        <v>5130</v>
      </c>
      <c r="B138" t="s">
        <v>5649</v>
      </c>
      <c r="C138" t="s">
        <v>5650</v>
      </c>
      <c r="D138" t="s">
        <v>24</v>
      </c>
      <c r="E138" t="s">
        <v>4913</v>
      </c>
      <c r="F138" t="s">
        <v>2607</v>
      </c>
      <c r="G138">
        <f>IF(K138="Pick-up","PICKUPS",IF(K138="Staff drop-off","STAFF_DROPOFF",IF(K138="Replacements","REPLACEMENT",IF(K138="Central Stores Dispatch","CENTRAL STORES DISPATCH",IFNA(IFNA(VLOOKUP(F138,'Raw Platform Nov 4-6 2025'!C:C,1,FALSE),VLOOKUP(F138,'Raw Platform Nov 4-6 2025'!D:D,1,FALSE)),IFNA(VLOOKUP(F138,'Glovo Raw Nov 4-6 2025'!B:B,1,FALSE),"Not Matched"))))))</f>
      </c>
      <c r="H138">
        <f>COUNTIF(F:F,F138)</f>
      </c>
      <c r="I138" t="s">
        <v>5674</v>
      </c>
      <c r="J138" t="s">
        <v>5028</v>
      </c>
      <c r="K138" t="s">
        <v>4927</v>
      </c>
      <c r="L138" t="s">
        <v>5675</v>
      </c>
      <c r="M138" t="s">
        <v>5676</v>
      </c>
      <c r="N138" t="s">
        <v>5677</v>
      </c>
      <c r="O138" t="s">
        <v>5678</v>
      </c>
      <c r="P138" t="s">
        <v>5679</v>
      </c>
      <c r="Q138">
        <v>0</v>
      </c>
      <c r="R138" t="s">
        <v>5118</v>
      </c>
      <c r="S138" t="s">
        <v>172</v>
      </c>
      <c r="T138" t="s">
        <v>4923</v>
      </c>
      <c r="U138" t="s">
        <v>4924</v>
      </c>
      <c r="V138" t="s">
        <v>5680</v>
      </c>
      <c r="W138" t="s">
        <v>3667</v>
      </c>
      <c r="X138">
        <v>445</v>
      </c>
    </row>
    <row r="139" spans="1:24" x14ac:dyDescent="0.25">
      <c r="A139" t="s">
        <v>5130</v>
      </c>
      <c r="B139" t="s">
        <v>5649</v>
      </c>
      <c r="C139" t="s">
        <v>5650</v>
      </c>
      <c r="D139" t="s">
        <v>24</v>
      </c>
      <c r="E139" t="s">
        <v>4913</v>
      </c>
      <c r="F139" t="s">
        <v>2609</v>
      </c>
      <c r="G139">
        <f>IF(K139="Pick-up","PICKUPS",IF(K139="Staff drop-off","STAFF_DROPOFF",IF(K139="Replacements","REPLACEMENT",IF(K139="Central Stores Dispatch","CENTRAL STORES DISPATCH",IFNA(IFNA(VLOOKUP(F139,'Raw Platform Nov 4-6 2025'!C:C,1,FALSE),VLOOKUP(F139,'Raw Platform Nov 4-6 2025'!D:D,1,FALSE)),IFNA(VLOOKUP(F139,'Glovo Raw Nov 4-6 2025'!B:B,1,FALSE),"Not Matched"))))))</f>
      </c>
      <c r="H139">
        <f>COUNTIF(F:F,F139)</f>
      </c>
      <c r="I139" t="s">
        <v>5681</v>
      </c>
      <c r="J139" t="s">
        <v>63</v>
      </c>
      <c r="K139" t="s">
        <v>4916</v>
      </c>
      <c r="L139" t="s">
        <v>5682</v>
      </c>
      <c r="M139" t="s">
        <v>5683</v>
      </c>
      <c r="N139" t="s">
        <v>5684</v>
      </c>
      <c r="O139" t="s">
        <v>16</v>
      </c>
      <c r="P139" t="s">
        <v>5685</v>
      </c>
      <c r="Q139">
        <v>1209</v>
      </c>
      <c r="R139" t="s">
        <v>5118</v>
      </c>
      <c r="S139" t="s">
        <v>5136</v>
      </c>
      <c r="T139" t="s">
        <v>4923</v>
      </c>
      <c r="U139" t="s">
        <v>4924</v>
      </c>
      <c r="V139" t="s">
        <v>5686</v>
      </c>
      <c r="W139" t="s">
        <v>3667</v>
      </c>
      <c r="X139">
        <v>261</v>
      </c>
    </row>
    <row r="140" spans="1:24" x14ac:dyDescent="0.25">
      <c r="A140" t="s">
        <v>5130</v>
      </c>
      <c r="B140" t="s">
        <v>5649</v>
      </c>
      <c r="C140" t="s">
        <v>5650</v>
      </c>
      <c r="D140" t="s">
        <v>24</v>
      </c>
      <c r="E140" t="s">
        <v>4913</v>
      </c>
      <c r="F140" t="s">
        <v>2874</v>
      </c>
      <c r="G140">
        <f>IF(K140="Pick-up","PICKUPS",IF(K140="Staff drop-off","STAFF_DROPOFF",IF(K140="Replacements","REPLACEMENT",IF(K140="Central Stores Dispatch","CENTRAL STORES DISPATCH",IFNA(IFNA(VLOOKUP(F140,'Raw Platform Nov 4-6 2025'!C:C,1,FALSE),VLOOKUP(F140,'Raw Platform Nov 4-6 2025'!D:D,1,FALSE)),IFNA(VLOOKUP(F140,'Glovo Raw Nov 4-6 2025'!B:B,1,FALSE),"Not Matched"))))))</f>
      </c>
      <c r="H140">
        <f>COUNTIF(F:F,F140)</f>
      </c>
      <c r="I140" t="s">
        <v>5687</v>
      </c>
      <c r="J140" t="s">
        <v>4915</v>
      </c>
      <c r="K140" t="s">
        <v>4916</v>
      </c>
      <c r="L140" t="s">
        <v>5688</v>
      </c>
      <c r="M140" t="s">
        <v>5689</v>
      </c>
      <c r="N140" t="s">
        <v>5690</v>
      </c>
      <c r="O140" t="s">
        <v>100</v>
      </c>
      <c r="P140" t="s">
        <v>5510</v>
      </c>
      <c r="Q140">
        <v>1504</v>
      </c>
      <c r="R140" t="s">
        <v>5118</v>
      </c>
      <c r="S140" t="s">
        <v>172</v>
      </c>
      <c r="T140" t="s">
        <v>4923</v>
      </c>
      <c r="U140" t="s">
        <v>4924</v>
      </c>
      <c r="V140" t="s">
        <v>5691</v>
      </c>
      <c r="W140" t="s">
        <v>3667</v>
      </c>
      <c r="X140">
        <v>196.6</v>
      </c>
    </row>
    <row r="141" spans="1:24" x14ac:dyDescent="0.25">
      <c r="A141" t="s">
        <v>5231</v>
      </c>
      <c r="B141" t="s">
        <v>5692</v>
      </c>
      <c r="C141" t="s">
        <v>5693</v>
      </c>
      <c r="D141" t="s">
        <v>191</v>
      </c>
      <c r="E141" t="s">
        <v>4913</v>
      </c>
      <c r="F141" t="s">
        <v>916</v>
      </c>
      <c r="G141">
        <f>IF(K141="Pick-up","PICKUPS",IF(K141="Staff drop-off","STAFF_DROPOFF",IF(K141="Replacements","REPLACEMENT",IF(K141="Central Stores Dispatch","CENTRAL STORES DISPATCH",IFNA(IFNA(VLOOKUP(F141,'Raw Platform Nov 4-6 2025'!C:C,1,FALSE),VLOOKUP(F141,'Raw Platform Nov 4-6 2025'!D:D,1,FALSE)),IFNA(VLOOKUP(F141,'Glovo Raw Nov 4-6 2025'!B:B,1,FALSE),"Not Matched"))))))</f>
      </c>
      <c r="H141">
        <f>COUNTIF(F:F,F141)</f>
      </c>
      <c r="I141" t="s">
        <v>5694</v>
      </c>
      <c r="J141" t="s">
        <v>4915</v>
      </c>
      <c r="K141" t="s">
        <v>4927</v>
      </c>
      <c r="L141" t="s">
        <v>5695</v>
      </c>
      <c r="M141" t="s">
        <v>5696</v>
      </c>
      <c r="N141" t="s">
        <v>5697</v>
      </c>
      <c r="O141" t="s">
        <v>77</v>
      </c>
      <c r="P141" t="s">
        <v>5698</v>
      </c>
      <c r="Q141">
        <v>0</v>
      </c>
      <c r="R141" t="s">
        <v>5118</v>
      </c>
      <c r="S141" t="s">
        <v>5699</v>
      </c>
      <c r="T141" t="s">
        <v>4923</v>
      </c>
      <c r="U141" t="s">
        <v>4924</v>
      </c>
      <c r="V141" t="s">
        <v>5700</v>
      </c>
      <c r="W141" t="s">
        <v>3667</v>
      </c>
      <c r="X141">
        <v>173.6</v>
      </c>
    </row>
    <row r="142" spans="1:24" x14ac:dyDescent="0.25">
      <c r="A142" t="s">
        <v>5130</v>
      </c>
      <c r="B142" t="s">
        <v>5692</v>
      </c>
      <c r="C142" t="s">
        <v>5693</v>
      </c>
      <c r="D142" t="s">
        <v>24</v>
      </c>
      <c r="E142" t="s">
        <v>4913</v>
      </c>
      <c r="F142" t="s">
        <v>2140</v>
      </c>
      <c r="G142">
        <f>IF(K142="Pick-up","PICKUPS",IF(K142="Staff drop-off","STAFF_DROPOFF",IF(K142="Replacements","REPLACEMENT",IF(K142="Central Stores Dispatch","CENTRAL STORES DISPATCH",IFNA(IFNA(VLOOKUP(F142,'Raw Platform Nov 4-6 2025'!C:C,1,FALSE),VLOOKUP(F142,'Raw Platform Nov 4-6 2025'!D:D,1,FALSE)),IFNA(VLOOKUP(F142,'Glovo Raw Nov 4-6 2025'!B:B,1,FALSE),"Not Matched"))))))</f>
      </c>
      <c r="H142">
        <f>COUNTIF(F:F,F142)</f>
      </c>
      <c r="I142" t="s">
        <v>5701</v>
      </c>
      <c r="J142" t="s">
        <v>4915</v>
      </c>
      <c r="K142" t="s">
        <v>4916</v>
      </c>
      <c r="L142" t="s">
        <v>5702</v>
      </c>
      <c r="M142" t="s">
        <v>5703</v>
      </c>
      <c r="N142" t="s">
        <v>5704</v>
      </c>
      <c r="O142" t="s">
        <v>5469</v>
      </c>
      <c r="P142" t="s">
        <v>9</v>
      </c>
      <c r="Q142">
        <v>1262</v>
      </c>
      <c r="R142" t="s">
        <v>5118</v>
      </c>
      <c r="S142" t="s">
        <v>116</v>
      </c>
      <c r="T142" t="s">
        <v>4923</v>
      </c>
      <c r="U142" t="s">
        <v>4924</v>
      </c>
      <c r="V142" t="s">
        <v>5705</v>
      </c>
      <c r="W142" t="s">
        <v>3667</v>
      </c>
      <c r="X142">
        <v>341.5</v>
      </c>
    </row>
    <row r="143" spans="1:24" x14ac:dyDescent="0.25">
      <c r="A143" t="s">
        <v>4932</v>
      </c>
      <c r="B143" t="s">
        <v>5692</v>
      </c>
      <c r="C143" t="s">
        <v>5693</v>
      </c>
      <c r="D143" t="s">
        <v>13</v>
      </c>
      <c r="E143" t="s">
        <v>4913</v>
      </c>
      <c r="F143" t="s">
        <v>1853</v>
      </c>
      <c r="G143">
        <f>IF(K143="Pick-up","PICKUPS",IF(K143="Staff drop-off","STAFF_DROPOFF",IF(K143="Replacements","REPLACEMENT",IF(K143="Central Stores Dispatch","CENTRAL STORES DISPATCH",IFNA(IFNA(VLOOKUP(F143,'Raw Platform Nov 4-6 2025'!C:C,1,FALSE),VLOOKUP(F143,'Raw Platform Nov 4-6 2025'!D:D,1,FALSE)),IFNA(VLOOKUP(F143,'Glovo Raw Nov 4-6 2025'!B:B,1,FALSE),"Not Matched"))))))</f>
      </c>
      <c r="H143">
        <f>COUNTIF(F:F,F143)</f>
      </c>
      <c r="I143" t="s">
        <v>5706</v>
      </c>
      <c r="J143" t="s">
        <v>4915</v>
      </c>
      <c r="K143" t="s">
        <v>4927</v>
      </c>
      <c r="L143" t="s">
        <v>5707</v>
      </c>
      <c r="M143" t="s">
        <v>5708</v>
      </c>
      <c r="N143" t="s">
        <v>5709</v>
      </c>
      <c r="O143" t="s">
        <v>9</v>
      </c>
      <c r="P143" t="s">
        <v>5213</v>
      </c>
      <c r="Q143">
        <v>0</v>
      </c>
      <c r="R143" t="s">
        <v>5118</v>
      </c>
      <c r="S143" t="s">
        <v>29</v>
      </c>
      <c r="T143" t="s">
        <v>4923</v>
      </c>
      <c r="U143" t="s">
        <v>4924</v>
      </c>
      <c r="V143" t="s">
        <v>5710</v>
      </c>
      <c r="W143" t="s">
        <v>3667</v>
      </c>
      <c r="X143">
        <v>215</v>
      </c>
    </row>
    <row r="144" spans="1:24" x14ac:dyDescent="0.25">
      <c r="A144" t="s">
        <v>5130</v>
      </c>
      <c r="B144" t="s">
        <v>5692</v>
      </c>
      <c r="C144" t="s">
        <v>5693</v>
      </c>
      <c r="D144" t="s">
        <v>24</v>
      </c>
      <c r="E144" t="s">
        <v>4913</v>
      </c>
      <c r="F144" t="s">
        <v>1713</v>
      </c>
      <c r="G144">
        <f>IF(K144="Pick-up","PICKUPS",IF(K144="Staff drop-off","STAFF_DROPOFF",IF(K144="Replacements","REPLACEMENT",IF(K144="Central Stores Dispatch","CENTRAL STORES DISPATCH",IFNA(IFNA(VLOOKUP(F144,'Raw Platform Nov 4-6 2025'!C:C,1,FALSE),VLOOKUP(F144,'Raw Platform Nov 4-6 2025'!D:D,1,FALSE)),IFNA(VLOOKUP(F144,'Glovo Raw Nov 4-6 2025'!B:B,1,FALSE),"Not Matched"))))))</f>
      </c>
      <c r="H144">
        <f>COUNTIF(F:F,F144)</f>
      </c>
      <c r="I144" t="s">
        <v>5711</v>
      </c>
      <c r="J144" t="s">
        <v>4915</v>
      </c>
      <c r="K144" t="s">
        <v>4916</v>
      </c>
      <c r="L144" t="s">
        <v>5712</v>
      </c>
      <c r="M144" t="s">
        <v>5713</v>
      </c>
      <c r="N144" t="s">
        <v>5714</v>
      </c>
      <c r="O144" t="s">
        <v>4949</v>
      </c>
      <c r="P144" t="s">
        <v>4984</v>
      </c>
      <c r="Q144">
        <v>1460</v>
      </c>
      <c r="R144" t="s">
        <v>5118</v>
      </c>
      <c r="S144" t="s">
        <v>116</v>
      </c>
      <c r="T144" t="s">
        <v>4923</v>
      </c>
      <c r="U144" t="s">
        <v>4924</v>
      </c>
      <c r="V144" t="s">
        <v>5715</v>
      </c>
      <c r="W144" t="s">
        <v>3667</v>
      </c>
      <c r="X144">
        <v>100</v>
      </c>
    </row>
    <row r="145" spans="1:24" x14ac:dyDescent="0.25">
      <c r="A145" t="s">
        <v>5130</v>
      </c>
      <c r="B145" t="s">
        <v>5692</v>
      </c>
      <c r="C145" t="s">
        <v>5693</v>
      </c>
      <c r="D145" t="s">
        <v>24</v>
      </c>
      <c r="E145" t="s">
        <v>4913</v>
      </c>
      <c r="F145" t="s">
        <v>1876</v>
      </c>
      <c r="G145">
        <f>IF(K145="Pick-up","PICKUPS",IF(K145="Staff drop-off","STAFF_DROPOFF",IF(K145="Replacements","REPLACEMENT",IF(K145="Central Stores Dispatch","CENTRAL STORES DISPATCH",IFNA(IFNA(VLOOKUP(F145,'Raw Platform Nov 4-6 2025'!C:C,1,FALSE),VLOOKUP(F145,'Raw Platform Nov 4-6 2025'!D:D,1,FALSE)),IFNA(VLOOKUP(F145,'Glovo Raw Nov 4-6 2025'!B:B,1,FALSE),"Not Matched"))))))</f>
      </c>
      <c r="H145">
        <f>COUNTIF(F:F,F145)</f>
      </c>
      <c r="I145" t="s">
        <v>5716</v>
      </c>
      <c r="J145" t="s">
        <v>5341</v>
      </c>
      <c r="K145" t="s">
        <v>4916</v>
      </c>
      <c r="L145" t="s">
        <v>5717</v>
      </c>
      <c r="M145" t="s">
        <v>5718</v>
      </c>
      <c r="N145" t="s">
        <v>5719</v>
      </c>
      <c r="O145" t="s">
        <v>5469</v>
      </c>
      <c r="P145" t="s">
        <v>9</v>
      </c>
      <c r="Q145">
        <v>1840</v>
      </c>
      <c r="R145" t="s">
        <v>5118</v>
      </c>
      <c r="S145" t="s">
        <v>5136</v>
      </c>
      <c r="T145" t="s">
        <v>4923</v>
      </c>
      <c r="U145" t="s">
        <v>4924</v>
      </c>
      <c r="V145" t="s">
        <v>5720</v>
      </c>
      <c r="W145" t="s">
        <v>3667</v>
      </c>
      <c r="X145">
        <v>341.5</v>
      </c>
    </row>
    <row r="146" spans="1:24" x14ac:dyDescent="0.25">
      <c r="A146" t="s">
        <v>5130</v>
      </c>
      <c r="B146" t="s">
        <v>5692</v>
      </c>
      <c r="C146" t="s">
        <v>5693</v>
      </c>
      <c r="D146" t="s">
        <v>24</v>
      </c>
      <c r="E146" t="s">
        <v>4913</v>
      </c>
      <c r="F146" t="s">
        <v>1551</v>
      </c>
      <c r="G146">
        <f>IF(K146="Pick-up","PICKUPS",IF(K146="Staff drop-off","STAFF_DROPOFF",IF(K146="Replacements","REPLACEMENT",IF(K146="Central Stores Dispatch","CENTRAL STORES DISPATCH",IFNA(IFNA(VLOOKUP(F146,'Raw Platform Nov 4-6 2025'!C:C,1,FALSE),VLOOKUP(F146,'Raw Platform Nov 4-6 2025'!D:D,1,FALSE)),IFNA(VLOOKUP(F146,'Glovo Raw Nov 4-6 2025'!B:B,1,FALSE),"Not Matched"))))))</f>
      </c>
      <c r="H146">
        <f>COUNTIF(F:F,F146)</f>
      </c>
      <c r="I146" t="s">
        <v>5721</v>
      </c>
      <c r="J146" t="s">
        <v>63</v>
      </c>
      <c r="K146" t="s">
        <v>4927</v>
      </c>
      <c r="L146" t="s">
        <v>5722</v>
      </c>
      <c r="M146" t="s">
        <v>5723</v>
      </c>
      <c r="N146" t="s">
        <v>5264</v>
      </c>
      <c r="O146" t="s">
        <v>77</v>
      </c>
      <c r="P146" t="s">
        <v>5724</v>
      </c>
      <c r="Q146">
        <v>0</v>
      </c>
      <c r="R146" t="s">
        <v>5118</v>
      </c>
      <c r="S146" t="s">
        <v>116</v>
      </c>
      <c r="T146" t="s">
        <v>4923</v>
      </c>
      <c r="U146" t="s">
        <v>4924</v>
      </c>
      <c r="V146" t="s">
        <v>5725</v>
      </c>
      <c r="W146" t="s">
        <v>3667</v>
      </c>
      <c r="X146">
        <v>258.7</v>
      </c>
    </row>
    <row r="147" spans="1:24" x14ac:dyDescent="0.25">
      <c r="A147" t="s">
        <v>5130</v>
      </c>
      <c r="B147" t="s">
        <v>5692</v>
      </c>
      <c r="C147" t="s">
        <v>5693</v>
      </c>
      <c r="D147" t="s">
        <v>24</v>
      </c>
      <c r="E147" t="s">
        <v>4913</v>
      </c>
      <c r="F147" t="s">
        <v>2342</v>
      </c>
      <c r="G147">
        <f>IF(K147="Pick-up","PICKUPS",IF(K147="Staff drop-off","STAFF_DROPOFF",IF(K147="Replacements","REPLACEMENT",IF(K147="Central Stores Dispatch","CENTRAL STORES DISPATCH",IFNA(IFNA(VLOOKUP(F147,'Raw Platform Nov 4-6 2025'!C:C,1,FALSE),VLOOKUP(F147,'Raw Platform Nov 4-6 2025'!D:D,1,FALSE)),IFNA(VLOOKUP(F147,'Glovo Raw Nov 4-6 2025'!B:B,1,FALSE),"Not Matched"))))))</f>
      </c>
      <c r="H147">
        <f>COUNTIF(F:F,F147)</f>
      </c>
      <c r="I147" t="s">
        <v>5726</v>
      </c>
      <c r="J147" t="s">
        <v>4915</v>
      </c>
      <c r="K147" t="s">
        <v>4916</v>
      </c>
      <c r="L147" t="s">
        <v>5727</v>
      </c>
      <c r="M147" t="s">
        <v>5728</v>
      </c>
      <c r="N147" t="s">
        <v>5729</v>
      </c>
      <c r="O147" t="s">
        <v>5013</v>
      </c>
      <c r="P147" t="s">
        <v>5196</v>
      </c>
      <c r="Q147">
        <v>812</v>
      </c>
      <c r="R147" t="s">
        <v>5118</v>
      </c>
      <c r="S147" t="s">
        <v>172</v>
      </c>
      <c r="T147" t="s">
        <v>4923</v>
      </c>
      <c r="U147" t="s">
        <v>4924</v>
      </c>
      <c r="V147" t="s">
        <v>5730</v>
      </c>
      <c r="W147" t="s">
        <v>3667</v>
      </c>
      <c r="X147">
        <v>100</v>
      </c>
    </row>
    <row r="148" spans="1:24" x14ac:dyDescent="0.25">
      <c r="A148" t="s">
        <v>5130</v>
      </c>
      <c r="B148" t="s">
        <v>5692</v>
      </c>
      <c r="C148" t="s">
        <v>5693</v>
      </c>
      <c r="D148" t="s">
        <v>24</v>
      </c>
      <c r="E148" t="s">
        <v>4913</v>
      </c>
      <c r="F148" t="s">
        <v>2450</v>
      </c>
      <c r="G148">
        <f>IF(K148="Pick-up","PICKUPS",IF(K148="Staff drop-off","STAFF_DROPOFF",IF(K148="Replacements","REPLACEMENT",IF(K148="Central Stores Dispatch","CENTRAL STORES DISPATCH",IFNA(IFNA(VLOOKUP(F148,'Raw Platform Nov 4-6 2025'!C:C,1,FALSE),VLOOKUP(F148,'Raw Platform Nov 4-6 2025'!D:D,1,FALSE)),IFNA(VLOOKUP(F148,'Glovo Raw Nov 4-6 2025'!B:B,1,FALSE),"Not Matched"))))))</f>
      </c>
      <c r="H148">
        <f>COUNTIF(F:F,F148)</f>
      </c>
      <c r="I148" t="s">
        <v>5731</v>
      </c>
      <c r="J148" t="s">
        <v>5341</v>
      </c>
      <c r="K148" t="s">
        <v>4927</v>
      </c>
      <c r="L148" t="s">
        <v>5732</v>
      </c>
      <c r="M148" t="s">
        <v>5733</v>
      </c>
      <c r="N148" t="s">
        <v>5734</v>
      </c>
      <c r="O148" t="s">
        <v>26</v>
      </c>
      <c r="P148" t="s">
        <v>5735</v>
      </c>
      <c r="Q148">
        <v>0</v>
      </c>
      <c r="R148" t="s">
        <v>5118</v>
      </c>
      <c r="S148" t="s">
        <v>5136</v>
      </c>
      <c r="T148" t="s">
        <v>4923</v>
      </c>
      <c r="U148" t="s">
        <v>4924</v>
      </c>
      <c r="V148" t="s">
        <v>5736</v>
      </c>
      <c r="W148" t="s">
        <v>3667</v>
      </c>
      <c r="X148">
        <v>251.8</v>
      </c>
    </row>
    <row r="149" spans="1:24" x14ac:dyDescent="0.25">
      <c r="A149" t="s">
        <v>5231</v>
      </c>
      <c r="B149" t="s">
        <v>5692</v>
      </c>
      <c r="C149" t="s">
        <v>5693</v>
      </c>
      <c r="D149" t="s">
        <v>191</v>
      </c>
      <c r="E149" t="s">
        <v>4913</v>
      </c>
      <c r="F149" t="s">
        <v>3166</v>
      </c>
      <c r="G149">
        <f>IF(K149="Pick-up","PICKUPS",IF(K149="Staff drop-off","STAFF_DROPOFF",IF(K149="Replacements","REPLACEMENT",IF(K149="Central Stores Dispatch","CENTRAL STORES DISPATCH",IFNA(IFNA(VLOOKUP(F149,'Raw Platform Nov 4-6 2025'!C:C,1,FALSE),VLOOKUP(F149,'Raw Platform Nov 4-6 2025'!D:D,1,FALSE)),IFNA(VLOOKUP(F149,'Glovo Raw Nov 4-6 2025'!B:B,1,FALSE),"Not Matched"))))))</f>
      </c>
      <c r="H149">
        <f>COUNTIF(F:F,F149)</f>
      </c>
      <c r="I149" t="s">
        <v>5737</v>
      </c>
      <c r="J149" t="s">
        <v>63</v>
      </c>
      <c r="K149" t="s">
        <v>4927</v>
      </c>
      <c r="L149" t="s">
        <v>5738</v>
      </c>
      <c r="M149" t="s">
        <v>5739</v>
      </c>
      <c r="N149" t="s">
        <v>5740</v>
      </c>
      <c r="O149" t="s">
        <v>47</v>
      </c>
      <c r="P149" t="s">
        <v>4950</v>
      </c>
      <c r="Q149">
        <v>0</v>
      </c>
      <c r="R149" t="s">
        <v>5118</v>
      </c>
      <c r="S149" t="s">
        <v>5184</v>
      </c>
      <c r="T149" t="s">
        <v>4923</v>
      </c>
      <c r="U149" t="s">
        <v>4924</v>
      </c>
      <c r="V149" t="s">
        <v>5741</v>
      </c>
      <c r="W149" t="s">
        <v>3667</v>
      </c>
      <c r="X149">
        <v>100</v>
      </c>
    </row>
    <row r="150" spans="1:24" x14ac:dyDescent="0.25">
      <c r="A150" t="s">
        <v>5231</v>
      </c>
      <c r="B150" t="s">
        <v>5692</v>
      </c>
      <c r="C150" t="s">
        <v>5693</v>
      </c>
      <c r="D150" t="s">
        <v>191</v>
      </c>
      <c r="E150" t="s">
        <v>4913</v>
      </c>
      <c r="F150" t="s">
        <v>2826</v>
      </c>
      <c r="G150">
        <f>IF(K150="Pick-up","PICKUPS",IF(K150="Staff drop-off","STAFF_DROPOFF",IF(K150="Replacements","REPLACEMENT",IF(K150="Central Stores Dispatch","CENTRAL STORES DISPATCH",IFNA(IFNA(VLOOKUP(F150,'Raw Platform Nov 4-6 2025'!C:C,1,FALSE),VLOOKUP(F150,'Raw Platform Nov 4-6 2025'!D:D,1,FALSE)),IFNA(VLOOKUP(F150,'Glovo Raw Nov 4-6 2025'!B:B,1,FALSE),"Not Matched"))))))</f>
      </c>
      <c r="H150">
        <f>COUNTIF(F:F,F150)</f>
      </c>
      <c r="I150" t="s">
        <v>5742</v>
      </c>
      <c r="J150" t="s">
        <v>4915</v>
      </c>
      <c r="K150" t="s">
        <v>4927</v>
      </c>
      <c r="L150" t="s">
        <v>5743</v>
      </c>
      <c r="M150" t="s">
        <v>5744</v>
      </c>
      <c r="N150" t="s">
        <v>5709</v>
      </c>
      <c r="O150" t="s">
        <v>9</v>
      </c>
      <c r="P150" t="s">
        <v>4949</v>
      </c>
      <c r="Q150">
        <v>0</v>
      </c>
      <c r="R150" t="s">
        <v>5118</v>
      </c>
      <c r="S150" t="s">
        <v>5184</v>
      </c>
      <c r="T150" t="s">
        <v>4923</v>
      </c>
      <c r="U150" t="s">
        <v>4924</v>
      </c>
      <c r="V150" t="s">
        <v>5745</v>
      </c>
      <c r="W150" t="s">
        <v>3667</v>
      </c>
      <c r="X150">
        <v>157.5</v>
      </c>
    </row>
    <row r="151" spans="1:24" x14ac:dyDescent="0.25">
      <c r="A151" t="s">
        <v>5130</v>
      </c>
      <c r="B151" t="s">
        <v>5692</v>
      </c>
      <c r="C151" t="s">
        <v>5693</v>
      </c>
      <c r="D151" t="s">
        <v>24</v>
      </c>
      <c r="E151" t="s">
        <v>4913</v>
      </c>
      <c r="F151" t="s">
        <v>3410</v>
      </c>
      <c r="G151">
        <f>IF(K151="Pick-up","PICKUPS",IF(K151="Staff drop-off","STAFF_DROPOFF",IF(K151="Replacements","REPLACEMENT",IF(K151="Central Stores Dispatch","CENTRAL STORES DISPATCH",IFNA(IFNA(VLOOKUP(F151,'Raw Platform Nov 4-6 2025'!C:C,1,FALSE),VLOOKUP(F151,'Raw Platform Nov 4-6 2025'!D:D,1,FALSE)),IFNA(VLOOKUP(F151,'Glovo Raw Nov 4-6 2025'!B:B,1,FALSE),"Not Matched"))))))</f>
      </c>
      <c r="H151">
        <f>COUNTIF(F:F,F151)</f>
      </c>
      <c r="I151" t="s">
        <v>5746</v>
      </c>
      <c r="J151" t="s">
        <v>4915</v>
      </c>
      <c r="K151" t="s">
        <v>4927</v>
      </c>
      <c r="L151" t="s">
        <v>5747</v>
      </c>
      <c r="M151" t="s">
        <v>5748</v>
      </c>
      <c r="N151" t="s">
        <v>5749</v>
      </c>
      <c r="O151" t="s">
        <v>47</v>
      </c>
      <c r="P151" t="s">
        <v>5572</v>
      </c>
      <c r="Q151">
        <v>0</v>
      </c>
      <c r="R151" t="s">
        <v>5118</v>
      </c>
      <c r="S151" t="s">
        <v>35</v>
      </c>
      <c r="T151" t="s">
        <v>4923</v>
      </c>
      <c r="U151" t="s">
        <v>4924</v>
      </c>
      <c r="V151" t="s">
        <v>5750</v>
      </c>
      <c r="W151" t="s">
        <v>3667</v>
      </c>
      <c r="X151">
        <v>125.3</v>
      </c>
    </row>
    <row r="152" spans="1:24" x14ac:dyDescent="0.25">
      <c r="A152" t="s">
        <v>5130</v>
      </c>
      <c r="B152" t="s">
        <v>5692</v>
      </c>
      <c r="C152" t="s">
        <v>5693</v>
      </c>
      <c r="D152" t="s">
        <v>24</v>
      </c>
      <c r="E152" t="s">
        <v>4913</v>
      </c>
      <c r="F152" t="s">
        <v>3419</v>
      </c>
      <c r="G152">
        <f>IF(K152="Pick-up","PICKUPS",IF(K152="Staff drop-off","STAFF_DROPOFF",IF(K152="Replacements","REPLACEMENT",IF(K152="Central Stores Dispatch","CENTRAL STORES DISPATCH",IFNA(IFNA(VLOOKUP(F152,'Raw Platform Nov 4-6 2025'!C:C,1,FALSE),VLOOKUP(F152,'Raw Platform Nov 4-6 2025'!D:D,1,FALSE)),IFNA(VLOOKUP(F152,'Glovo Raw Nov 4-6 2025'!B:B,1,FALSE),"Not Matched"))))))</f>
      </c>
      <c r="H152">
        <f>COUNTIF(F:F,F152)</f>
      </c>
      <c r="I152" t="s">
        <v>5751</v>
      </c>
      <c r="J152" t="s">
        <v>4915</v>
      </c>
      <c r="K152" t="s">
        <v>4927</v>
      </c>
      <c r="L152" t="s">
        <v>5752</v>
      </c>
      <c r="M152" t="s">
        <v>5753</v>
      </c>
      <c r="N152" t="s">
        <v>5754</v>
      </c>
      <c r="O152" t="s">
        <v>2009</v>
      </c>
      <c r="P152" t="s">
        <v>5019</v>
      </c>
      <c r="Q152">
        <v>0</v>
      </c>
      <c r="R152" t="s">
        <v>5118</v>
      </c>
      <c r="S152" t="s">
        <v>45</v>
      </c>
      <c r="T152" t="s">
        <v>4923</v>
      </c>
      <c r="U152" t="s">
        <v>4924</v>
      </c>
      <c r="V152" t="s">
        <v>5755</v>
      </c>
      <c r="W152" t="s">
        <v>3667</v>
      </c>
      <c r="X152">
        <v>100</v>
      </c>
    </row>
    <row r="153" spans="1:24" x14ac:dyDescent="0.25">
      <c r="A153" t="s">
        <v>5231</v>
      </c>
      <c r="B153" t="s">
        <v>5692</v>
      </c>
      <c r="C153" t="s">
        <v>5693</v>
      </c>
      <c r="D153" t="s">
        <v>191</v>
      </c>
      <c r="E153" t="s">
        <v>4913</v>
      </c>
      <c r="F153" t="s">
        <v>2967</v>
      </c>
      <c r="G153">
        <f>IF(K153="Pick-up","PICKUPS",IF(K153="Staff drop-off","STAFF_DROPOFF",IF(K153="Replacements","REPLACEMENT",IF(K153="Central Stores Dispatch","CENTRAL STORES DISPATCH",IFNA(IFNA(VLOOKUP(F153,'Raw Platform Nov 4-6 2025'!C:C,1,FALSE),VLOOKUP(F153,'Raw Platform Nov 4-6 2025'!D:D,1,FALSE)),IFNA(VLOOKUP(F153,'Glovo Raw Nov 4-6 2025'!B:B,1,FALSE),"Not Matched"))))))</f>
      </c>
      <c r="H153">
        <f>COUNTIF(F:F,F153)</f>
      </c>
      <c r="I153" t="s">
        <v>5756</v>
      </c>
      <c r="J153" t="s">
        <v>4915</v>
      </c>
      <c r="K153" t="s">
        <v>4927</v>
      </c>
      <c r="L153" t="s">
        <v>5757</v>
      </c>
      <c r="M153" t="s">
        <v>5758</v>
      </c>
      <c r="N153" t="s">
        <v>5759</v>
      </c>
      <c r="O153" t="s">
        <v>53</v>
      </c>
      <c r="P153" t="s">
        <v>5404</v>
      </c>
      <c r="Q153">
        <v>0</v>
      </c>
      <c r="R153" t="s">
        <v>5118</v>
      </c>
      <c r="S153" t="s">
        <v>5184</v>
      </c>
      <c r="T153" t="s">
        <v>4923</v>
      </c>
      <c r="U153" t="s">
        <v>4924</v>
      </c>
      <c r="V153" t="s">
        <v>5760</v>
      </c>
      <c r="W153" t="s">
        <v>3667</v>
      </c>
      <c r="X153">
        <v>123</v>
      </c>
    </row>
    <row r="154" spans="1:24" x14ac:dyDescent="0.25">
      <c r="A154" t="s">
        <v>5130</v>
      </c>
      <c r="B154" t="s">
        <v>5692</v>
      </c>
      <c r="C154" t="s">
        <v>5693</v>
      </c>
      <c r="D154" t="s">
        <v>24</v>
      </c>
      <c r="E154" t="s">
        <v>4913</v>
      </c>
      <c r="F154" t="s">
        <v>2731</v>
      </c>
      <c r="G154">
        <f>IF(K154="Pick-up","PICKUPS",IF(K154="Staff drop-off","STAFF_DROPOFF",IF(K154="Replacements","REPLACEMENT",IF(K154="Central Stores Dispatch","CENTRAL STORES DISPATCH",IFNA(IFNA(VLOOKUP(F154,'Raw Platform Nov 4-6 2025'!C:C,1,FALSE),VLOOKUP(F154,'Raw Platform Nov 4-6 2025'!D:D,1,FALSE)),IFNA(VLOOKUP(F154,'Glovo Raw Nov 4-6 2025'!B:B,1,FALSE),"Not Matched"))))))</f>
      </c>
      <c r="H154">
        <f>COUNTIF(F:F,F154)</f>
      </c>
      <c r="I154" t="s">
        <v>5761</v>
      </c>
      <c r="J154" t="s">
        <v>4915</v>
      </c>
      <c r="K154" t="s">
        <v>4927</v>
      </c>
      <c r="L154" t="s">
        <v>5762</v>
      </c>
      <c r="M154" t="s">
        <v>5763</v>
      </c>
      <c r="N154" t="s">
        <v>5764</v>
      </c>
      <c r="O154" t="s">
        <v>4956</v>
      </c>
      <c r="P154" t="s">
        <v>5056</v>
      </c>
      <c r="Q154">
        <v>0</v>
      </c>
      <c r="R154" t="s">
        <v>5118</v>
      </c>
      <c r="S154" t="s">
        <v>172</v>
      </c>
      <c r="T154" t="s">
        <v>4923</v>
      </c>
      <c r="U154" t="s">
        <v>4924</v>
      </c>
      <c r="V154" t="s">
        <v>5765</v>
      </c>
      <c r="W154" t="s">
        <v>3667</v>
      </c>
      <c r="X154">
        <v>100</v>
      </c>
    </row>
    <row r="155" spans="1:24" x14ac:dyDescent="0.25">
      <c r="A155" t="s">
        <v>5130</v>
      </c>
      <c r="B155" t="s">
        <v>5692</v>
      </c>
      <c r="C155" t="s">
        <v>5693</v>
      </c>
      <c r="D155" t="s">
        <v>24</v>
      </c>
      <c r="E155" t="s">
        <v>4913</v>
      </c>
      <c r="F155" t="s">
        <v>2701</v>
      </c>
      <c r="G155">
        <f>IF(K155="Pick-up","PICKUPS",IF(K155="Staff drop-off","STAFF_DROPOFF",IF(K155="Replacements","REPLACEMENT",IF(K155="Central Stores Dispatch","CENTRAL STORES DISPATCH",IFNA(IFNA(VLOOKUP(F155,'Raw Platform Nov 4-6 2025'!C:C,1,FALSE),VLOOKUP(F155,'Raw Platform Nov 4-6 2025'!D:D,1,FALSE)),IFNA(VLOOKUP(F155,'Glovo Raw Nov 4-6 2025'!B:B,1,FALSE),"Not Matched"))))))</f>
      </c>
      <c r="H155">
        <f>COUNTIF(F:F,F155)</f>
      </c>
      <c r="I155" t="s">
        <v>5766</v>
      </c>
      <c r="J155" t="s">
        <v>4915</v>
      </c>
      <c r="K155" t="s">
        <v>4927</v>
      </c>
      <c r="L155" t="s">
        <v>5767</v>
      </c>
      <c r="M155" t="s">
        <v>5217</v>
      </c>
      <c r="N155" t="s">
        <v>5768</v>
      </c>
      <c r="O155" t="s">
        <v>9</v>
      </c>
      <c r="P155" t="s">
        <v>5436</v>
      </c>
      <c r="Q155">
        <v>0</v>
      </c>
      <c r="R155" t="s">
        <v>5118</v>
      </c>
      <c r="S155" t="s">
        <v>35</v>
      </c>
      <c r="T155" t="s">
        <v>4923</v>
      </c>
      <c r="U155" t="s">
        <v>4924</v>
      </c>
      <c r="V155" t="s">
        <v>5769</v>
      </c>
      <c r="W155" t="s">
        <v>3667</v>
      </c>
      <c r="X155">
        <v>164.4</v>
      </c>
    </row>
    <row r="156" spans="1:24" x14ac:dyDescent="0.25">
      <c r="A156" t="s">
        <v>5130</v>
      </c>
      <c r="B156" t="s">
        <v>5692</v>
      </c>
      <c r="C156" t="s">
        <v>5693</v>
      </c>
      <c r="D156" t="s">
        <v>24</v>
      </c>
      <c r="E156" t="s">
        <v>4913</v>
      </c>
      <c r="F156" t="s">
        <v>3406</v>
      </c>
      <c r="G156">
        <f>IF(K156="Pick-up","PICKUPS",IF(K156="Staff drop-off","STAFF_DROPOFF",IF(K156="Replacements","REPLACEMENT",IF(K156="Central Stores Dispatch","CENTRAL STORES DISPATCH",IFNA(IFNA(VLOOKUP(F156,'Raw Platform Nov 4-6 2025'!C:C,1,FALSE),VLOOKUP(F156,'Raw Platform Nov 4-6 2025'!D:D,1,FALSE)),IFNA(VLOOKUP(F156,'Glovo Raw Nov 4-6 2025'!B:B,1,FALSE),"Not Matched"))))))</f>
      </c>
      <c r="H156">
        <f>COUNTIF(F:F,F156)</f>
      </c>
      <c r="I156" t="s">
        <v>5770</v>
      </c>
      <c r="J156" t="s">
        <v>4915</v>
      </c>
      <c r="K156" t="s">
        <v>4927</v>
      </c>
      <c r="L156" t="s">
        <v>5771</v>
      </c>
      <c r="M156" t="s">
        <v>5772</v>
      </c>
      <c r="N156" t="s">
        <v>5773</v>
      </c>
      <c r="O156" t="s">
        <v>4962</v>
      </c>
      <c r="P156" t="s">
        <v>5476</v>
      </c>
      <c r="Q156">
        <v>0</v>
      </c>
      <c r="R156" t="s">
        <v>5118</v>
      </c>
      <c r="S156" t="s">
        <v>172</v>
      </c>
      <c r="T156" t="s">
        <v>4923</v>
      </c>
      <c r="U156" t="s">
        <v>4924</v>
      </c>
      <c r="V156" t="s">
        <v>5774</v>
      </c>
      <c r="W156" t="s">
        <v>3667</v>
      </c>
      <c r="X156">
        <v>100</v>
      </c>
    </row>
    <row r="157" spans="1:24" x14ac:dyDescent="0.25">
      <c r="A157" t="s">
        <v>5130</v>
      </c>
      <c r="B157" t="s">
        <v>5692</v>
      </c>
      <c r="C157" t="s">
        <v>5693</v>
      </c>
      <c r="D157" t="s">
        <v>24</v>
      </c>
      <c r="E157" t="s">
        <v>4913</v>
      </c>
      <c r="F157" t="s">
        <v>2707</v>
      </c>
      <c r="G157">
        <f>IF(K157="Pick-up","PICKUPS",IF(K157="Staff drop-off","STAFF_DROPOFF",IF(K157="Replacements","REPLACEMENT",IF(K157="Central Stores Dispatch","CENTRAL STORES DISPATCH",IFNA(IFNA(VLOOKUP(F157,'Raw Platform Nov 4-6 2025'!C:C,1,FALSE),VLOOKUP(F157,'Raw Platform Nov 4-6 2025'!D:D,1,FALSE)),IFNA(VLOOKUP(F157,'Glovo Raw Nov 4-6 2025'!B:B,1,FALSE),"Not Matched"))))))</f>
      </c>
      <c r="H157">
        <f>COUNTIF(F:F,F157)</f>
      </c>
      <c r="I157" t="s">
        <v>5775</v>
      </c>
      <c r="J157" t="s">
        <v>4915</v>
      </c>
      <c r="K157" t="s">
        <v>4916</v>
      </c>
      <c r="L157" t="s">
        <v>5776</v>
      </c>
      <c r="M157" t="s">
        <v>5777</v>
      </c>
      <c r="N157" t="s">
        <v>5778</v>
      </c>
      <c r="O157" t="s">
        <v>47</v>
      </c>
      <c r="P157" t="s">
        <v>5128</v>
      </c>
      <c r="Q157">
        <v>1150</v>
      </c>
      <c r="R157" t="s">
        <v>5118</v>
      </c>
      <c r="S157" t="s">
        <v>116</v>
      </c>
      <c r="T157" t="s">
        <v>4923</v>
      </c>
      <c r="U157" t="s">
        <v>4924</v>
      </c>
      <c r="V157" t="s">
        <v>5779</v>
      </c>
      <c r="W157" t="s">
        <v>3667</v>
      </c>
      <c r="X157">
        <v>116.1</v>
      </c>
    </row>
    <row r="158" spans="1:24" x14ac:dyDescent="0.25">
      <c r="A158" t="s">
        <v>5130</v>
      </c>
      <c r="B158" t="s">
        <v>5692</v>
      </c>
      <c r="C158" t="s">
        <v>5693</v>
      </c>
      <c r="D158" t="s">
        <v>24</v>
      </c>
      <c r="E158" t="s">
        <v>4913</v>
      </c>
      <c r="F158" t="s">
        <v>3387</v>
      </c>
      <c r="G158">
        <f>IF(K158="Pick-up","PICKUPS",IF(K158="Staff drop-off","STAFF_DROPOFF",IF(K158="Replacements","REPLACEMENT",IF(K158="Central Stores Dispatch","CENTRAL STORES DISPATCH",IFNA(IFNA(VLOOKUP(F158,'Raw Platform Nov 4-6 2025'!C:C,1,FALSE),VLOOKUP(F158,'Raw Platform Nov 4-6 2025'!D:D,1,FALSE)),IFNA(VLOOKUP(F158,'Glovo Raw Nov 4-6 2025'!B:B,1,FALSE),"Not Matched"))))))</f>
      </c>
      <c r="H158">
        <f>COUNTIF(F:F,F158)</f>
      </c>
      <c r="I158" t="s">
        <v>5780</v>
      </c>
      <c r="J158" t="s">
        <v>5341</v>
      </c>
      <c r="K158" t="s">
        <v>4916</v>
      </c>
      <c r="L158" t="s">
        <v>5781</v>
      </c>
      <c r="M158" t="s">
        <v>5782</v>
      </c>
      <c r="N158" t="s">
        <v>5729</v>
      </c>
      <c r="O158" t="s">
        <v>5013</v>
      </c>
      <c r="P158" t="s">
        <v>5196</v>
      </c>
      <c r="Q158">
        <v>720</v>
      </c>
      <c r="R158" t="s">
        <v>5118</v>
      </c>
      <c r="S158" t="s">
        <v>116</v>
      </c>
      <c r="T158" t="s">
        <v>4923</v>
      </c>
      <c r="U158" t="s">
        <v>4924</v>
      </c>
      <c r="V158" t="s">
        <v>5783</v>
      </c>
      <c r="W158" t="s">
        <v>3667</v>
      </c>
      <c r="X158">
        <v>100</v>
      </c>
    </row>
    <row r="159" spans="1:24" x14ac:dyDescent="0.25">
      <c r="A159" t="s">
        <v>5176</v>
      </c>
      <c r="B159" t="s">
        <v>5784</v>
      </c>
      <c r="C159" t="s">
        <v>5785</v>
      </c>
      <c r="D159" t="s">
        <v>30</v>
      </c>
      <c r="E159" t="s">
        <v>4913</v>
      </c>
      <c r="F159" t="s">
        <v>2103</v>
      </c>
      <c r="G159">
        <f>IF(K159="Pick-up","PICKUPS",IF(K159="Staff drop-off","STAFF_DROPOFF",IF(K159="Replacements","REPLACEMENT",IF(K159="Central Stores Dispatch","CENTRAL STORES DISPATCH",IFNA(IFNA(VLOOKUP(F159,'Raw Platform Nov 4-6 2025'!C:C,1,FALSE),VLOOKUP(F159,'Raw Platform Nov 4-6 2025'!D:D,1,FALSE)),IFNA(VLOOKUP(F159,'Glovo Raw Nov 4-6 2025'!B:B,1,FALSE),"Not Matched"))))))</f>
      </c>
      <c r="H159">
        <f>COUNTIF(F:F,F159)</f>
      </c>
      <c r="I159" t="s">
        <v>5786</v>
      </c>
      <c r="J159" t="s">
        <v>4915</v>
      </c>
      <c r="K159" t="s">
        <v>4916</v>
      </c>
      <c r="L159" t="s">
        <v>5787</v>
      </c>
      <c r="M159" t="s">
        <v>5788</v>
      </c>
      <c r="N159" t="s">
        <v>5789</v>
      </c>
      <c r="O159" t="s">
        <v>4962</v>
      </c>
      <c r="P159" t="s">
        <v>5097</v>
      </c>
      <c r="Q159">
        <v>132</v>
      </c>
      <c r="R159" t="s">
        <v>4922</v>
      </c>
      <c r="S159" t="s">
        <v>172</v>
      </c>
      <c r="T159" t="s">
        <v>4923</v>
      </c>
      <c r="U159" t="s">
        <v>4924</v>
      </c>
      <c r="V159" t="s">
        <v>5790</v>
      </c>
      <c r="W159" t="s">
        <v>3667</v>
      </c>
      <c r="X159">
        <v>0</v>
      </c>
    </row>
    <row r="160" spans="1:24" x14ac:dyDescent="0.25">
      <c r="A160" t="s">
        <v>5176</v>
      </c>
      <c r="B160" t="s">
        <v>5784</v>
      </c>
      <c r="C160" t="s">
        <v>5785</v>
      </c>
      <c r="D160" t="s">
        <v>30</v>
      </c>
      <c r="E160" t="s">
        <v>4913</v>
      </c>
      <c r="F160" t="s">
        <v>1844</v>
      </c>
      <c r="G160">
        <f>IF(K160="Pick-up","PICKUPS",IF(K160="Staff drop-off","STAFF_DROPOFF",IF(K160="Replacements","REPLACEMENT",IF(K160="Central Stores Dispatch","CENTRAL STORES DISPATCH",IFNA(IFNA(VLOOKUP(F160,'Raw Platform Nov 4-6 2025'!C:C,1,FALSE),VLOOKUP(F160,'Raw Platform Nov 4-6 2025'!D:D,1,FALSE)),IFNA(VLOOKUP(F160,'Glovo Raw Nov 4-6 2025'!B:B,1,FALSE),"Not Matched"))))))</f>
      </c>
      <c r="H160">
        <f>COUNTIF(F:F,F160)</f>
      </c>
      <c r="I160" t="s">
        <v>5791</v>
      </c>
      <c r="J160" t="s">
        <v>4915</v>
      </c>
      <c r="K160" t="s">
        <v>4916</v>
      </c>
      <c r="L160" t="s">
        <v>5792</v>
      </c>
      <c r="M160" t="s">
        <v>5793</v>
      </c>
      <c r="N160" t="s">
        <v>5794</v>
      </c>
      <c r="O160" t="s">
        <v>100</v>
      </c>
      <c r="P160" t="s">
        <v>5795</v>
      </c>
      <c r="Q160">
        <v>1050</v>
      </c>
      <c r="R160" t="s">
        <v>4922</v>
      </c>
      <c r="S160" t="s">
        <v>50</v>
      </c>
      <c r="T160" t="s">
        <v>4923</v>
      </c>
      <c r="U160" t="s">
        <v>4924</v>
      </c>
      <c r="V160" t="s">
        <v>5796</v>
      </c>
      <c r="W160" t="s">
        <v>3667</v>
      </c>
      <c r="X160">
        <v>0</v>
      </c>
    </row>
    <row r="161" spans="1:24" x14ac:dyDescent="0.25">
      <c r="A161" t="s">
        <v>5176</v>
      </c>
      <c r="B161" t="s">
        <v>5784</v>
      </c>
      <c r="C161" t="s">
        <v>5785</v>
      </c>
      <c r="D161" t="s">
        <v>191</v>
      </c>
      <c r="E161" t="s">
        <v>4913</v>
      </c>
      <c r="F161" t="s">
        <v>2002</v>
      </c>
      <c r="G161">
        <f>IF(K161="Pick-up","PICKUPS",IF(K161="Staff drop-off","STAFF_DROPOFF",IF(K161="Replacements","REPLACEMENT",IF(K161="Central Stores Dispatch","CENTRAL STORES DISPATCH",IFNA(IFNA(VLOOKUP(F161,'Raw Platform Nov 4-6 2025'!C:C,1,FALSE),VLOOKUP(F161,'Raw Platform Nov 4-6 2025'!D:D,1,FALSE)),IFNA(VLOOKUP(F161,'Glovo Raw Nov 4-6 2025'!B:B,1,FALSE),"Not Matched"))))))</f>
      </c>
      <c r="H161">
        <f>COUNTIF(F:F,F161)</f>
      </c>
      <c r="I161" t="s">
        <v>5797</v>
      </c>
      <c r="J161" t="s">
        <v>4915</v>
      </c>
      <c r="K161" t="s">
        <v>4927</v>
      </c>
      <c r="L161" t="s">
        <v>5798</v>
      </c>
      <c r="M161" t="s">
        <v>5327</v>
      </c>
      <c r="N161" t="s">
        <v>5799</v>
      </c>
      <c r="O161" t="s">
        <v>91</v>
      </c>
      <c r="P161" t="s">
        <v>5660</v>
      </c>
      <c r="Q161">
        <v>0</v>
      </c>
      <c r="R161" t="s">
        <v>4922</v>
      </c>
      <c r="S161" t="s">
        <v>5184</v>
      </c>
      <c r="T161" t="s">
        <v>4923</v>
      </c>
      <c r="U161" t="s">
        <v>4924</v>
      </c>
      <c r="V161" t="s">
        <v>5800</v>
      </c>
      <c r="W161" t="s">
        <v>3667</v>
      </c>
      <c r="X161">
        <v>0</v>
      </c>
    </row>
    <row r="162" spans="1:24" x14ac:dyDescent="0.25">
      <c r="A162" t="s">
        <v>5176</v>
      </c>
      <c r="B162" t="s">
        <v>5784</v>
      </c>
      <c r="C162" t="s">
        <v>5785</v>
      </c>
      <c r="D162" t="s">
        <v>30</v>
      </c>
      <c r="E162" t="s">
        <v>4913</v>
      </c>
      <c r="F162" t="s">
        <v>1837</v>
      </c>
      <c r="G162">
        <f>IF(K162="Pick-up","PICKUPS",IF(K162="Staff drop-off","STAFF_DROPOFF",IF(K162="Replacements","REPLACEMENT",IF(K162="Central Stores Dispatch","CENTRAL STORES DISPATCH",IFNA(IFNA(VLOOKUP(F162,'Raw Platform Nov 4-6 2025'!C:C,1,FALSE),VLOOKUP(F162,'Raw Platform Nov 4-6 2025'!D:D,1,FALSE)),IFNA(VLOOKUP(F162,'Glovo Raw Nov 4-6 2025'!B:B,1,FALSE),"Not Matched"))))))</f>
      </c>
      <c r="H162">
        <f>COUNTIF(F:F,F162)</f>
      </c>
      <c r="I162" t="s">
        <v>5801</v>
      </c>
      <c r="J162" t="s">
        <v>63</v>
      </c>
      <c r="K162" t="s">
        <v>4927</v>
      </c>
      <c r="L162" t="s">
        <v>5802</v>
      </c>
      <c r="M162" t="s">
        <v>5803</v>
      </c>
      <c r="N162" t="s">
        <v>5804</v>
      </c>
      <c r="O162" t="s">
        <v>73</v>
      </c>
      <c r="P162" t="s">
        <v>5001</v>
      </c>
      <c r="Q162">
        <v>0</v>
      </c>
      <c r="R162" t="s">
        <v>4922</v>
      </c>
      <c r="S162" t="s">
        <v>12</v>
      </c>
      <c r="T162" t="s">
        <v>4923</v>
      </c>
      <c r="U162" t="s">
        <v>4924</v>
      </c>
      <c r="V162" t="s">
        <v>5805</v>
      </c>
      <c r="W162" t="s">
        <v>3667</v>
      </c>
      <c r="X162">
        <v>0</v>
      </c>
    </row>
    <row r="163" spans="1:24" x14ac:dyDescent="0.25">
      <c r="A163" t="s">
        <v>5176</v>
      </c>
      <c r="B163" t="s">
        <v>5784</v>
      </c>
      <c r="C163" t="s">
        <v>5785</v>
      </c>
      <c r="D163" t="s">
        <v>30</v>
      </c>
      <c r="E163" t="s">
        <v>4913</v>
      </c>
      <c r="F163" t="s">
        <v>2054</v>
      </c>
      <c r="G163">
        <f>IF(K163="Pick-up","PICKUPS",IF(K163="Staff drop-off","STAFF_DROPOFF",IF(K163="Replacements","REPLACEMENT",IF(K163="Central Stores Dispatch","CENTRAL STORES DISPATCH",IFNA(IFNA(VLOOKUP(F163,'Raw Platform Nov 4-6 2025'!C:C,1,FALSE),VLOOKUP(F163,'Raw Platform Nov 4-6 2025'!D:D,1,FALSE)),IFNA(VLOOKUP(F163,'Glovo Raw Nov 4-6 2025'!B:B,1,FALSE),"Not Matched"))))))</f>
      </c>
      <c r="H163">
        <f>COUNTIF(F:F,F163)</f>
      </c>
      <c r="I163" t="s">
        <v>5806</v>
      </c>
      <c r="J163" t="s">
        <v>4915</v>
      </c>
      <c r="K163" t="s">
        <v>4927</v>
      </c>
      <c r="L163" t="s">
        <v>5807</v>
      </c>
      <c r="M163" t="s">
        <v>5808</v>
      </c>
      <c r="N163" t="s">
        <v>5809</v>
      </c>
      <c r="O163" t="s">
        <v>4920</v>
      </c>
      <c r="P163" t="s">
        <v>5810</v>
      </c>
      <c r="Q163">
        <v>0</v>
      </c>
      <c r="R163" t="s">
        <v>4922</v>
      </c>
      <c r="S163" t="s">
        <v>29</v>
      </c>
      <c r="T163" t="s">
        <v>4923</v>
      </c>
      <c r="U163" t="s">
        <v>4924</v>
      </c>
      <c r="V163" t="s">
        <v>5811</v>
      </c>
      <c r="W163" t="s">
        <v>3667</v>
      </c>
      <c r="X163">
        <v>0</v>
      </c>
    </row>
    <row r="164" spans="1:24" x14ac:dyDescent="0.25">
      <c r="A164" t="s">
        <v>5176</v>
      </c>
      <c r="B164" t="s">
        <v>5784</v>
      </c>
      <c r="C164" t="s">
        <v>5785</v>
      </c>
      <c r="D164" t="s">
        <v>30</v>
      </c>
      <c r="E164" t="s">
        <v>4913</v>
      </c>
      <c r="F164" t="s">
        <v>2796</v>
      </c>
      <c r="G164">
        <f>IF(K164="Pick-up","PICKUPS",IF(K164="Staff drop-off","STAFF_DROPOFF",IF(K164="Replacements","REPLACEMENT",IF(K164="Central Stores Dispatch","CENTRAL STORES DISPATCH",IFNA(IFNA(VLOOKUP(F164,'Raw Platform Nov 4-6 2025'!C:C,1,FALSE),VLOOKUP(F164,'Raw Platform Nov 4-6 2025'!D:D,1,FALSE)),IFNA(VLOOKUP(F164,'Glovo Raw Nov 4-6 2025'!B:B,1,FALSE),"Not Matched"))))))</f>
      </c>
      <c r="H164">
        <f>COUNTIF(F:F,F164)</f>
      </c>
      <c r="I164" t="s">
        <v>5812</v>
      </c>
      <c r="J164" t="s">
        <v>4915</v>
      </c>
      <c r="K164" t="s">
        <v>4916</v>
      </c>
      <c r="L164" t="s">
        <v>5813</v>
      </c>
      <c r="M164" t="s">
        <v>5814</v>
      </c>
      <c r="N164" t="s">
        <v>5815</v>
      </c>
      <c r="O164" t="s">
        <v>9</v>
      </c>
      <c r="P164" t="s">
        <v>5816</v>
      </c>
      <c r="Q164">
        <v>1620</v>
      </c>
      <c r="R164" t="s">
        <v>4922</v>
      </c>
      <c r="S164" t="s">
        <v>50</v>
      </c>
      <c r="T164" t="s">
        <v>4923</v>
      </c>
      <c r="U164" t="s">
        <v>4924</v>
      </c>
      <c r="V164" t="s">
        <v>5817</v>
      </c>
      <c r="W164" t="s">
        <v>3667</v>
      </c>
      <c r="X164">
        <v>0</v>
      </c>
    </row>
    <row r="165" spans="1:24" x14ac:dyDescent="0.25">
      <c r="A165" t="s">
        <v>5176</v>
      </c>
      <c r="B165" t="s">
        <v>5784</v>
      </c>
      <c r="C165" t="s">
        <v>5785</v>
      </c>
      <c r="D165" t="s">
        <v>30</v>
      </c>
      <c r="E165" t="s">
        <v>4913</v>
      </c>
      <c r="F165" t="s">
        <v>2792</v>
      </c>
      <c r="G165">
        <f>IF(K165="Pick-up","PICKUPS",IF(K165="Staff drop-off","STAFF_DROPOFF",IF(K165="Replacements","REPLACEMENT",IF(K165="Central Stores Dispatch","CENTRAL STORES DISPATCH",IFNA(IFNA(VLOOKUP(F165,'Raw Platform Nov 4-6 2025'!C:C,1,FALSE),VLOOKUP(F165,'Raw Platform Nov 4-6 2025'!D:D,1,FALSE)),IFNA(VLOOKUP(F165,'Glovo Raw Nov 4-6 2025'!B:B,1,FALSE),"Not Matched"))))))</f>
      </c>
      <c r="H165">
        <f>COUNTIF(F:F,F165)</f>
      </c>
      <c r="I165" t="s">
        <v>5818</v>
      </c>
      <c r="J165" t="s">
        <v>4915</v>
      </c>
      <c r="K165" t="s">
        <v>4927</v>
      </c>
      <c r="L165" t="s">
        <v>5819</v>
      </c>
      <c r="M165" t="s">
        <v>5327</v>
      </c>
      <c r="N165" t="s">
        <v>4973</v>
      </c>
      <c r="O165" t="s">
        <v>123</v>
      </c>
      <c r="P165" t="s">
        <v>5820</v>
      </c>
      <c r="Q165">
        <v>0</v>
      </c>
      <c r="R165" t="s">
        <v>4922</v>
      </c>
      <c r="S165" t="s">
        <v>29</v>
      </c>
      <c r="T165" t="s">
        <v>4923</v>
      </c>
      <c r="U165" t="s">
        <v>4924</v>
      </c>
      <c r="V165" t="s">
        <v>5821</v>
      </c>
      <c r="W165" t="s">
        <v>3667</v>
      </c>
      <c r="X165">
        <v>0</v>
      </c>
    </row>
    <row r="166" spans="1:24" x14ac:dyDescent="0.25">
      <c r="A166" t="s">
        <v>5176</v>
      </c>
      <c r="B166" t="s">
        <v>5784</v>
      </c>
      <c r="C166" t="s">
        <v>5785</v>
      </c>
      <c r="D166" t="s">
        <v>30</v>
      </c>
      <c r="E166" t="s">
        <v>4913</v>
      </c>
      <c r="F166" t="s">
        <v>2768</v>
      </c>
      <c r="G166">
        <f>IF(K166="Pick-up","PICKUPS",IF(K166="Staff drop-off","STAFF_DROPOFF",IF(K166="Replacements","REPLACEMENT",IF(K166="Central Stores Dispatch","CENTRAL STORES DISPATCH",IFNA(IFNA(VLOOKUP(F166,'Raw Platform Nov 4-6 2025'!C:C,1,FALSE),VLOOKUP(F166,'Raw Platform Nov 4-6 2025'!D:D,1,FALSE)),IFNA(VLOOKUP(F166,'Glovo Raw Nov 4-6 2025'!B:B,1,FALSE),"Not Matched"))))))</f>
      </c>
      <c r="H166">
        <f>COUNTIF(F:F,F166)</f>
      </c>
      <c r="I166" t="s">
        <v>5822</v>
      </c>
      <c r="J166" t="s">
        <v>4915</v>
      </c>
      <c r="K166" t="s">
        <v>4927</v>
      </c>
      <c r="L166" t="s">
        <v>5823</v>
      </c>
      <c r="M166" t="s">
        <v>5824</v>
      </c>
      <c r="N166" t="s">
        <v>4973</v>
      </c>
      <c r="O166" t="s">
        <v>123</v>
      </c>
      <c r="P166" t="s">
        <v>5820</v>
      </c>
      <c r="Q166">
        <v>0</v>
      </c>
      <c r="R166" t="s">
        <v>4922</v>
      </c>
      <c r="S166" t="s">
        <v>12</v>
      </c>
      <c r="T166" t="s">
        <v>4923</v>
      </c>
      <c r="U166" t="s">
        <v>4924</v>
      </c>
      <c r="V166" t="s">
        <v>5825</v>
      </c>
      <c r="W166" t="s">
        <v>3667</v>
      </c>
      <c r="X166">
        <v>0</v>
      </c>
    </row>
    <row r="167" spans="1:24" x14ac:dyDescent="0.25">
      <c r="A167" t="s">
        <v>5176</v>
      </c>
      <c r="B167" t="s">
        <v>5784</v>
      </c>
      <c r="C167" t="s">
        <v>5785</v>
      </c>
      <c r="D167" t="s">
        <v>30</v>
      </c>
      <c r="E167" t="s">
        <v>4913</v>
      </c>
      <c r="F167" t="s">
        <v>2789</v>
      </c>
      <c r="G167">
        <f>IF(K167="Pick-up","PICKUPS",IF(K167="Staff drop-off","STAFF_DROPOFF",IF(K167="Replacements","REPLACEMENT",IF(K167="Central Stores Dispatch","CENTRAL STORES DISPATCH",IFNA(IFNA(VLOOKUP(F167,'Raw Platform Nov 4-6 2025'!C:C,1,FALSE),VLOOKUP(F167,'Raw Platform Nov 4-6 2025'!D:D,1,FALSE)),IFNA(VLOOKUP(F167,'Glovo Raw Nov 4-6 2025'!B:B,1,FALSE),"Not Matched"))))))</f>
      </c>
      <c r="H167">
        <f>COUNTIF(F:F,F167)</f>
      </c>
      <c r="I167" t="s">
        <v>5826</v>
      </c>
      <c r="J167" t="s">
        <v>63</v>
      </c>
      <c r="K167" t="s">
        <v>4927</v>
      </c>
      <c r="L167" t="s">
        <v>5827</v>
      </c>
      <c r="M167" t="s">
        <v>5828</v>
      </c>
      <c r="N167" t="s">
        <v>5829</v>
      </c>
      <c r="O167" t="s">
        <v>4956</v>
      </c>
      <c r="P167" t="s">
        <v>5219</v>
      </c>
      <c r="Q167">
        <v>0</v>
      </c>
      <c r="R167" t="s">
        <v>4922</v>
      </c>
      <c r="S167" t="s">
        <v>172</v>
      </c>
      <c r="T167" t="s">
        <v>4923</v>
      </c>
      <c r="U167" t="s">
        <v>4924</v>
      </c>
      <c r="V167" t="s">
        <v>5830</v>
      </c>
      <c r="W167" t="s">
        <v>3667</v>
      </c>
      <c r="X167">
        <v>0</v>
      </c>
    </row>
    <row r="168" spans="1:24" x14ac:dyDescent="0.25">
      <c r="A168" t="s">
        <v>5176</v>
      </c>
      <c r="B168" t="s">
        <v>5784</v>
      </c>
      <c r="C168" t="s">
        <v>5785</v>
      </c>
      <c r="D168" t="s">
        <v>30</v>
      </c>
      <c r="E168" t="s">
        <v>4913</v>
      </c>
      <c r="F168" t="s">
        <v>3547</v>
      </c>
      <c r="G168">
        <f>IF(K168="Pick-up","PICKUPS",IF(K168="Staff drop-off","STAFF_DROPOFF",IF(K168="Replacements","REPLACEMENT",IF(K168="Central Stores Dispatch","CENTRAL STORES DISPATCH",IFNA(IFNA(VLOOKUP(F168,'Raw Platform Nov 4-6 2025'!C:C,1,FALSE),VLOOKUP(F168,'Raw Platform Nov 4-6 2025'!D:D,1,FALSE)),IFNA(VLOOKUP(F168,'Glovo Raw Nov 4-6 2025'!B:B,1,FALSE),"Not Matched"))))))</f>
      </c>
      <c r="H168">
        <f>COUNTIF(F:F,F168)</f>
      </c>
      <c r="I168" t="s">
        <v>5831</v>
      </c>
      <c r="J168" t="s">
        <v>4915</v>
      </c>
      <c r="K168" t="s">
        <v>4916</v>
      </c>
      <c r="L168" t="s">
        <v>5832</v>
      </c>
      <c r="M168" t="s">
        <v>5833</v>
      </c>
      <c r="N168" t="s">
        <v>5834</v>
      </c>
      <c r="O168" t="s">
        <v>26</v>
      </c>
      <c r="P168" t="s">
        <v>4949</v>
      </c>
      <c r="Q168">
        <v>1134</v>
      </c>
      <c r="R168" t="s">
        <v>4922</v>
      </c>
      <c r="S168" t="s">
        <v>45</v>
      </c>
      <c r="T168" t="s">
        <v>4923</v>
      </c>
      <c r="U168" t="s">
        <v>4924</v>
      </c>
      <c r="V168" t="s">
        <v>5835</v>
      </c>
      <c r="W168" t="s">
        <v>3667</v>
      </c>
      <c r="X168">
        <v>0</v>
      </c>
    </row>
    <row r="169" spans="1:24" x14ac:dyDescent="0.25">
      <c r="A169" t="s">
        <v>5176</v>
      </c>
      <c r="B169" t="s">
        <v>5784</v>
      </c>
      <c r="C169" t="s">
        <v>5785</v>
      </c>
      <c r="D169" t="s">
        <v>30</v>
      </c>
      <c r="E169" t="s">
        <v>4913</v>
      </c>
      <c r="F169" t="s">
        <v>2636</v>
      </c>
      <c r="G169">
        <f>IF(K169="Pick-up","PICKUPS",IF(K169="Staff drop-off","STAFF_DROPOFF",IF(K169="Replacements","REPLACEMENT",IF(K169="Central Stores Dispatch","CENTRAL STORES DISPATCH",IFNA(IFNA(VLOOKUP(F169,'Raw Platform Nov 4-6 2025'!C:C,1,FALSE),VLOOKUP(F169,'Raw Platform Nov 4-6 2025'!D:D,1,FALSE)),IFNA(VLOOKUP(F169,'Glovo Raw Nov 4-6 2025'!B:B,1,FALSE),"Not Matched"))))))</f>
      </c>
      <c r="H169">
        <f>COUNTIF(F:F,F169)</f>
      </c>
      <c r="I169" t="s">
        <v>5836</v>
      </c>
      <c r="J169" t="s">
        <v>4915</v>
      </c>
      <c r="K169" t="s">
        <v>4927</v>
      </c>
      <c r="L169" t="s">
        <v>5837</v>
      </c>
      <c r="M169" t="s">
        <v>5838</v>
      </c>
      <c r="N169" t="s">
        <v>5839</v>
      </c>
      <c r="O169" t="s">
        <v>4990</v>
      </c>
      <c r="P169" t="s">
        <v>5613</v>
      </c>
      <c r="Q169">
        <v>0</v>
      </c>
      <c r="R169" t="s">
        <v>4922</v>
      </c>
      <c r="S169" t="s">
        <v>12</v>
      </c>
      <c r="T169" t="s">
        <v>4923</v>
      </c>
      <c r="U169" t="s">
        <v>4924</v>
      </c>
      <c r="V169" t="s">
        <v>5840</v>
      </c>
      <c r="W169" t="s">
        <v>3667</v>
      </c>
      <c r="X169">
        <v>0</v>
      </c>
    </row>
    <row r="170" spans="1:24" x14ac:dyDescent="0.25">
      <c r="A170" t="s">
        <v>5176</v>
      </c>
      <c r="B170" t="s">
        <v>5784</v>
      </c>
      <c r="C170" t="s">
        <v>5785</v>
      </c>
      <c r="D170" t="s">
        <v>30</v>
      </c>
      <c r="E170" t="s">
        <v>4913</v>
      </c>
      <c r="F170" t="s">
        <v>2859</v>
      </c>
      <c r="G170">
        <f>IF(K170="Pick-up","PICKUPS",IF(K170="Staff drop-off","STAFF_DROPOFF",IF(K170="Replacements","REPLACEMENT",IF(K170="Central Stores Dispatch","CENTRAL STORES DISPATCH",IFNA(IFNA(VLOOKUP(F170,'Raw Platform Nov 4-6 2025'!C:C,1,FALSE),VLOOKUP(F170,'Raw Platform Nov 4-6 2025'!D:D,1,FALSE)),IFNA(VLOOKUP(F170,'Glovo Raw Nov 4-6 2025'!B:B,1,FALSE),"Not Matched"))))))</f>
      </c>
      <c r="H170">
        <f>COUNTIF(F:F,F170)</f>
      </c>
      <c r="I170" t="s">
        <v>5841</v>
      </c>
      <c r="J170" t="s">
        <v>4915</v>
      </c>
      <c r="K170" t="s">
        <v>4927</v>
      </c>
      <c r="L170" t="s">
        <v>5842</v>
      </c>
      <c r="M170" t="s">
        <v>5843</v>
      </c>
      <c r="N170" t="s">
        <v>5844</v>
      </c>
      <c r="O170" t="s">
        <v>37</v>
      </c>
      <c r="P170" t="s">
        <v>5845</v>
      </c>
      <c r="Q170">
        <v>0</v>
      </c>
      <c r="R170" t="s">
        <v>4922</v>
      </c>
      <c r="S170" t="s">
        <v>5437</v>
      </c>
      <c r="T170" t="s">
        <v>4923</v>
      </c>
      <c r="U170" t="s">
        <v>4924</v>
      </c>
      <c r="V170" t="s">
        <v>5846</v>
      </c>
      <c r="W170" t="s">
        <v>3667</v>
      </c>
      <c r="X170">
        <v>0</v>
      </c>
    </row>
    <row r="171" spans="1:24" x14ac:dyDescent="0.25">
      <c r="A171" t="s">
        <v>5176</v>
      </c>
      <c r="B171" t="s">
        <v>5784</v>
      </c>
      <c r="C171" t="s">
        <v>5785</v>
      </c>
      <c r="D171" t="s">
        <v>30</v>
      </c>
      <c r="E171" t="s">
        <v>4913</v>
      </c>
      <c r="F171" t="s">
        <v>2952</v>
      </c>
      <c r="G171">
        <f>IF(K171="Pick-up","PICKUPS",IF(K171="Staff drop-off","STAFF_DROPOFF",IF(K171="Replacements","REPLACEMENT",IF(K171="Central Stores Dispatch","CENTRAL STORES DISPATCH",IFNA(IFNA(VLOOKUP(F171,'Raw Platform Nov 4-6 2025'!C:C,1,FALSE),VLOOKUP(F171,'Raw Platform Nov 4-6 2025'!D:D,1,FALSE)),IFNA(VLOOKUP(F171,'Glovo Raw Nov 4-6 2025'!B:B,1,FALSE),"Not Matched"))))))</f>
      </c>
      <c r="H171">
        <f>COUNTIF(F:F,F171)</f>
      </c>
      <c r="I171" t="s">
        <v>5847</v>
      </c>
      <c r="J171" t="s">
        <v>63</v>
      </c>
      <c r="K171" t="s">
        <v>4927</v>
      </c>
      <c r="L171" t="s">
        <v>5848</v>
      </c>
      <c r="M171" t="s">
        <v>5849</v>
      </c>
      <c r="N171" t="s">
        <v>5850</v>
      </c>
      <c r="O171" t="s">
        <v>4956</v>
      </c>
      <c r="P171" t="s">
        <v>5013</v>
      </c>
      <c r="Q171">
        <v>0</v>
      </c>
      <c r="R171" t="s">
        <v>4922</v>
      </c>
      <c r="S171" t="s">
        <v>29</v>
      </c>
      <c r="T171" t="s">
        <v>4923</v>
      </c>
      <c r="U171" t="s">
        <v>4924</v>
      </c>
      <c r="V171" t="s">
        <v>5851</v>
      </c>
      <c r="W171" t="s">
        <v>3667</v>
      </c>
      <c r="X171">
        <v>0</v>
      </c>
    </row>
    <row r="172" spans="1:24" x14ac:dyDescent="0.25">
      <c r="A172" t="s">
        <v>4910</v>
      </c>
      <c r="B172" t="s">
        <v>5852</v>
      </c>
      <c r="C172" t="s">
        <v>5853</v>
      </c>
      <c r="D172" t="s">
        <v>13</v>
      </c>
      <c r="E172" t="s">
        <v>4913</v>
      </c>
      <c r="F172" t="s">
        <v>292</v>
      </c>
      <c r="G172">
        <f>IF(K172="Pick-up","PICKUPS",IF(K172="Staff drop-off","STAFF_DROPOFF",IF(K172="Replacements","REPLACEMENT",IF(K172="Central Stores Dispatch","CENTRAL STORES DISPATCH",IFNA(IFNA(VLOOKUP(F172,'Raw Platform Nov 4-6 2025'!C:C,1,FALSE),VLOOKUP(F172,'Raw Platform Nov 4-6 2025'!D:D,1,FALSE)),IFNA(VLOOKUP(F172,'Glovo Raw Nov 4-6 2025'!B:B,1,FALSE),"Not Matched"))))))</f>
      </c>
      <c r="H172">
        <f>COUNTIF(F:F,F172)</f>
      </c>
      <c r="I172" t="s">
        <v>5854</v>
      </c>
      <c r="J172" t="s">
        <v>4915</v>
      </c>
      <c r="K172" t="s">
        <v>4927</v>
      </c>
      <c r="L172" t="s">
        <v>5010</v>
      </c>
      <c r="M172" t="s">
        <v>5011</v>
      </c>
      <c r="N172" t="s">
        <v>5012</v>
      </c>
      <c r="O172" t="s">
        <v>4990</v>
      </c>
      <c r="P172" t="s">
        <v>5013</v>
      </c>
      <c r="Q172">
        <v>0</v>
      </c>
      <c r="R172" t="s">
        <v>5855</v>
      </c>
      <c r="S172" t="s">
        <v>12</v>
      </c>
      <c r="T172" t="s">
        <v>4923</v>
      </c>
      <c r="U172" t="s">
        <v>4924</v>
      </c>
      <c r="V172" t="s">
        <v>5856</v>
      </c>
      <c r="W172" t="s">
        <v>3667</v>
      </c>
      <c r="X172">
        <v>100</v>
      </c>
    </row>
    <row r="173" spans="1:24" x14ac:dyDescent="0.25">
      <c r="A173" t="s">
        <v>4910</v>
      </c>
      <c r="B173" t="s">
        <v>5852</v>
      </c>
      <c r="C173" t="s">
        <v>5853</v>
      </c>
      <c r="D173" t="s">
        <v>13</v>
      </c>
      <c r="E173" t="s">
        <v>4913</v>
      </c>
      <c r="F173" t="s">
        <v>1430</v>
      </c>
      <c r="G173">
        <f>IF(K173="Pick-up","PICKUPS",IF(K173="Staff drop-off","STAFF_DROPOFF",IF(K173="Replacements","REPLACEMENT",IF(K173="Central Stores Dispatch","CENTRAL STORES DISPATCH",IFNA(IFNA(VLOOKUP(F173,'Raw Platform Nov 4-6 2025'!C:C,1,FALSE),VLOOKUP(F173,'Raw Platform Nov 4-6 2025'!D:D,1,FALSE)),IFNA(VLOOKUP(F173,'Glovo Raw Nov 4-6 2025'!B:B,1,FALSE),"Not Matched"))))))</f>
      </c>
      <c r="H173">
        <f>COUNTIF(F:F,F173)</f>
      </c>
      <c r="I173" t="s">
        <v>5857</v>
      </c>
      <c r="J173" t="s">
        <v>4915</v>
      </c>
      <c r="K173" t="s">
        <v>4927</v>
      </c>
      <c r="L173" t="s">
        <v>5858</v>
      </c>
      <c r="M173" t="s">
        <v>5859</v>
      </c>
      <c r="N173" t="s">
        <v>5860</v>
      </c>
      <c r="O173" t="s">
        <v>113</v>
      </c>
      <c r="P173" t="s">
        <v>5322</v>
      </c>
      <c r="Q173">
        <v>0</v>
      </c>
      <c r="R173" t="s">
        <v>5855</v>
      </c>
      <c r="S173" t="s">
        <v>12</v>
      </c>
      <c r="T173" t="s">
        <v>4923</v>
      </c>
      <c r="U173" t="s">
        <v>4924</v>
      </c>
      <c r="V173" t="s">
        <v>5861</v>
      </c>
      <c r="W173" t="s">
        <v>3667</v>
      </c>
      <c r="X173">
        <v>189.7</v>
      </c>
    </row>
    <row r="174" spans="1:24" x14ac:dyDescent="0.25">
      <c r="A174" t="s">
        <v>4932</v>
      </c>
      <c r="B174" t="s">
        <v>5852</v>
      </c>
      <c r="C174" t="s">
        <v>5853</v>
      </c>
      <c r="D174" t="s">
        <v>13</v>
      </c>
      <c r="E174" t="s">
        <v>4913</v>
      </c>
      <c r="F174" t="s">
        <v>1391</v>
      </c>
      <c r="G174">
        <f>IF(K174="Pick-up","PICKUPS",IF(K174="Staff drop-off","STAFF_DROPOFF",IF(K174="Replacements","REPLACEMENT",IF(K174="Central Stores Dispatch","CENTRAL STORES DISPATCH",IFNA(IFNA(VLOOKUP(F174,'Raw Platform Nov 4-6 2025'!C:C,1,FALSE),VLOOKUP(F174,'Raw Platform Nov 4-6 2025'!D:D,1,FALSE)),IFNA(VLOOKUP(F174,'Glovo Raw Nov 4-6 2025'!B:B,1,FALSE),"Not Matched"))))))</f>
      </c>
      <c r="H174">
        <f>COUNTIF(F:F,F174)</f>
      </c>
      <c r="I174" t="s">
        <v>5862</v>
      </c>
      <c r="J174" t="s">
        <v>4915</v>
      </c>
      <c r="K174" t="s">
        <v>4927</v>
      </c>
      <c r="L174" t="s">
        <v>5863</v>
      </c>
      <c r="M174" t="s">
        <v>5864</v>
      </c>
      <c r="N174" t="s">
        <v>5072</v>
      </c>
      <c r="O174" t="s">
        <v>4949</v>
      </c>
      <c r="P174" t="s">
        <v>4920</v>
      </c>
      <c r="Q174">
        <v>0</v>
      </c>
      <c r="R174" t="s">
        <v>5855</v>
      </c>
      <c r="S174" t="s">
        <v>29</v>
      </c>
      <c r="T174" t="s">
        <v>4923</v>
      </c>
      <c r="U174" t="s">
        <v>4924</v>
      </c>
      <c r="V174" t="s">
        <v>5865</v>
      </c>
      <c r="W174" t="s">
        <v>3667</v>
      </c>
      <c r="X174">
        <v>100</v>
      </c>
    </row>
    <row r="175" spans="1:24" x14ac:dyDescent="0.25">
      <c r="A175" t="s">
        <v>4910</v>
      </c>
      <c r="B175" t="s">
        <v>5852</v>
      </c>
      <c r="C175" t="s">
        <v>5853</v>
      </c>
      <c r="D175" t="s">
        <v>13</v>
      </c>
      <c r="E175" t="s">
        <v>4913</v>
      </c>
      <c r="F175" t="s">
        <v>1426</v>
      </c>
      <c r="G175">
        <f>IF(K175="Pick-up","PICKUPS",IF(K175="Staff drop-off","STAFF_DROPOFF",IF(K175="Replacements","REPLACEMENT",IF(K175="Central Stores Dispatch","CENTRAL STORES DISPATCH",IFNA(IFNA(VLOOKUP(F175,'Raw Platform Nov 4-6 2025'!C:C,1,FALSE),VLOOKUP(F175,'Raw Platform Nov 4-6 2025'!D:D,1,FALSE)),IFNA(VLOOKUP(F175,'Glovo Raw Nov 4-6 2025'!B:B,1,FALSE),"Not Matched"))))))</f>
      </c>
      <c r="H175">
        <f>COUNTIF(F:F,F175)</f>
      </c>
      <c r="I175" t="s">
        <v>5866</v>
      </c>
      <c r="J175" t="s">
        <v>4915</v>
      </c>
      <c r="K175" t="s">
        <v>4927</v>
      </c>
      <c r="L175" t="s">
        <v>5867</v>
      </c>
      <c r="M175" t="s">
        <v>5868</v>
      </c>
      <c r="N175" t="s">
        <v>5869</v>
      </c>
      <c r="O175" t="s">
        <v>47</v>
      </c>
      <c r="P175" t="s">
        <v>5001</v>
      </c>
      <c r="Q175">
        <v>0</v>
      </c>
      <c r="R175" t="s">
        <v>5855</v>
      </c>
      <c r="S175" t="s">
        <v>12</v>
      </c>
      <c r="T175" t="s">
        <v>4923</v>
      </c>
      <c r="U175" t="s">
        <v>4924</v>
      </c>
      <c r="V175" t="s">
        <v>5870</v>
      </c>
      <c r="W175" t="s">
        <v>3667</v>
      </c>
      <c r="X175">
        <v>120.7</v>
      </c>
    </row>
    <row r="176" spans="1:24" x14ac:dyDescent="0.25">
      <c r="A176" t="s">
        <v>4910</v>
      </c>
      <c r="B176" t="s">
        <v>5852</v>
      </c>
      <c r="C176" t="s">
        <v>5853</v>
      </c>
      <c r="D176" t="s">
        <v>13</v>
      </c>
      <c r="E176" t="s">
        <v>4913</v>
      </c>
      <c r="F176" t="s">
        <v>417</v>
      </c>
      <c r="G176">
        <f>IF(K176="Pick-up","PICKUPS",IF(K176="Staff drop-off","STAFF_DROPOFF",IF(K176="Replacements","REPLACEMENT",IF(K176="Central Stores Dispatch","CENTRAL STORES DISPATCH",IFNA(IFNA(VLOOKUP(F176,'Raw Platform Nov 4-6 2025'!C:C,1,FALSE),VLOOKUP(F176,'Raw Platform Nov 4-6 2025'!D:D,1,FALSE)),IFNA(VLOOKUP(F176,'Glovo Raw Nov 4-6 2025'!B:B,1,FALSE),"Not Matched"))))))</f>
      </c>
      <c r="H176">
        <f>COUNTIF(F:F,F176)</f>
      </c>
      <c r="I176" t="s">
        <v>5871</v>
      </c>
      <c r="J176" t="s">
        <v>5028</v>
      </c>
      <c r="K176" t="s">
        <v>4927</v>
      </c>
      <c r="L176" t="s">
        <v>5872</v>
      </c>
      <c r="M176" t="s">
        <v>5873</v>
      </c>
      <c r="N176" t="s">
        <v>5874</v>
      </c>
      <c r="O176" t="s">
        <v>26</v>
      </c>
      <c r="P176" t="s">
        <v>5816</v>
      </c>
      <c r="Q176">
        <v>2780</v>
      </c>
      <c r="R176" t="s">
        <v>5855</v>
      </c>
      <c r="S176" t="s">
        <v>12</v>
      </c>
      <c r="T176" t="s">
        <v>4923</v>
      </c>
      <c r="U176" t="s">
        <v>4924</v>
      </c>
      <c r="V176" t="s">
        <v>5875</v>
      </c>
      <c r="W176" t="s">
        <v>3667</v>
      </c>
      <c r="X176">
        <v>162.1</v>
      </c>
    </row>
    <row r="177" spans="1:24" x14ac:dyDescent="0.25">
      <c r="A177" t="s">
        <v>4910</v>
      </c>
      <c r="B177" t="s">
        <v>5852</v>
      </c>
      <c r="C177" t="s">
        <v>5853</v>
      </c>
      <c r="D177" t="s">
        <v>13</v>
      </c>
      <c r="E177" t="s">
        <v>4913</v>
      </c>
      <c r="F177" t="s">
        <v>224</v>
      </c>
      <c r="G177">
        <f>IF(K177="Pick-up","PICKUPS",IF(K177="Staff drop-off","STAFF_DROPOFF",IF(K177="Replacements","REPLACEMENT",IF(K177="Central Stores Dispatch","CENTRAL STORES DISPATCH",IFNA(IFNA(VLOOKUP(F177,'Raw Platform Nov 4-6 2025'!C:C,1,FALSE),VLOOKUP(F177,'Raw Platform Nov 4-6 2025'!D:D,1,FALSE)),IFNA(VLOOKUP(F177,'Glovo Raw Nov 4-6 2025'!B:B,1,FALSE),"Not Matched"))))))</f>
      </c>
      <c r="H177">
        <f>COUNTIF(F:F,F177)</f>
      </c>
      <c r="I177" t="s">
        <v>5876</v>
      </c>
      <c r="J177" t="s">
        <v>5341</v>
      </c>
      <c r="K177" t="s">
        <v>4916</v>
      </c>
      <c r="L177" t="s">
        <v>5877</v>
      </c>
      <c r="M177" t="s">
        <v>5878</v>
      </c>
      <c r="N177" t="s">
        <v>5879</v>
      </c>
      <c r="O177" t="s">
        <v>37</v>
      </c>
      <c r="P177" t="s">
        <v>5724</v>
      </c>
      <c r="Q177">
        <v>1680</v>
      </c>
      <c r="R177" t="s">
        <v>5855</v>
      </c>
      <c r="S177" t="s">
        <v>12</v>
      </c>
      <c r="T177" t="s">
        <v>4923</v>
      </c>
      <c r="U177" t="s">
        <v>4924</v>
      </c>
      <c r="V177" t="s">
        <v>5880</v>
      </c>
      <c r="W177" t="s">
        <v>3667</v>
      </c>
      <c r="X177">
        <v>258.7</v>
      </c>
    </row>
    <row r="178" spans="1:24" x14ac:dyDescent="0.25">
      <c r="A178" t="s">
        <v>4932</v>
      </c>
      <c r="B178" t="s">
        <v>5852</v>
      </c>
      <c r="C178" t="s">
        <v>5853</v>
      </c>
      <c r="D178" t="s">
        <v>13</v>
      </c>
      <c r="E178" t="s">
        <v>4913</v>
      </c>
      <c r="F178" t="s">
        <v>1277</v>
      </c>
      <c r="G178">
        <f>IF(K178="Pick-up","PICKUPS",IF(K178="Staff drop-off","STAFF_DROPOFF",IF(K178="Replacements","REPLACEMENT",IF(K178="Central Stores Dispatch","CENTRAL STORES DISPATCH",IFNA(IFNA(VLOOKUP(F178,'Raw Platform Nov 4-6 2025'!C:C,1,FALSE),VLOOKUP(F178,'Raw Platform Nov 4-6 2025'!D:D,1,FALSE)),IFNA(VLOOKUP(F178,'Glovo Raw Nov 4-6 2025'!B:B,1,FALSE),"Not Matched"))))))</f>
      </c>
      <c r="H178">
        <f>COUNTIF(F:F,F178)</f>
      </c>
      <c r="I178" t="s">
        <v>5881</v>
      </c>
      <c r="J178" t="s">
        <v>63</v>
      </c>
      <c r="K178" t="s">
        <v>4927</v>
      </c>
      <c r="L178" t="s">
        <v>5882</v>
      </c>
      <c r="M178" t="s">
        <v>5883</v>
      </c>
      <c r="N178" t="s">
        <v>5884</v>
      </c>
      <c r="O178" t="s">
        <v>4962</v>
      </c>
      <c r="P178" t="s">
        <v>4920</v>
      </c>
      <c r="Q178">
        <v>0</v>
      </c>
      <c r="R178" t="s">
        <v>5855</v>
      </c>
      <c r="S178" t="s">
        <v>29</v>
      </c>
      <c r="T178" t="s">
        <v>4923</v>
      </c>
      <c r="U178" t="s">
        <v>4924</v>
      </c>
      <c r="V178" t="s">
        <v>5885</v>
      </c>
      <c r="W178" t="s">
        <v>3667</v>
      </c>
      <c r="X178">
        <v>100</v>
      </c>
    </row>
    <row r="179" spans="1:24" x14ac:dyDescent="0.25">
      <c r="A179" t="s">
        <v>4910</v>
      </c>
      <c r="B179" t="s">
        <v>5852</v>
      </c>
      <c r="C179" t="s">
        <v>5853</v>
      </c>
      <c r="D179" t="s">
        <v>13</v>
      </c>
      <c r="E179" t="s">
        <v>4913</v>
      </c>
      <c r="F179" t="s">
        <v>667</v>
      </c>
      <c r="G179">
        <f>IF(K179="Pick-up","PICKUPS",IF(K179="Staff drop-off","STAFF_DROPOFF",IF(K179="Replacements","REPLACEMENT",IF(K179="Central Stores Dispatch","CENTRAL STORES DISPATCH",IFNA(IFNA(VLOOKUP(F179,'Raw Platform Nov 4-6 2025'!C:C,1,FALSE),VLOOKUP(F179,'Raw Platform Nov 4-6 2025'!D:D,1,FALSE)),IFNA(VLOOKUP(F179,'Glovo Raw Nov 4-6 2025'!B:B,1,FALSE),"Not Matched"))))))</f>
      </c>
      <c r="H179">
        <f>COUNTIF(F:F,F179)</f>
      </c>
      <c r="I179" t="s">
        <v>5886</v>
      </c>
      <c r="J179" t="s">
        <v>4915</v>
      </c>
      <c r="K179" t="s">
        <v>4927</v>
      </c>
      <c r="L179" t="s">
        <v>5887</v>
      </c>
      <c r="M179" t="s">
        <v>5888</v>
      </c>
      <c r="N179" t="s">
        <v>5889</v>
      </c>
      <c r="O179" t="s">
        <v>4920</v>
      </c>
      <c r="P179" t="s">
        <v>4937</v>
      </c>
      <c r="Q179">
        <v>0</v>
      </c>
      <c r="R179" t="s">
        <v>5855</v>
      </c>
      <c r="S179" t="s">
        <v>12</v>
      </c>
      <c r="T179" t="s">
        <v>4923</v>
      </c>
      <c r="U179" t="s">
        <v>4924</v>
      </c>
      <c r="V179" t="s">
        <v>5890</v>
      </c>
      <c r="W179" t="s">
        <v>3667</v>
      </c>
      <c r="X179">
        <v>100</v>
      </c>
    </row>
    <row r="180" spans="1:24" x14ac:dyDescent="0.25">
      <c r="A180" t="s">
        <v>4932</v>
      </c>
      <c r="B180" t="s">
        <v>5852</v>
      </c>
      <c r="C180" t="s">
        <v>5853</v>
      </c>
      <c r="D180" t="s">
        <v>13</v>
      </c>
      <c r="E180" t="s">
        <v>4913</v>
      </c>
      <c r="F180" t="s">
        <v>3535</v>
      </c>
      <c r="G180">
        <f>IF(K180="Pick-up","PICKUPS",IF(K180="Staff drop-off","STAFF_DROPOFF",IF(K180="Replacements","REPLACEMENT",IF(K180="Central Stores Dispatch","CENTRAL STORES DISPATCH",IFNA(IFNA(VLOOKUP(F180,'Raw Platform Nov 4-6 2025'!C:C,1,FALSE),VLOOKUP(F180,'Raw Platform Nov 4-6 2025'!D:D,1,FALSE)),IFNA(VLOOKUP(F180,'Glovo Raw Nov 4-6 2025'!B:B,1,FALSE),"Not Matched"))))))</f>
      </c>
      <c r="H180">
        <f>COUNTIF(F:F,F180)</f>
      </c>
      <c r="I180" t="s">
        <v>5891</v>
      </c>
      <c r="J180" t="s">
        <v>4915</v>
      </c>
      <c r="K180" t="s">
        <v>4927</v>
      </c>
      <c r="L180" t="s">
        <v>5892</v>
      </c>
      <c r="M180" t="s">
        <v>5893</v>
      </c>
      <c r="N180" t="s">
        <v>5894</v>
      </c>
      <c r="O180" t="s">
        <v>4962</v>
      </c>
      <c r="P180" t="s">
        <v>4963</v>
      </c>
      <c r="Q180">
        <v>0</v>
      </c>
      <c r="R180" t="s">
        <v>5855</v>
      </c>
      <c r="S180" t="s">
        <v>29</v>
      </c>
      <c r="T180" t="s">
        <v>4923</v>
      </c>
      <c r="U180" t="s">
        <v>4924</v>
      </c>
      <c r="V180" t="s">
        <v>5895</v>
      </c>
      <c r="W180" t="s">
        <v>3667</v>
      </c>
      <c r="X180">
        <v>100</v>
      </c>
    </row>
    <row r="181" spans="1:24" x14ac:dyDescent="0.25">
      <c r="A181" t="s">
        <v>4910</v>
      </c>
      <c r="B181" t="s">
        <v>5852</v>
      </c>
      <c r="C181" t="s">
        <v>5853</v>
      </c>
      <c r="D181" t="s">
        <v>13</v>
      </c>
      <c r="E181" t="s">
        <v>4913</v>
      </c>
      <c r="F181" t="s">
        <v>2790</v>
      </c>
      <c r="G181">
        <f>IF(K181="Pick-up","PICKUPS",IF(K181="Staff drop-off","STAFF_DROPOFF",IF(K181="Replacements","REPLACEMENT",IF(K181="Central Stores Dispatch","CENTRAL STORES DISPATCH",IFNA(IFNA(VLOOKUP(F181,'Raw Platform Nov 4-6 2025'!C:C,1,FALSE),VLOOKUP(F181,'Raw Platform Nov 4-6 2025'!D:D,1,FALSE)),IFNA(VLOOKUP(F181,'Glovo Raw Nov 4-6 2025'!B:B,1,FALSE),"Not Matched"))))))</f>
      </c>
      <c r="H181">
        <f>COUNTIF(F:F,F181)</f>
      </c>
      <c r="I181" t="s">
        <v>5896</v>
      </c>
      <c r="J181" t="s">
        <v>4915</v>
      </c>
      <c r="K181" t="s">
        <v>4927</v>
      </c>
      <c r="L181" t="s">
        <v>5897</v>
      </c>
      <c r="M181" t="s">
        <v>5898</v>
      </c>
      <c r="N181" t="s">
        <v>5899</v>
      </c>
      <c r="O181" t="s">
        <v>26</v>
      </c>
      <c r="P181" t="s">
        <v>5062</v>
      </c>
      <c r="Q181">
        <v>0</v>
      </c>
      <c r="R181" t="s">
        <v>5855</v>
      </c>
      <c r="S181" t="s">
        <v>12</v>
      </c>
      <c r="T181" t="s">
        <v>4923</v>
      </c>
      <c r="U181" t="s">
        <v>4924</v>
      </c>
      <c r="V181" t="s">
        <v>5900</v>
      </c>
      <c r="W181" t="s">
        <v>3667</v>
      </c>
      <c r="X181">
        <v>127.6</v>
      </c>
    </row>
    <row r="182" spans="1:24" x14ac:dyDescent="0.25">
      <c r="A182" t="s">
        <v>4910</v>
      </c>
      <c r="B182" t="s">
        <v>5852</v>
      </c>
      <c r="C182" t="s">
        <v>5853</v>
      </c>
      <c r="D182" t="s">
        <v>13</v>
      </c>
      <c r="E182" t="s">
        <v>4913</v>
      </c>
      <c r="F182" t="s">
        <v>3119</v>
      </c>
      <c r="G182">
        <f>IF(K182="Pick-up","PICKUPS",IF(K182="Staff drop-off","STAFF_DROPOFF",IF(K182="Replacements","REPLACEMENT",IF(K182="Central Stores Dispatch","CENTRAL STORES DISPATCH",IFNA(IFNA(VLOOKUP(F182,'Raw Platform Nov 4-6 2025'!C:C,1,FALSE),VLOOKUP(F182,'Raw Platform Nov 4-6 2025'!D:D,1,FALSE)),IFNA(VLOOKUP(F182,'Glovo Raw Nov 4-6 2025'!B:B,1,FALSE),"Not Matched"))))))</f>
      </c>
      <c r="H182">
        <f>COUNTIF(F:F,F182)</f>
      </c>
      <c r="I182" t="s">
        <v>5901</v>
      </c>
      <c r="J182" t="s">
        <v>63</v>
      </c>
      <c r="K182" t="s">
        <v>4927</v>
      </c>
      <c r="L182" t="s">
        <v>5902</v>
      </c>
      <c r="M182" t="s">
        <v>5903</v>
      </c>
      <c r="N182" t="s">
        <v>5904</v>
      </c>
      <c r="O182" t="s">
        <v>123</v>
      </c>
      <c r="P182" t="s">
        <v>5128</v>
      </c>
      <c r="Q182">
        <v>0</v>
      </c>
      <c r="R182" t="s">
        <v>5855</v>
      </c>
      <c r="S182" t="s">
        <v>12</v>
      </c>
      <c r="T182" t="s">
        <v>4923</v>
      </c>
      <c r="U182" t="s">
        <v>4924</v>
      </c>
      <c r="V182" t="s">
        <v>5905</v>
      </c>
      <c r="W182" t="s">
        <v>3667</v>
      </c>
      <c r="X182">
        <v>116.1</v>
      </c>
    </row>
    <row r="183" spans="1:24" x14ac:dyDescent="0.25">
      <c r="A183" t="s">
        <v>4932</v>
      </c>
      <c r="B183" t="s">
        <v>5852</v>
      </c>
      <c r="C183" t="s">
        <v>5853</v>
      </c>
      <c r="D183" t="s">
        <v>13</v>
      </c>
      <c r="E183" t="s">
        <v>4913</v>
      </c>
      <c r="F183" t="s">
        <v>3105</v>
      </c>
      <c r="G183">
        <f>IF(K183="Pick-up","PICKUPS",IF(K183="Staff drop-off","STAFF_DROPOFF",IF(K183="Replacements","REPLACEMENT",IF(K183="Central Stores Dispatch","CENTRAL STORES DISPATCH",IFNA(IFNA(VLOOKUP(F183,'Raw Platform Nov 4-6 2025'!C:C,1,FALSE),VLOOKUP(F183,'Raw Platform Nov 4-6 2025'!D:D,1,FALSE)),IFNA(VLOOKUP(F183,'Glovo Raw Nov 4-6 2025'!B:B,1,FALSE),"Not Matched"))))))</f>
      </c>
      <c r="H183">
        <f>COUNTIF(F:F,F183)</f>
      </c>
      <c r="I183" t="s">
        <v>5906</v>
      </c>
      <c r="J183" t="s">
        <v>63</v>
      </c>
      <c r="K183" t="s">
        <v>4927</v>
      </c>
      <c r="L183" t="s">
        <v>5907</v>
      </c>
      <c r="M183" t="s">
        <v>5908</v>
      </c>
      <c r="N183" t="s">
        <v>5909</v>
      </c>
      <c r="O183" t="s">
        <v>5469</v>
      </c>
      <c r="P183" t="s">
        <v>5910</v>
      </c>
      <c r="Q183">
        <v>0</v>
      </c>
      <c r="R183" t="s">
        <v>5855</v>
      </c>
      <c r="S183" t="s">
        <v>29</v>
      </c>
      <c r="T183" t="s">
        <v>4923</v>
      </c>
      <c r="U183" t="s">
        <v>4924</v>
      </c>
      <c r="V183" t="s">
        <v>5911</v>
      </c>
      <c r="W183" t="s">
        <v>3667</v>
      </c>
      <c r="X183">
        <v>297.8</v>
      </c>
    </row>
    <row r="184" spans="1:24" x14ac:dyDescent="0.25">
      <c r="A184" t="s">
        <v>4932</v>
      </c>
      <c r="B184" t="s">
        <v>5852</v>
      </c>
      <c r="C184" t="s">
        <v>5853</v>
      </c>
      <c r="D184" t="s">
        <v>13</v>
      </c>
      <c r="E184" t="s">
        <v>4913</v>
      </c>
      <c r="F184" t="s">
        <v>5912</v>
      </c>
      <c r="G184">
        <f>IF(K184="Pick-up","PICKUPS",IF(K184="Staff drop-off","STAFF_DROPOFF",IF(K184="Replacements","REPLACEMENT",IF(K184="Central Stores Dispatch","CENTRAL STORES DISPATCH",IFNA(IFNA(VLOOKUP(F184,'Raw Platform Nov 4-6 2025'!C:C,1,FALSE),VLOOKUP(F184,'Raw Platform Nov 4-6 2025'!D:D,1,FALSE)),IFNA(VLOOKUP(F184,'Glovo Raw Nov 4-6 2025'!B:B,1,FALSE),"Not Matched"))))))</f>
      </c>
      <c r="H184">
        <f>COUNTIF(F:F,F184)</f>
      </c>
      <c r="I184" t="s">
        <v>5913</v>
      </c>
      <c r="J184" t="s">
        <v>5289</v>
      </c>
      <c r="K184" t="s">
        <v>4927</v>
      </c>
      <c r="L184" t="s">
        <v>5290</v>
      </c>
      <c r="M184" t="s">
        <v>5291</v>
      </c>
      <c r="N184" t="s">
        <v>5321</v>
      </c>
      <c r="O184" t="s">
        <v>77</v>
      </c>
      <c r="P184" t="s">
        <v>5914</v>
      </c>
      <c r="Q184">
        <v>0</v>
      </c>
      <c r="R184" t="s">
        <v>5855</v>
      </c>
      <c r="S184" t="s">
        <v>29</v>
      </c>
      <c r="T184" t="s">
        <v>4923</v>
      </c>
      <c r="U184" t="s">
        <v>4924</v>
      </c>
      <c r="V184" t="s">
        <v>5915</v>
      </c>
      <c r="W184" t="s">
        <v>3667</v>
      </c>
      <c r="X184">
        <v>192</v>
      </c>
    </row>
    <row r="185" spans="1:24" x14ac:dyDescent="0.25">
      <c r="A185" t="s">
        <v>5916</v>
      </c>
      <c r="B185" t="s">
        <v>5917</v>
      </c>
      <c r="C185" t="s">
        <v>5918</v>
      </c>
      <c r="D185" t="s">
        <v>3667</v>
      </c>
      <c r="E185" t="s">
        <v>4913</v>
      </c>
      <c r="F185" t="s">
        <v>2538</v>
      </c>
      <c r="G185">
        <f>IF(K185="Pick-up","PICKUPS",IF(K185="Staff drop-off","STAFF_DROPOFF",IF(K185="Replacements","REPLACEMENT",IF(K185="Central Stores Dispatch","CENTRAL STORES DISPATCH",IFNA(IFNA(VLOOKUP(F185,'Raw Platform Nov 4-6 2025'!C:C,1,FALSE),VLOOKUP(F185,'Raw Platform Nov 4-6 2025'!D:D,1,FALSE)),IFNA(VLOOKUP(F185,'Glovo Raw Nov 4-6 2025'!B:B,1,FALSE),"Not Matched"))))))</f>
      </c>
      <c r="H185">
        <f>COUNTIF(F:F,F185)</f>
      </c>
      <c r="I185" t="s">
        <v>5919</v>
      </c>
      <c r="J185" t="s">
        <v>5028</v>
      </c>
      <c r="K185" t="s">
        <v>4916</v>
      </c>
      <c r="L185" t="s">
        <v>5920</v>
      </c>
      <c r="M185" t="s">
        <v>5921</v>
      </c>
      <c r="N185" t="s">
        <v>5922</v>
      </c>
      <c r="O185" t="s">
        <v>32</v>
      </c>
      <c r="P185" t="s">
        <v>5923</v>
      </c>
      <c r="Q185">
        <v>1500</v>
      </c>
      <c r="R185" t="s">
        <v>4922</v>
      </c>
      <c r="S185" t="s">
        <v>3667</v>
      </c>
      <c r="T185" t="s">
        <v>4923</v>
      </c>
      <c r="U185" t="s">
        <v>4924</v>
      </c>
      <c r="V185" t="s">
        <v>5924</v>
      </c>
      <c r="W185" t="s">
        <v>3667</v>
      </c>
      <c r="X185">
        <v>2000</v>
      </c>
    </row>
    <row r="186" spans="1:24" x14ac:dyDescent="0.25">
      <c r="A186" t="s">
        <v>5925</v>
      </c>
      <c r="B186" t="s">
        <v>5917</v>
      </c>
      <c r="C186" t="s">
        <v>5918</v>
      </c>
      <c r="D186" t="s">
        <v>3667</v>
      </c>
      <c r="E186" t="s">
        <v>5034</v>
      </c>
      <c r="F186" t="s">
        <v>5926</v>
      </c>
      <c r="G186">
        <f>IF(K186="Pick-up","PICKUPS",IF(K186="Staff drop-off","STAFF_DROPOFF",IF(K186="Replacements","REPLACEMENT",IF(K186="Central Stores Dispatch","CENTRAL STORES DISPATCH",IFNA(IFNA(VLOOKUP(F186,'Raw Platform Nov 4-6 2025'!C:C,1,FALSE),VLOOKUP(F186,'Raw Platform Nov 4-6 2025'!D:D,1,FALSE)),IFNA(VLOOKUP(F186,'Glovo Raw Nov 4-6 2025'!B:B,1,FALSE),"Not Matched"))))))</f>
      </c>
      <c r="H186">
        <f>COUNTIF(F:F,F186)</f>
      </c>
      <c r="I186" t="s">
        <v>5927</v>
      </c>
      <c r="J186" t="s">
        <v>5028</v>
      </c>
      <c r="K186" t="s">
        <v>4916</v>
      </c>
      <c r="L186" t="s">
        <v>5928</v>
      </c>
      <c r="M186" t="s">
        <v>5929</v>
      </c>
      <c r="N186" t="s">
        <v>5930</v>
      </c>
      <c r="O186" t="s">
        <v>91</v>
      </c>
      <c r="P186" t="s">
        <v>123</v>
      </c>
      <c r="Q186">
        <v>15000</v>
      </c>
      <c r="R186" t="s">
        <v>4922</v>
      </c>
      <c r="S186" t="s">
        <v>3667</v>
      </c>
      <c r="T186" t="s">
        <v>4923</v>
      </c>
      <c r="U186" t="s">
        <v>4923</v>
      </c>
      <c r="V186" t="s">
        <v>5931</v>
      </c>
      <c r="W186" t="s">
        <v>3667</v>
      </c>
      <c r="X186">
        <v>0</v>
      </c>
    </row>
    <row r="187" spans="1:24" x14ac:dyDescent="0.25">
      <c r="A187" t="s">
        <v>5176</v>
      </c>
      <c r="B187" t="s">
        <v>5932</v>
      </c>
      <c r="C187" t="s">
        <v>5933</v>
      </c>
      <c r="D187" t="s">
        <v>30</v>
      </c>
      <c r="E187" t="s">
        <v>4913</v>
      </c>
      <c r="F187" t="s">
        <v>1179</v>
      </c>
      <c r="G187">
        <f>IF(K187="Pick-up","PICKUPS",IF(K187="Staff drop-off","STAFF_DROPOFF",IF(K187="Replacements","REPLACEMENT",IF(K187="Central Stores Dispatch","CENTRAL STORES DISPATCH",IFNA(IFNA(VLOOKUP(F187,'Raw Platform Nov 4-6 2025'!C:C,1,FALSE),VLOOKUP(F187,'Raw Platform Nov 4-6 2025'!D:D,1,FALSE)),IFNA(VLOOKUP(F187,'Glovo Raw Nov 4-6 2025'!B:B,1,FALSE),"Not Matched"))))))</f>
      </c>
      <c r="H187">
        <f>COUNTIF(F:F,F187)</f>
      </c>
      <c r="I187" t="s">
        <v>5214</v>
      </c>
      <c r="J187" t="s">
        <v>63</v>
      </c>
      <c r="K187" t="s">
        <v>4927</v>
      </c>
      <c r="L187" t="s">
        <v>5934</v>
      </c>
      <c r="M187" t="s">
        <v>5935</v>
      </c>
      <c r="N187" t="s">
        <v>5936</v>
      </c>
      <c r="O187" t="s">
        <v>5937</v>
      </c>
      <c r="P187" t="s">
        <v>53</v>
      </c>
      <c r="Q187">
        <v>0</v>
      </c>
      <c r="R187" t="s">
        <v>5118</v>
      </c>
      <c r="S187" t="s">
        <v>45</v>
      </c>
      <c r="T187" t="s">
        <v>4923</v>
      </c>
      <c r="U187" t="s">
        <v>4924</v>
      </c>
      <c r="V187" t="s">
        <v>5938</v>
      </c>
      <c r="W187" t="s">
        <v>3667</v>
      </c>
      <c r="X187">
        <v>249.5</v>
      </c>
    </row>
    <row r="188" spans="1:24" x14ac:dyDescent="0.25">
      <c r="A188" t="s">
        <v>5176</v>
      </c>
      <c r="B188" t="s">
        <v>5932</v>
      </c>
      <c r="C188" t="s">
        <v>5933</v>
      </c>
      <c r="D188" t="s">
        <v>30</v>
      </c>
      <c r="E188" t="s">
        <v>4913</v>
      </c>
      <c r="F188" t="s">
        <v>1053</v>
      </c>
      <c r="G188">
        <f>IF(K188="Pick-up","PICKUPS",IF(K188="Staff drop-off","STAFF_DROPOFF",IF(K188="Replacements","REPLACEMENT",IF(K188="Central Stores Dispatch","CENTRAL STORES DISPATCH",IFNA(IFNA(VLOOKUP(F188,'Raw Platform Nov 4-6 2025'!C:C,1,FALSE),VLOOKUP(F188,'Raw Platform Nov 4-6 2025'!D:D,1,FALSE)),IFNA(VLOOKUP(F188,'Glovo Raw Nov 4-6 2025'!B:B,1,FALSE),"Not Matched"))))))</f>
      </c>
      <c r="H188">
        <f>COUNTIF(F:F,F188)</f>
      </c>
      <c r="I188" t="s">
        <v>5939</v>
      </c>
      <c r="J188" t="s">
        <v>4915</v>
      </c>
      <c r="K188" t="s">
        <v>4927</v>
      </c>
      <c r="L188" t="s">
        <v>5940</v>
      </c>
      <c r="M188" t="s">
        <v>5941</v>
      </c>
      <c r="N188" t="s">
        <v>5942</v>
      </c>
      <c r="O188" t="s">
        <v>100</v>
      </c>
      <c r="P188" t="s">
        <v>5510</v>
      </c>
      <c r="Q188">
        <v>0</v>
      </c>
      <c r="R188" t="s">
        <v>5118</v>
      </c>
      <c r="S188" t="s">
        <v>116</v>
      </c>
      <c r="T188" t="s">
        <v>4923</v>
      </c>
      <c r="U188" t="s">
        <v>4924</v>
      </c>
      <c r="V188" t="s">
        <v>5943</v>
      </c>
      <c r="W188" t="s">
        <v>3667</v>
      </c>
      <c r="X188">
        <v>196.6</v>
      </c>
    </row>
    <row r="189" spans="1:24" x14ac:dyDescent="0.25">
      <c r="A189" t="s">
        <v>5176</v>
      </c>
      <c r="B189" t="s">
        <v>5932</v>
      </c>
      <c r="C189" t="s">
        <v>5933</v>
      </c>
      <c r="D189" t="s">
        <v>191</v>
      </c>
      <c r="E189" t="s">
        <v>4913</v>
      </c>
      <c r="F189" t="s">
        <v>711</v>
      </c>
      <c r="G189">
        <f>IF(K189="Pick-up","PICKUPS",IF(K189="Staff drop-off","STAFF_DROPOFF",IF(K189="Replacements","REPLACEMENT",IF(K189="Central Stores Dispatch","CENTRAL STORES DISPATCH",IFNA(IFNA(VLOOKUP(F189,'Raw Platform Nov 4-6 2025'!C:C,1,FALSE),VLOOKUP(F189,'Raw Platform Nov 4-6 2025'!D:D,1,FALSE)),IFNA(VLOOKUP(F189,'Glovo Raw Nov 4-6 2025'!B:B,1,FALSE),"Not Matched"))))))</f>
      </c>
      <c r="H189">
        <f>COUNTIF(F:F,F189)</f>
      </c>
      <c r="I189" t="s">
        <v>5944</v>
      </c>
      <c r="J189" t="s">
        <v>4915</v>
      </c>
      <c r="K189" t="s">
        <v>4927</v>
      </c>
      <c r="L189" t="s">
        <v>5945</v>
      </c>
      <c r="M189" t="s">
        <v>5946</v>
      </c>
      <c r="N189" t="s">
        <v>5308</v>
      </c>
      <c r="O189" t="s">
        <v>4949</v>
      </c>
      <c r="P189" t="s">
        <v>5007</v>
      </c>
      <c r="Q189">
        <v>0</v>
      </c>
      <c r="R189" t="s">
        <v>5118</v>
      </c>
      <c r="S189" t="s">
        <v>5184</v>
      </c>
      <c r="T189" t="s">
        <v>4923</v>
      </c>
      <c r="U189" t="s">
        <v>4924</v>
      </c>
      <c r="V189" t="s">
        <v>5947</v>
      </c>
      <c r="W189" t="s">
        <v>3667</v>
      </c>
      <c r="X189">
        <v>100</v>
      </c>
    </row>
    <row r="190" spans="1:24" x14ac:dyDescent="0.25">
      <c r="A190" t="s">
        <v>5176</v>
      </c>
      <c r="B190" t="s">
        <v>5932</v>
      </c>
      <c r="C190" t="s">
        <v>5933</v>
      </c>
      <c r="D190" t="s">
        <v>30</v>
      </c>
      <c r="E190" t="s">
        <v>4913</v>
      </c>
      <c r="F190" t="s">
        <v>5948</v>
      </c>
      <c r="G190">
        <f>IF(K190="Pick-up","PICKUPS",IF(K190="Staff drop-off","STAFF_DROPOFF",IF(K190="Replacements","REPLACEMENT",IF(K190="Central Stores Dispatch","CENTRAL STORES DISPATCH",IFNA(IFNA(VLOOKUP(F190,'Raw Platform Nov 4-6 2025'!C:C,1,FALSE),VLOOKUP(F190,'Raw Platform Nov 4-6 2025'!D:D,1,FALSE)),IFNA(VLOOKUP(F190,'Glovo Raw Nov 4-6 2025'!B:B,1,FALSE),"Not Matched"))))))</f>
      </c>
      <c r="H190">
        <f>COUNTIF(F:F,F190)</f>
      </c>
      <c r="I190" t="s">
        <v>5949</v>
      </c>
      <c r="J190" t="s">
        <v>4915</v>
      </c>
      <c r="K190" t="s">
        <v>4927</v>
      </c>
      <c r="L190" t="s">
        <v>5950</v>
      </c>
      <c r="M190" t="s">
        <v>5951</v>
      </c>
      <c r="N190" t="s">
        <v>5952</v>
      </c>
      <c r="O190" t="s">
        <v>53</v>
      </c>
      <c r="P190" t="s">
        <v>5953</v>
      </c>
      <c r="Q190">
        <v>0</v>
      </c>
      <c r="R190" t="s">
        <v>5118</v>
      </c>
      <c r="S190" t="s">
        <v>45</v>
      </c>
      <c r="T190" t="s">
        <v>4923</v>
      </c>
      <c r="U190" t="s">
        <v>4924</v>
      </c>
      <c r="V190" t="s">
        <v>5954</v>
      </c>
      <c r="W190" t="s">
        <v>3667</v>
      </c>
      <c r="X190">
        <v>118.4</v>
      </c>
    </row>
    <row r="191" spans="1:24" x14ac:dyDescent="0.25">
      <c r="A191" t="s">
        <v>5176</v>
      </c>
      <c r="B191" t="s">
        <v>5932</v>
      </c>
      <c r="C191" t="s">
        <v>5933</v>
      </c>
      <c r="D191" t="s">
        <v>30</v>
      </c>
      <c r="E191" t="s">
        <v>4913</v>
      </c>
      <c r="F191" t="s">
        <v>376</v>
      </c>
      <c r="G191">
        <f>IF(K191="Pick-up","PICKUPS",IF(K191="Staff drop-off","STAFF_DROPOFF",IF(K191="Replacements","REPLACEMENT",IF(K191="Central Stores Dispatch","CENTRAL STORES DISPATCH",IFNA(IFNA(VLOOKUP(F191,'Raw Platform Nov 4-6 2025'!C:C,1,FALSE),VLOOKUP(F191,'Raw Platform Nov 4-6 2025'!D:D,1,FALSE)),IFNA(VLOOKUP(F191,'Glovo Raw Nov 4-6 2025'!B:B,1,FALSE),"Not Matched"))))))</f>
      </c>
      <c r="H191">
        <f>COUNTIF(F:F,F191)</f>
      </c>
      <c r="I191" t="s">
        <v>5955</v>
      </c>
      <c r="J191" t="s">
        <v>4915</v>
      </c>
      <c r="K191" t="s">
        <v>4927</v>
      </c>
      <c r="L191" t="s">
        <v>5956</v>
      </c>
      <c r="M191" t="s">
        <v>5957</v>
      </c>
      <c r="N191" t="s">
        <v>5958</v>
      </c>
      <c r="O191" t="s">
        <v>47</v>
      </c>
      <c r="P191" t="s">
        <v>5045</v>
      </c>
      <c r="Q191">
        <v>0</v>
      </c>
      <c r="R191" t="s">
        <v>5118</v>
      </c>
      <c r="S191" t="s">
        <v>29</v>
      </c>
      <c r="T191" t="s">
        <v>4923</v>
      </c>
      <c r="U191" t="s">
        <v>4924</v>
      </c>
      <c r="V191" t="s">
        <v>5959</v>
      </c>
      <c r="W191" t="s">
        <v>3667</v>
      </c>
      <c r="X191">
        <v>102.3</v>
      </c>
    </row>
    <row r="192" spans="1:24" x14ac:dyDescent="0.25">
      <c r="A192" t="s">
        <v>5176</v>
      </c>
      <c r="B192" t="s">
        <v>5932</v>
      </c>
      <c r="C192" t="s">
        <v>5933</v>
      </c>
      <c r="D192" t="s">
        <v>30</v>
      </c>
      <c r="E192" t="s">
        <v>4913</v>
      </c>
      <c r="F192" t="s">
        <v>616</v>
      </c>
      <c r="G192">
        <f>IF(K192="Pick-up","PICKUPS",IF(K192="Staff drop-off","STAFF_DROPOFF",IF(K192="Replacements","REPLACEMENT",IF(K192="Central Stores Dispatch","CENTRAL STORES DISPATCH",IFNA(IFNA(VLOOKUP(F192,'Raw Platform Nov 4-6 2025'!C:C,1,FALSE),VLOOKUP(F192,'Raw Platform Nov 4-6 2025'!D:D,1,FALSE)),IFNA(VLOOKUP(F192,'Glovo Raw Nov 4-6 2025'!B:B,1,FALSE),"Not Matched"))))))</f>
      </c>
      <c r="H192">
        <f>COUNTIF(F:F,F192)</f>
      </c>
      <c r="I192" t="s">
        <v>5960</v>
      </c>
      <c r="J192" t="s">
        <v>4915</v>
      </c>
      <c r="K192" t="s">
        <v>4927</v>
      </c>
      <c r="L192" t="s">
        <v>5961</v>
      </c>
      <c r="M192" t="s">
        <v>5962</v>
      </c>
      <c r="N192" t="s">
        <v>4973</v>
      </c>
      <c r="O192" t="s">
        <v>123</v>
      </c>
      <c r="P192" t="s">
        <v>5820</v>
      </c>
      <c r="Q192">
        <v>0</v>
      </c>
      <c r="R192" t="s">
        <v>5118</v>
      </c>
      <c r="S192" t="s">
        <v>12</v>
      </c>
      <c r="T192" t="s">
        <v>4923</v>
      </c>
      <c r="U192" t="s">
        <v>4924</v>
      </c>
      <c r="V192" t="s">
        <v>5963</v>
      </c>
      <c r="W192" t="s">
        <v>3667</v>
      </c>
      <c r="X192">
        <v>139.1</v>
      </c>
    </row>
    <row r="193" spans="1:24" x14ac:dyDescent="0.25">
      <c r="A193" t="s">
        <v>5176</v>
      </c>
      <c r="B193" t="s">
        <v>5932</v>
      </c>
      <c r="C193" t="s">
        <v>5933</v>
      </c>
      <c r="D193" t="s">
        <v>30</v>
      </c>
      <c r="E193" t="s">
        <v>4913</v>
      </c>
      <c r="F193" t="s">
        <v>5964</v>
      </c>
      <c r="G193">
        <f>IF(K193="Pick-up","PICKUPS",IF(K193="Staff drop-off","STAFF_DROPOFF",IF(K193="Replacements","REPLACEMENT",IF(K193="Central Stores Dispatch","CENTRAL STORES DISPATCH",IFNA(IFNA(VLOOKUP(F193,'Raw Platform Nov 4-6 2025'!C:C,1,FALSE),VLOOKUP(F193,'Raw Platform Nov 4-6 2025'!D:D,1,FALSE)),IFNA(VLOOKUP(F193,'Glovo Raw Nov 4-6 2025'!B:B,1,FALSE),"Not Matched"))))))</f>
      </c>
      <c r="H193">
        <f>COUNTIF(F:F,F193)</f>
      </c>
      <c r="I193" t="s">
        <v>5965</v>
      </c>
      <c r="J193" t="s">
        <v>4915</v>
      </c>
      <c r="K193" t="s">
        <v>4927</v>
      </c>
      <c r="L193" t="s">
        <v>5966</v>
      </c>
      <c r="M193" t="s">
        <v>5967</v>
      </c>
      <c r="N193" t="s">
        <v>5968</v>
      </c>
      <c r="O193" t="s">
        <v>123</v>
      </c>
      <c r="P193" t="s">
        <v>5062</v>
      </c>
      <c r="Q193">
        <v>0</v>
      </c>
      <c r="R193" t="s">
        <v>5118</v>
      </c>
      <c r="S193" t="s">
        <v>29</v>
      </c>
      <c r="T193" t="s">
        <v>4923</v>
      </c>
      <c r="U193" t="s">
        <v>4924</v>
      </c>
      <c r="V193" t="s">
        <v>5969</v>
      </c>
      <c r="W193" t="s">
        <v>3667</v>
      </c>
      <c r="X193">
        <v>127.6</v>
      </c>
    </row>
    <row r="194" spans="1:24" x14ac:dyDescent="0.25">
      <c r="A194" t="s">
        <v>5176</v>
      </c>
      <c r="B194" t="s">
        <v>5932</v>
      </c>
      <c r="C194" t="s">
        <v>5933</v>
      </c>
      <c r="D194" t="s">
        <v>30</v>
      </c>
      <c r="E194" t="s">
        <v>4913</v>
      </c>
      <c r="F194" t="s">
        <v>816</v>
      </c>
      <c r="G194">
        <f>IF(K194="Pick-up","PICKUPS",IF(K194="Staff drop-off","STAFF_DROPOFF",IF(K194="Replacements","REPLACEMENT",IF(K194="Central Stores Dispatch","CENTRAL STORES DISPATCH",IFNA(IFNA(VLOOKUP(F194,'Raw Platform Nov 4-6 2025'!C:C,1,FALSE),VLOOKUP(F194,'Raw Platform Nov 4-6 2025'!D:D,1,FALSE)),IFNA(VLOOKUP(F194,'Glovo Raw Nov 4-6 2025'!B:B,1,FALSE),"Not Matched"))))))</f>
      </c>
      <c r="H194">
        <f>COUNTIF(F:F,F194)</f>
      </c>
      <c r="I194" t="s">
        <v>5970</v>
      </c>
      <c r="J194" t="s">
        <v>4915</v>
      </c>
      <c r="K194" t="s">
        <v>4927</v>
      </c>
      <c r="L194" t="s">
        <v>5971</v>
      </c>
      <c r="M194" t="s">
        <v>5327</v>
      </c>
      <c r="N194" t="s">
        <v>5972</v>
      </c>
      <c r="O194" t="s">
        <v>123</v>
      </c>
      <c r="P194" t="s">
        <v>5820</v>
      </c>
      <c r="Q194">
        <v>0</v>
      </c>
      <c r="R194" t="s">
        <v>5118</v>
      </c>
      <c r="S194" t="s">
        <v>45</v>
      </c>
      <c r="T194" t="s">
        <v>4923</v>
      </c>
      <c r="U194" t="s">
        <v>4924</v>
      </c>
      <c r="V194" t="s">
        <v>5973</v>
      </c>
      <c r="W194" t="s">
        <v>3667</v>
      </c>
      <c r="X194">
        <v>139.1</v>
      </c>
    </row>
    <row r="195" spans="1:24" x14ac:dyDescent="0.25">
      <c r="A195" t="s">
        <v>5176</v>
      </c>
      <c r="B195" t="s">
        <v>5932</v>
      </c>
      <c r="C195" t="s">
        <v>5933</v>
      </c>
      <c r="D195" t="s">
        <v>30</v>
      </c>
      <c r="E195" t="s">
        <v>4913</v>
      </c>
      <c r="F195" t="s">
        <v>2105</v>
      </c>
      <c r="G195">
        <f>IF(K195="Pick-up","PICKUPS",IF(K195="Staff drop-off","STAFF_DROPOFF",IF(K195="Replacements","REPLACEMENT",IF(K195="Central Stores Dispatch","CENTRAL STORES DISPATCH",IFNA(IFNA(VLOOKUP(F195,'Raw Platform Nov 4-6 2025'!C:C,1,FALSE),VLOOKUP(F195,'Raw Platform Nov 4-6 2025'!D:D,1,FALSE)),IFNA(VLOOKUP(F195,'Glovo Raw Nov 4-6 2025'!B:B,1,FALSE),"Not Matched"))))))</f>
      </c>
      <c r="H195">
        <f>COUNTIF(F:F,F195)</f>
      </c>
      <c r="I195" t="s">
        <v>5974</v>
      </c>
      <c r="J195" t="s">
        <v>4915</v>
      </c>
      <c r="K195" t="s">
        <v>4916</v>
      </c>
      <c r="L195" t="s">
        <v>5975</v>
      </c>
      <c r="M195" t="s">
        <v>5976</v>
      </c>
      <c r="N195" t="s">
        <v>5977</v>
      </c>
      <c r="O195" t="s">
        <v>32</v>
      </c>
      <c r="P195" t="s">
        <v>5978</v>
      </c>
      <c r="Q195">
        <v>3518</v>
      </c>
      <c r="R195" t="s">
        <v>5118</v>
      </c>
      <c r="S195" t="s">
        <v>29</v>
      </c>
      <c r="T195" t="s">
        <v>4923</v>
      </c>
      <c r="U195" t="s">
        <v>4924</v>
      </c>
      <c r="V195" t="s">
        <v>5979</v>
      </c>
      <c r="W195" t="s">
        <v>3667</v>
      </c>
      <c r="X195">
        <v>279.4</v>
      </c>
    </row>
    <row r="196" spans="1:24" x14ac:dyDescent="0.25">
      <c r="A196" t="s">
        <v>5176</v>
      </c>
      <c r="B196" t="s">
        <v>5932</v>
      </c>
      <c r="C196" t="s">
        <v>5933</v>
      </c>
      <c r="D196" t="s">
        <v>30</v>
      </c>
      <c r="E196" t="s">
        <v>4913</v>
      </c>
      <c r="F196" t="s">
        <v>2125</v>
      </c>
      <c r="G196">
        <f>IF(K196="Pick-up","PICKUPS",IF(K196="Staff drop-off","STAFF_DROPOFF",IF(K196="Replacements","REPLACEMENT",IF(K196="Central Stores Dispatch","CENTRAL STORES DISPATCH",IFNA(IFNA(VLOOKUP(F196,'Raw Platform Nov 4-6 2025'!C:C,1,FALSE),VLOOKUP(F196,'Raw Platform Nov 4-6 2025'!D:D,1,FALSE)),IFNA(VLOOKUP(F196,'Glovo Raw Nov 4-6 2025'!B:B,1,FALSE),"Not Matched"))))))</f>
      </c>
      <c r="H196">
        <f>COUNTIF(F:F,F196)</f>
      </c>
      <c r="I196" t="s">
        <v>5980</v>
      </c>
      <c r="J196" t="s">
        <v>4915</v>
      </c>
      <c r="K196" t="s">
        <v>4927</v>
      </c>
      <c r="L196" t="s">
        <v>5981</v>
      </c>
      <c r="M196" t="s">
        <v>5327</v>
      </c>
      <c r="N196" t="s">
        <v>5982</v>
      </c>
      <c r="O196" t="s">
        <v>91</v>
      </c>
      <c r="P196" t="s">
        <v>5983</v>
      </c>
      <c r="Q196">
        <v>0</v>
      </c>
      <c r="R196" t="s">
        <v>5118</v>
      </c>
      <c r="S196" t="s">
        <v>172</v>
      </c>
      <c r="T196" t="s">
        <v>4923</v>
      </c>
      <c r="U196" t="s">
        <v>4924</v>
      </c>
      <c r="V196" t="s">
        <v>5984</v>
      </c>
      <c r="W196" t="s">
        <v>3667</v>
      </c>
      <c r="X196">
        <v>302.4</v>
      </c>
    </row>
    <row r="197" spans="1:24" x14ac:dyDescent="0.25">
      <c r="A197" t="s">
        <v>5176</v>
      </c>
      <c r="B197" t="s">
        <v>5932</v>
      </c>
      <c r="C197" t="s">
        <v>5933</v>
      </c>
      <c r="D197" t="s">
        <v>30</v>
      </c>
      <c r="E197" t="s">
        <v>4913</v>
      </c>
      <c r="F197" t="s">
        <v>2425</v>
      </c>
      <c r="G197">
        <f>IF(K197="Pick-up","PICKUPS",IF(K197="Staff drop-off","STAFF_DROPOFF",IF(K197="Replacements","REPLACEMENT",IF(K197="Central Stores Dispatch","CENTRAL STORES DISPATCH",IFNA(IFNA(VLOOKUP(F197,'Raw Platform Nov 4-6 2025'!C:C,1,FALSE),VLOOKUP(F197,'Raw Platform Nov 4-6 2025'!D:D,1,FALSE)),IFNA(VLOOKUP(F197,'Glovo Raw Nov 4-6 2025'!B:B,1,FALSE),"Not Matched"))))))</f>
      </c>
      <c r="H197">
        <f>COUNTIF(F:F,F197)</f>
      </c>
      <c r="I197" t="s">
        <v>5985</v>
      </c>
      <c r="J197" t="s">
        <v>4915</v>
      </c>
      <c r="K197" t="s">
        <v>4927</v>
      </c>
      <c r="L197" t="s">
        <v>5986</v>
      </c>
      <c r="M197" t="s">
        <v>5987</v>
      </c>
      <c r="N197" t="s">
        <v>5988</v>
      </c>
      <c r="O197" t="s">
        <v>26</v>
      </c>
      <c r="P197" t="s">
        <v>4996</v>
      </c>
      <c r="Q197">
        <v>0</v>
      </c>
      <c r="R197" t="s">
        <v>5118</v>
      </c>
      <c r="S197" t="s">
        <v>116</v>
      </c>
      <c r="T197" t="s">
        <v>4923</v>
      </c>
      <c r="U197" t="s">
        <v>4924</v>
      </c>
      <c r="V197" t="s">
        <v>5989</v>
      </c>
      <c r="W197" t="s">
        <v>3667</v>
      </c>
      <c r="X197">
        <v>129.9</v>
      </c>
    </row>
    <row r="198" spans="1:24" x14ac:dyDescent="0.25">
      <c r="A198" t="s">
        <v>5176</v>
      </c>
      <c r="B198" t="s">
        <v>5932</v>
      </c>
      <c r="C198" t="s">
        <v>5933</v>
      </c>
      <c r="D198" t="s">
        <v>30</v>
      </c>
      <c r="E198" t="s">
        <v>4913</v>
      </c>
      <c r="F198" t="s">
        <v>2210</v>
      </c>
      <c r="G198">
        <f>IF(K198="Pick-up","PICKUPS",IF(K198="Staff drop-off","STAFF_DROPOFF",IF(K198="Replacements","REPLACEMENT",IF(K198="Central Stores Dispatch","CENTRAL STORES DISPATCH",IFNA(IFNA(VLOOKUP(F198,'Raw Platform Nov 4-6 2025'!C:C,1,FALSE),VLOOKUP(F198,'Raw Platform Nov 4-6 2025'!D:D,1,FALSE)),IFNA(VLOOKUP(F198,'Glovo Raw Nov 4-6 2025'!B:B,1,FALSE),"Not Matched"))))))</f>
      </c>
      <c r="H198">
        <f>COUNTIF(F:F,F198)</f>
      </c>
      <c r="I198" t="s">
        <v>5990</v>
      </c>
      <c r="J198" t="s">
        <v>4915</v>
      </c>
      <c r="K198" t="s">
        <v>4927</v>
      </c>
      <c r="L198" t="s">
        <v>5991</v>
      </c>
      <c r="M198" t="s">
        <v>5992</v>
      </c>
      <c r="N198" t="s">
        <v>5993</v>
      </c>
      <c r="O198" t="s">
        <v>4962</v>
      </c>
      <c r="P198" t="s">
        <v>5097</v>
      </c>
      <c r="Q198">
        <v>0</v>
      </c>
      <c r="R198" t="s">
        <v>5118</v>
      </c>
      <c r="S198" t="s">
        <v>29</v>
      </c>
      <c r="T198" t="s">
        <v>4923</v>
      </c>
      <c r="U198" t="s">
        <v>4924</v>
      </c>
      <c r="V198" t="s">
        <v>5994</v>
      </c>
      <c r="W198" t="s">
        <v>3667</v>
      </c>
      <c r="X198">
        <v>100</v>
      </c>
    </row>
    <row r="199" spans="1:24" x14ac:dyDescent="0.25">
      <c r="A199" t="s">
        <v>5176</v>
      </c>
      <c r="B199" t="s">
        <v>5932</v>
      </c>
      <c r="C199" t="s">
        <v>5933</v>
      </c>
      <c r="D199" t="s">
        <v>191</v>
      </c>
      <c r="E199" t="s">
        <v>4913</v>
      </c>
      <c r="F199" t="s">
        <v>1461</v>
      </c>
      <c r="G199">
        <f>IF(K199="Pick-up","PICKUPS",IF(K199="Staff drop-off","STAFF_DROPOFF",IF(K199="Replacements","REPLACEMENT",IF(K199="Central Stores Dispatch","CENTRAL STORES DISPATCH",IFNA(IFNA(VLOOKUP(F199,'Raw Platform Nov 4-6 2025'!C:C,1,FALSE),VLOOKUP(F199,'Raw Platform Nov 4-6 2025'!D:D,1,FALSE)),IFNA(VLOOKUP(F199,'Glovo Raw Nov 4-6 2025'!B:B,1,FALSE),"Not Matched"))))))</f>
      </c>
      <c r="H199">
        <f>COUNTIF(F:F,F199)</f>
      </c>
      <c r="I199" t="s">
        <v>5995</v>
      </c>
      <c r="J199" t="s">
        <v>4915</v>
      </c>
      <c r="K199" t="s">
        <v>4916</v>
      </c>
      <c r="L199" t="s">
        <v>5996</v>
      </c>
      <c r="M199" t="s">
        <v>5997</v>
      </c>
      <c r="N199" t="s">
        <v>5998</v>
      </c>
      <c r="O199" t="s">
        <v>37</v>
      </c>
      <c r="P199" t="s">
        <v>5190</v>
      </c>
      <c r="Q199">
        <v>1592</v>
      </c>
      <c r="R199" t="s">
        <v>5118</v>
      </c>
      <c r="S199" t="s">
        <v>5184</v>
      </c>
      <c r="T199" t="s">
        <v>4923</v>
      </c>
      <c r="U199" t="s">
        <v>4924</v>
      </c>
      <c r="V199" t="s">
        <v>5999</v>
      </c>
      <c r="W199" t="s">
        <v>3667</v>
      </c>
      <c r="X199">
        <v>270.2</v>
      </c>
    </row>
    <row r="200" spans="1:24" x14ac:dyDescent="0.25">
      <c r="A200" t="s">
        <v>5176</v>
      </c>
      <c r="B200" t="s">
        <v>5932</v>
      </c>
      <c r="C200" t="s">
        <v>5933</v>
      </c>
      <c r="D200" t="s">
        <v>30</v>
      </c>
      <c r="E200" t="s">
        <v>5034</v>
      </c>
      <c r="F200" t="s">
        <v>2024</v>
      </c>
      <c r="G200">
        <f>IF(K200="Pick-up","PICKUPS",IF(K200="Staff drop-off","STAFF_DROPOFF",IF(K200="Replacements","REPLACEMENT",IF(K200="Central Stores Dispatch","CENTRAL STORES DISPATCH",IFNA(IFNA(VLOOKUP(F200,'Raw Platform Nov 4-6 2025'!C:C,1,FALSE),VLOOKUP(F200,'Raw Platform Nov 4-6 2025'!D:D,1,FALSE)),IFNA(VLOOKUP(F200,'Glovo Raw Nov 4-6 2025'!B:B,1,FALSE),"Not Matched"))))))</f>
      </c>
      <c r="H200">
        <f>COUNTIF(F:F,F200)</f>
      </c>
      <c r="I200" t="s">
        <v>6000</v>
      </c>
      <c r="J200" t="s">
        <v>4915</v>
      </c>
      <c r="K200" t="s">
        <v>4927</v>
      </c>
      <c r="L200" t="s">
        <v>6001</v>
      </c>
      <c r="M200" t="s">
        <v>6002</v>
      </c>
      <c r="N200" t="s">
        <v>6003</v>
      </c>
      <c r="O200" t="s">
        <v>37</v>
      </c>
      <c r="P200" t="s">
        <v>5328</v>
      </c>
      <c r="Q200">
        <v>0</v>
      </c>
      <c r="R200" t="s">
        <v>5118</v>
      </c>
      <c r="S200" t="s">
        <v>29</v>
      </c>
      <c r="T200" t="s">
        <v>4923</v>
      </c>
      <c r="U200" t="s">
        <v>4923</v>
      </c>
      <c r="V200" t="s">
        <v>6004</v>
      </c>
      <c r="W200" t="s">
        <v>3667</v>
      </c>
      <c r="X200">
        <v>0</v>
      </c>
    </row>
    <row r="201" spans="1:24" x14ac:dyDescent="0.25">
      <c r="A201" t="s">
        <v>5176</v>
      </c>
      <c r="B201" t="s">
        <v>5932</v>
      </c>
      <c r="C201" t="s">
        <v>5933</v>
      </c>
      <c r="D201" t="s">
        <v>30</v>
      </c>
      <c r="E201" t="s">
        <v>4913</v>
      </c>
      <c r="F201" t="s">
        <v>2024</v>
      </c>
      <c r="G201">
        <f>IF(K201="Pick-up","PICKUPS",IF(K201="Staff drop-off","STAFF_DROPOFF",IF(K201="Replacements","REPLACEMENT",IF(K201="Central Stores Dispatch","CENTRAL STORES DISPATCH",IFNA(IFNA(VLOOKUP(F201,'Raw Platform Nov 4-6 2025'!C:C,1,FALSE),VLOOKUP(F201,'Raw Platform Nov 4-6 2025'!D:D,1,FALSE)),IFNA(VLOOKUP(F201,'Glovo Raw Nov 4-6 2025'!B:B,1,FALSE),"Not Matched"))))))</f>
      </c>
      <c r="H201">
        <f>COUNTIF(F:F,F201)</f>
      </c>
      <c r="I201" t="s">
        <v>6000</v>
      </c>
      <c r="J201" t="s">
        <v>4915</v>
      </c>
      <c r="K201" t="s">
        <v>4927</v>
      </c>
      <c r="L201" t="s">
        <v>6001</v>
      </c>
      <c r="M201" t="s">
        <v>6002</v>
      </c>
      <c r="N201" t="s">
        <v>6003</v>
      </c>
      <c r="O201" t="s">
        <v>37</v>
      </c>
      <c r="P201" t="s">
        <v>5328</v>
      </c>
      <c r="Q201">
        <v>0</v>
      </c>
      <c r="R201" t="s">
        <v>5118</v>
      </c>
      <c r="S201" t="s">
        <v>29</v>
      </c>
      <c r="T201" t="s">
        <v>4923</v>
      </c>
      <c r="U201" t="s">
        <v>4924</v>
      </c>
      <c r="V201" t="s">
        <v>6005</v>
      </c>
      <c r="W201" t="s">
        <v>3667</v>
      </c>
      <c r="X201">
        <v>205.8</v>
      </c>
    </row>
    <row r="202" spans="1:24" x14ac:dyDescent="0.25">
      <c r="A202" t="s">
        <v>5176</v>
      </c>
      <c r="B202" t="s">
        <v>5932</v>
      </c>
      <c r="C202" t="s">
        <v>5933</v>
      </c>
      <c r="D202" t="s">
        <v>30</v>
      </c>
      <c r="E202" t="s">
        <v>4913</v>
      </c>
      <c r="F202" t="s">
        <v>2127</v>
      </c>
      <c r="G202">
        <f>IF(K202="Pick-up","PICKUPS",IF(K202="Staff drop-off","STAFF_DROPOFF",IF(K202="Replacements","REPLACEMENT",IF(K202="Central Stores Dispatch","CENTRAL STORES DISPATCH",IFNA(IFNA(VLOOKUP(F202,'Raw Platform Nov 4-6 2025'!C:C,1,FALSE),VLOOKUP(F202,'Raw Platform Nov 4-6 2025'!D:D,1,FALSE)),IFNA(VLOOKUP(F202,'Glovo Raw Nov 4-6 2025'!B:B,1,FALSE),"Not Matched"))))))</f>
      </c>
      <c r="H202">
        <f>COUNTIF(F:F,F202)</f>
      </c>
      <c r="I202" t="s">
        <v>6006</v>
      </c>
      <c r="J202" t="s">
        <v>4915</v>
      </c>
      <c r="K202" t="s">
        <v>4927</v>
      </c>
      <c r="L202" t="s">
        <v>6007</v>
      </c>
      <c r="M202" t="s">
        <v>6008</v>
      </c>
      <c r="N202" t="s">
        <v>6009</v>
      </c>
      <c r="O202" t="s">
        <v>47</v>
      </c>
      <c r="P202" t="s">
        <v>5019</v>
      </c>
      <c r="Q202">
        <v>0</v>
      </c>
      <c r="R202" t="s">
        <v>5118</v>
      </c>
      <c r="S202" t="s">
        <v>29</v>
      </c>
      <c r="T202" t="s">
        <v>4923</v>
      </c>
      <c r="U202" t="s">
        <v>4924</v>
      </c>
      <c r="V202" t="s">
        <v>6010</v>
      </c>
      <c r="W202" t="s">
        <v>3667</v>
      </c>
      <c r="X202">
        <v>100</v>
      </c>
    </row>
    <row r="203" spans="1:24" x14ac:dyDescent="0.25">
      <c r="A203" t="s">
        <v>5176</v>
      </c>
      <c r="B203" t="s">
        <v>5932</v>
      </c>
      <c r="C203" t="s">
        <v>5933</v>
      </c>
      <c r="D203" t="s">
        <v>30</v>
      </c>
      <c r="E203" t="s">
        <v>4913</v>
      </c>
      <c r="F203" t="s">
        <v>3567</v>
      </c>
      <c r="G203">
        <f>IF(K203="Pick-up","PICKUPS",IF(K203="Staff drop-off","STAFF_DROPOFF",IF(K203="Replacements","REPLACEMENT",IF(K203="Central Stores Dispatch","CENTRAL STORES DISPATCH",IFNA(IFNA(VLOOKUP(F203,'Raw Platform Nov 4-6 2025'!C:C,1,FALSE),VLOOKUP(F203,'Raw Platform Nov 4-6 2025'!D:D,1,FALSE)),IFNA(VLOOKUP(F203,'Glovo Raw Nov 4-6 2025'!B:B,1,FALSE),"Not Matched"))))))</f>
      </c>
      <c r="H203">
        <f>COUNTIF(F:F,F203)</f>
      </c>
      <c r="I203" t="s">
        <v>6011</v>
      </c>
      <c r="J203" t="s">
        <v>4915</v>
      </c>
      <c r="K203" t="s">
        <v>4927</v>
      </c>
      <c r="L203" t="s">
        <v>6012</v>
      </c>
      <c r="M203" t="s">
        <v>6013</v>
      </c>
      <c r="N203" t="s">
        <v>6014</v>
      </c>
      <c r="O203" t="s">
        <v>53</v>
      </c>
      <c r="P203" t="s">
        <v>5541</v>
      </c>
      <c r="Q203">
        <v>0</v>
      </c>
      <c r="R203" t="s">
        <v>5118</v>
      </c>
      <c r="S203" t="s">
        <v>116</v>
      </c>
      <c r="T203" t="s">
        <v>4923</v>
      </c>
      <c r="U203" t="s">
        <v>4924</v>
      </c>
      <c r="V203" t="s">
        <v>6015</v>
      </c>
      <c r="W203" t="s">
        <v>3667</v>
      </c>
      <c r="X203">
        <v>100</v>
      </c>
    </row>
    <row r="204" spans="1:24" x14ac:dyDescent="0.25">
      <c r="A204" t="s">
        <v>5176</v>
      </c>
      <c r="B204" t="s">
        <v>5932</v>
      </c>
      <c r="C204" t="s">
        <v>5933</v>
      </c>
      <c r="D204" t="s">
        <v>30</v>
      </c>
      <c r="E204" t="s">
        <v>4913</v>
      </c>
      <c r="F204" t="s">
        <v>2916</v>
      </c>
      <c r="G204">
        <f>IF(K204="Pick-up","PICKUPS",IF(K204="Staff drop-off","STAFF_DROPOFF",IF(K204="Replacements","REPLACEMENT",IF(K204="Central Stores Dispatch","CENTRAL STORES DISPATCH",IFNA(IFNA(VLOOKUP(F204,'Raw Platform Nov 4-6 2025'!C:C,1,FALSE),VLOOKUP(F204,'Raw Platform Nov 4-6 2025'!D:D,1,FALSE)),IFNA(VLOOKUP(F204,'Glovo Raw Nov 4-6 2025'!B:B,1,FALSE),"Not Matched"))))))</f>
      </c>
      <c r="H204">
        <f>COUNTIF(F:F,F204)</f>
      </c>
      <c r="I204" t="s">
        <v>6016</v>
      </c>
      <c r="J204" t="s">
        <v>4915</v>
      </c>
      <c r="K204" t="s">
        <v>4916</v>
      </c>
      <c r="L204" t="s">
        <v>6017</v>
      </c>
      <c r="M204" t="s">
        <v>6018</v>
      </c>
      <c r="N204" t="s">
        <v>6019</v>
      </c>
      <c r="O204" t="s">
        <v>42</v>
      </c>
      <c r="P204" t="s">
        <v>5672</v>
      </c>
      <c r="Q204">
        <v>952</v>
      </c>
      <c r="R204" t="s">
        <v>5118</v>
      </c>
      <c r="S204" t="s">
        <v>116</v>
      </c>
      <c r="T204" t="s">
        <v>4923</v>
      </c>
      <c r="U204" t="s">
        <v>4924</v>
      </c>
      <c r="V204" t="s">
        <v>6020</v>
      </c>
      <c r="W204" t="s">
        <v>3667</v>
      </c>
      <c r="X204">
        <v>244.9</v>
      </c>
    </row>
    <row r="205" spans="1:24" x14ac:dyDescent="0.25">
      <c r="A205" t="s">
        <v>5176</v>
      </c>
      <c r="B205" t="s">
        <v>5932</v>
      </c>
      <c r="C205" t="s">
        <v>5933</v>
      </c>
      <c r="D205" t="s">
        <v>30</v>
      </c>
      <c r="E205" t="s">
        <v>4913</v>
      </c>
      <c r="F205" t="s">
        <v>2794</v>
      </c>
      <c r="G205">
        <f>IF(K205="Pick-up","PICKUPS",IF(K205="Staff drop-off","STAFF_DROPOFF",IF(K205="Replacements","REPLACEMENT",IF(K205="Central Stores Dispatch","CENTRAL STORES DISPATCH",IFNA(IFNA(VLOOKUP(F205,'Raw Platform Nov 4-6 2025'!C:C,1,FALSE),VLOOKUP(F205,'Raw Platform Nov 4-6 2025'!D:D,1,FALSE)),IFNA(VLOOKUP(F205,'Glovo Raw Nov 4-6 2025'!B:B,1,FALSE),"Not Matched"))))))</f>
      </c>
      <c r="H205">
        <f>COUNTIF(F:F,F205)</f>
      </c>
      <c r="I205" t="s">
        <v>6021</v>
      </c>
      <c r="J205" t="s">
        <v>4915</v>
      </c>
      <c r="K205" t="s">
        <v>4916</v>
      </c>
      <c r="L205" t="s">
        <v>6022</v>
      </c>
      <c r="M205" t="s">
        <v>6023</v>
      </c>
      <c r="N205" t="s">
        <v>6024</v>
      </c>
      <c r="O205" t="s">
        <v>73</v>
      </c>
      <c r="P205" t="s">
        <v>5128</v>
      </c>
      <c r="Q205">
        <v>1786</v>
      </c>
      <c r="R205" t="s">
        <v>5118</v>
      </c>
      <c r="S205" t="s">
        <v>29</v>
      </c>
      <c r="T205" t="s">
        <v>4923</v>
      </c>
      <c r="U205" t="s">
        <v>4924</v>
      </c>
      <c r="V205" t="s">
        <v>6025</v>
      </c>
      <c r="W205" t="s">
        <v>3667</v>
      </c>
      <c r="X205">
        <v>116.1</v>
      </c>
    </row>
    <row r="206" spans="1:24" x14ac:dyDescent="0.25">
      <c r="A206" t="s">
        <v>5176</v>
      </c>
      <c r="B206" t="s">
        <v>5932</v>
      </c>
      <c r="C206" t="s">
        <v>5933</v>
      </c>
      <c r="D206" t="s">
        <v>30</v>
      </c>
      <c r="E206" t="s">
        <v>4913</v>
      </c>
      <c r="F206" t="s">
        <v>2691</v>
      </c>
      <c r="G206">
        <f>IF(K206="Pick-up","PICKUPS",IF(K206="Staff drop-off","STAFF_DROPOFF",IF(K206="Replacements","REPLACEMENT",IF(K206="Central Stores Dispatch","CENTRAL STORES DISPATCH",IFNA(IFNA(VLOOKUP(F206,'Raw Platform Nov 4-6 2025'!C:C,1,FALSE),VLOOKUP(F206,'Raw Platform Nov 4-6 2025'!D:D,1,FALSE)),IFNA(VLOOKUP(F206,'Glovo Raw Nov 4-6 2025'!B:B,1,FALSE),"Not Matched"))))))</f>
      </c>
      <c r="H206">
        <f>COUNTIF(F:F,F206)</f>
      </c>
      <c r="I206" t="s">
        <v>6026</v>
      </c>
      <c r="J206" t="s">
        <v>4915</v>
      </c>
      <c r="K206" t="s">
        <v>4927</v>
      </c>
      <c r="L206" t="s">
        <v>6027</v>
      </c>
      <c r="M206" t="s">
        <v>6028</v>
      </c>
      <c r="N206" t="s">
        <v>6029</v>
      </c>
      <c r="O206" t="s">
        <v>47</v>
      </c>
      <c r="P206" t="s">
        <v>5045</v>
      </c>
      <c r="Q206">
        <v>0</v>
      </c>
      <c r="R206" t="s">
        <v>5118</v>
      </c>
      <c r="S206" t="s">
        <v>45</v>
      </c>
      <c r="T206" t="s">
        <v>4923</v>
      </c>
      <c r="U206" t="s">
        <v>4924</v>
      </c>
      <c r="V206" t="s">
        <v>6030</v>
      </c>
      <c r="W206" t="s">
        <v>3667</v>
      </c>
      <c r="X206">
        <v>102.3</v>
      </c>
    </row>
    <row r="207" spans="1:24" x14ac:dyDescent="0.25">
      <c r="A207" t="s">
        <v>5176</v>
      </c>
      <c r="B207" t="s">
        <v>5932</v>
      </c>
      <c r="C207" t="s">
        <v>5933</v>
      </c>
      <c r="D207" t="s">
        <v>30</v>
      </c>
      <c r="E207" t="s">
        <v>4913</v>
      </c>
      <c r="F207" t="s">
        <v>2719</v>
      </c>
      <c r="G207">
        <f>IF(K207="Pick-up","PICKUPS",IF(K207="Staff drop-off","STAFF_DROPOFF",IF(K207="Replacements","REPLACEMENT",IF(K207="Central Stores Dispatch","CENTRAL STORES DISPATCH",IFNA(IFNA(VLOOKUP(F207,'Raw Platform Nov 4-6 2025'!C:C,1,FALSE),VLOOKUP(F207,'Raw Platform Nov 4-6 2025'!D:D,1,FALSE)),IFNA(VLOOKUP(F207,'Glovo Raw Nov 4-6 2025'!B:B,1,FALSE),"Not Matched"))))))</f>
      </c>
      <c r="H207">
        <f>COUNTIF(F:F,F207)</f>
      </c>
      <c r="I207" t="s">
        <v>6031</v>
      </c>
      <c r="J207" t="s">
        <v>4915</v>
      </c>
      <c r="K207" t="s">
        <v>4927</v>
      </c>
      <c r="L207" t="s">
        <v>6032</v>
      </c>
      <c r="M207" t="s">
        <v>6033</v>
      </c>
      <c r="N207" t="s">
        <v>6034</v>
      </c>
      <c r="O207" t="s">
        <v>53</v>
      </c>
      <c r="P207" t="s">
        <v>5019</v>
      </c>
      <c r="Q207">
        <v>0</v>
      </c>
      <c r="R207" t="s">
        <v>5118</v>
      </c>
      <c r="S207" t="s">
        <v>29</v>
      </c>
      <c r="T207" t="s">
        <v>4923</v>
      </c>
      <c r="U207" t="s">
        <v>4924</v>
      </c>
      <c r="V207" t="s">
        <v>6035</v>
      </c>
      <c r="W207" t="s">
        <v>3667</v>
      </c>
      <c r="X207">
        <v>100</v>
      </c>
    </row>
    <row r="208" spans="1:24" x14ac:dyDescent="0.25">
      <c r="A208" t="s">
        <v>5130</v>
      </c>
      <c r="B208" t="s">
        <v>6036</v>
      </c>
      <c r="C208" t="s">
        <v>6037</v>
      </c>
      <c r="D208" t="s">
        <v>24</v>
      </c>
      <c r="E208" t="s">
        <v>4913</v>
      </c>
      <c r="F208" t="s">
        <v>1169</v>
      </c>
      <c r="G208">
        <f>IF(K208="Pick-up","PICKUPS",IF(K208="Staff drop-off","STAFF_DROPOFF",IF(K208="Replacements","REPLACEMENT",IF(K208="Central Stores Dispatch","CENTRAL STORES DISPATCH",IFNA(IFNA(VLOOKUP(F208,'Raw Platform Nov 4-6 2025'!C:C,1,FALSE),VLOOKUP(F208,'Raw Platform Nov 4-6 2025'!D:D,1,FALSE)),IFNA(VLOOKUP(F208,'Glovo Raw Nov 4-6 2025'!B:B,1,FALSE),"Not Matched"))))))</f>
      </c>
      <c r="H208">
        <f>COUNTIF(F:F,F208)</f>
      </c>
      <c r="I208" t="s">
        <v>6038</v>
      </c>
      <c r="J208" t="s">
        <v>63</v>
      </c>
      <c r="K208" t="s">
        <v>4927</v>
      </c>
      <c r="L208" t="s">
        <v>5569</v>
      </c>
      <c r="M208" t="s">
        <v>6039</v>
      </c>
      <c r="N208" t="s">
        <v>6040</v>
      </c>
      <c r="O208" t="s">
        <v>5534</v>
      </c>
      <c r="P208" t="s">
        <v>6041</v>
      </c>
      <c r="Q208">
        <v>0</v>
      </c>
      <c r="R208" t="s">
        <v>5118</v>
      </c>
      <c r="S208" t="s">
        <v>45</v>
      </c>
      <c r="T208" t="s">
        <v>4923</v>
      </c>
      <c r="U208" t="s">
        <v>4924</v>
      </c>
      <c r="V208" t="s">
        <v>6042</v>
      </c>
      <c r="W208" t="s">
        <v>3667</v>
      </c>
      <c r="X208">
        <v>399</v>
      </c>
    </row>
    <row r="209" spans="1:24" x14ac:dyDescent="0.25">
      <c r="A209" t="s">
        <v>5130</v>
      </c>
      <c r="B209" t="s">
        <v>6036</v>
      </c>
      <c r="C209" t="s">
        <v>6037</v>
      </c>
      <c r="D209" t="s">
        <v>24</v>
      </c>
      <c r="E209" t="s">
        <v>4913</v>
      </c>
      <c r="F209" t="s">
        <v>381</v>
      </c>
      <c r="G209">
        <f>IF(K209="Pick-up","PICKUPS",IF(K209="Staff drop-off","STAFF_DROPOFF",IF(K209="Replacements","REPLACEMENT",IF(K209="Central Stores Dispatch","CENTRAL STORES DISPATCH",IFNA(IFNA(VLOOKUP(F209,'Raw Platform Nov 4-6 2025'!C:C,1,FALSE),VLOOKUP(F209,'Raw Platform Nov 4-6 2025'!D:D,1,FALSE)),IFNA(VLOOKUP(F209,'Glovo Raw Nov 4-6 2025'!B:B,1,FALSE),"Not Matched"))))))</f>
      </c>
      <c r="H209">
        <f>COUNTIF(F:F,F209)</f>
      </c>
      <c r="I209" t="s">
        <v>6043</v>
      </c>
      <c r="J209" t="s">
        <v>4915</v>
      </c>
      <c r="K209" t="s">
        <v>4927</v>
      </c>
      <c r="L209" t="s">
        <v>6044</v>
      </c>
      <c r="M209" t="s">
        <v>6045</v>
      </c>
      <c r="N209" t="s">
        <v>6046</v>
      </c>
      <c r="O209" t="s">
        <v>47</v>
      </c>
      <c r="P209" t="s">
        <v>5128</v>
      </c>
      <c r="Q209">
        <v>0</v>
      </c>
      <c r="R209" t="s">
        <v>5118</v>
      </c>
      <c r="S209" t="s">
        <v>172</v>
      </c>
      <c r="T209" t="s">
        <v>4923</v>
      </c>
      <c r="U209" t="s">
        <v>4924</v>
      </c>
      <c r="V209" t="s">
        <v>6047</v>
      </c>
      <c r="W209" t="s">
        <v>3667</v>
      </c>
      <c r="X209">
        <v>116.1</v>
      </c>
    </row>
    <row r="210" spans="1:24" x14ac:dyDescent="0.25">
      <c r="A210" t="s">
        <v>5130</v>
      </c>
      <c r="B210" t="s">
        <v>6036</v>
      </c>
      <c r="C210" t="s">
        <v>6037</v>
      </c>
      <c r="D210" t="s">
        <v>24</v>
      </c>
      <c r="E210" t="s">
        <v>4913</v>
      </c>
      <c r="F210" t="s">
        <v>463</v>
      </c>
      <c r="G210">
        <f>IF(K210="Pick-up","PICKUPS",IF(K210="Staff drop-off","STAFF_DROPOFF",IF(K210="Replacements","REPLACEMENT",IF(K210="Central Stores Dispatch","CENTRAL STORES DISPATCH",IFNA(IFNA(VLOOKUP(F210,'Raw Platform Nov 4-6 2025'!C:C,1,FALSE),VLOOKUP(F210,'Raw Platform Nov 4-6 2025'!D:D,1,FALSE)),IFNA(VLOOKUP(F210,'Glovo Raw Nov 4-6 2025'!B:B,1,FALSE),"Not Matched"))))))</f>
      </c>
      <c r="H210">
        <f>COUNTIF(F:F,F210)</f>
      </c>
      <c r="I210" t="s">
        <v>6048</v>
      </c>
      <c r="J210" t="s">
        <v>63</v>
      </c>
      <c r="K210" t="s">
        <v>4927</v>
      </c>
      <c r="L210" t="s">
        <v>6049</v>
      </c>
      <c r="M210" t="s">
        <v>6050</v>
      </c>
      <c r="N210" t="s">
        <v>6051</v>
      </c>
      <c r="O210" t="s">
        <v>53</v>
      </c>
      <c r="P210" t="s">
        <v>5698</v>
      </c>
      <c r="Q210">
        <v>0</v>
      </c>
      <c r="R210" t="s">
        <v>5118</v>
      </c>
      <c r="S210" t="s">
        <v>35</v>
      </c>
      <c r="T210" t="s">
        <v>4923</v>
      </c>
      <c r="U210" t="s">
        <v>4924</v>
      </c>
      <c r="V210" t="s">
        <v>6052</v>
      </c>
      <c r="W210" t="s">
        <v>3667</v>
      </c>
      <c r="X210">
        <v>173.6</v>
      </c>
    </row>
    <row r="211" spans="1:24" x14ac:dyDescent="0.25">
      <c r="A211" t="s">
        <v>5130</v>
      </c>
      <c r="B211" t="s">
        <v>6036</v>
      </c>
      <c r="C211" t="s">
        <v>6037</v>
      </c>
      <c r="D211" t="s">
        <v>24</v>
      </c>
      <c r="E211" t="s">
        <v>4913</v>
      </c>
      <c r="F211" t="s">
        <v>1142</v>
      </c>
      <c r="G211">
        <f>IF(K211="Pick-up","PICKUPS",IF(K211="Staff drop-off","STAFF_DROPOFF",IF(K211="Replacements","REPLACEMENT",IF(K211="Central Stores Dispatch","CENTRAL STORES DISPATCH",IFNA(IFNA(VLOOKUP(F211,'Raw Platform Nov 4-6 2025'!C:C,1,FALSE),VLOOKUP(F211,'Raw Platform Nov 4-6 2025'!D:D,1,FALSE)),IFNA(VLOOKUP(F211,'Glovo Raw Nov 4-6 2025'!B:B,1,FALSE),"Not Matched"))))))</f>
      </c>
      <c r="H211">
        <f>COUNTIF(F:F,F211)</f>
      </c>
      <c r="I211" t="s">
        <v>6053</v>
      </c>
      <c r="J211" t="s">
        <v>4915</v>
      </c>
      <c r="K211" t="s">
        <v>4927</v>
      </c>
      <c r="L211" t="s">
        <v>6054</v>
      </c>
      <c r="M211" t="s">
        <v>6055</v>
      </c>
      <c r="N211" t="s">
        <v>6056</v>
      </c>
      <c r="O211" t="s">
        <v>4962</v>
      </c>
      <c r="P211" t="s">
        <v>4963</v>
      </c>
      <c r="Q211">
        <v>0</v>
      </c>
      <c r="R211" t="s">
        <v>5118</v>
      </c>
      <c r="S211" t="s">
        <v>5136</v>
      </c>
      <c r="T211" t="s">
        <v>4923</v>
      </c>
      <c r="U211" t="s">
        <v>4924</v>
      </c>
      <c r="V211" t="s">
        <v>6057</v>
      </c>
      <c r="W211" t="s">
        <v>3667</v>
      </c>
      <c r="X211">
        <v>100</v>
      </c>
    </row>
    <row r="212" spans="1:24" x14ac:dyDescent="0.25">
      <c r="A212" t="s">
        <v>5130</v>
      </c>
      <c r="B212" t="s">
        <v>6036</v>
      </c>
      <c r="C212" t="s">
        <v>6037</v>
      </c>
      <c r="D212" t="s">
        <v>24</v>
      </c>
      <c r="E212" t="s">
        <v>4913</v>
      </c>
      <c r="F212" t="s">
        <v>534</v>
      </c>
      <c r="G212">
        <f>IF(K212="Pick-up","PICKUPS",IF(K212="Staff drop-off","STAFF_DROPOFF",IF(K212="Replacements","REPLACEMENT",IF(K212="Central Stores Dispatch","CENTRAL STORES DISPATCH",IFNA(IFNA(VLOOKUP(F212,'Raw Platform Nov 4-6 2025'!C:C,1,FALSE),VLOOKUP(F212,'Raw Platform Nov 4-6 2025'!D:D,1,FALSE)),IFNA(VLOOKUP(F212,'Glovo Raw Nov 4-6 2025'!B:B,1,FALSE),"Not Matched"))))))</f>
      </c>
      <c r="H212">
        <f>COUNTIF(F:F,F212)</f>
      </c>
      <c r="I212" t="s">
        <v>6058</v>
      </c>
      <c r="J212" t="s">
        <v>4915</v>
      </c>
      <c r="K212" t="s">
        <v>4927</v>
      </c>
      <c r="L212" t="s">
        <v>6059</v>
      </c>
      <c r="M212" t="s">
        <v>6060</v>
      </c>
      <c r="N212" t="s">
        <v>6061</v>
      </c>
      <c r="O212" t="s">
        <v>4956</v>
      </c>
      <c r="P212" t="s">
        <v>5578</v>
      </c>
      <c r="Q212">
        <v>0</v>
      </c>
      <c r="R212" t="s">
        <v>5118</v>
      </c>
      <c r="S212" t="s">
        <v>50</v>
      </c>
      <c r="T212" t="s">
        <v>4923</v>
      </c>
      <c r="U212" t="s">
        <v>4924</v>
      </c>
      <c r="V212" t="s">
        <v>6062</v>
      </c>
      <c r="W212" t="s">
        <v>3667</v>
      </c>
      <c r="X212">
        <v>100</v>
      </c>
    </row>
    <row r="213" spans="1:24" x14ac:dyDescent="0.25">
      <c r="A213" t="s">
        <v>6063</v>
      </c>
      <c r="B213" t="s">
        <v>6036</v>
      </c>
      <c r="C213" t="s">
        <v>6037</v>
      </c>
      <c r="D213" t="s">
        <v>19</v>
      </c>
      <c r="E213" t="s">
        <v>4913</v>
      </c>
      <c r="F213" t="s">
        <v>6064</v>
      </c>
      <c r="G213">
        <f>IF(K213="Pick-up","PICKUPS",IF(K213="Staff drop-off","STAFF_DROPOFF",IF(K213="Replacements","REPLACEMENT",IF(K213="Central Stores Dispatch","CENTRAL STORES DISPATCH",IFNA(IFNA(VLOOKUP(F213,'Raw Platform Nov 4-6 2025'!C:C,1,FALSE),VLOOKUP(F213,'Raw Platform Nov 4-6 2025'!D:D,1,FALSE)),IFNA(VLOOKUP(F213,'Glovo Raw Nov 4-6 2025'!B:B,1,FALSE),"Not Matched"))))))</f>
      </c>
      <c r="H213">
        <f>COUNTIF(F:F,F213)</f>
      </c>
      <c r="I213" t="s">
        <v>6065</v>
      </c>
      <c r="J213" t="s">
        <v>4915</v>
      </c>
      <c r="K213" t="s">
        <v>4916</v>
      </c>
      <c r="L213" t="s">
        <v>6066</v>
      </c>
      <c r="M213" t="s">
        <v>6067</v>
      </c>
      <c r="N213" t="s">
        <v>6068</v>
      </c>
      <c r="O213" t="s">
        <v>5534</v>
      </c>
      <c r="P213" t="s">
        <v>6069</v>
      </c>
      <c r="Q213">
        <v>3516</v>
      </c>
      <c r="R213" t="s">
        <v>5118</v>
      </c>
      <c r="S213" t="s">
        <v>45</v>
      </c>
      <c r="T213" t="s">
        <v>4923</v>
      </c>
      <c r="U213" t="s">
        <v>4924</v>
      </c>
      <c r="V213" t="s">
        <v>6070</v>
      </c>
      <c r="W213" t="s">
        <v>3667</v>
      </c>
      <c r="X213">
        <v>385.2</v>
      </c>
    </row>
    <row r="214" spans="1:24" x14ac:dyDescent="0.25">
      <c r="A214" t="s">
        <v>5231</v>
      </c>
      <c r="B214" t="s">
        <v>6036</v>
      </c>
      <c r="C214" t="s">
        <v>6037</v>
      </c>
      <c r="D214" t="s">
        <v>191</v>
      </c>
      <c r="E214" t="s">
        <v>4913</v>
      </c>
      <c r="F214" t="s">
        <v>1114</v>
      </c>
      <c r="G214">
        <f>IF(K214="Pick-up","PICKUPS",IF(K214="Staff drop-off","STAFF_DROPOFF",IF(K214="Replacements","REPLACEMENT",IF(K214="Central Stores Dispatch","CENTRAL STORES DISPATCH",IFNA(IFNA(VLOOKUP(F214,'Raw Platform Nov 4-6 2025'!C:C,1,FALSE),VLOOKUP(F214,'Raw Platform Nov 4-6 2025'!D:D,1,FALSE)),IFNA(VLOOKUP(F214,'Glovo Raw Nov 4-6 2025'!B:B,1,FALSE),"Not Matched"))))))</f>
      </c>
      <c r="H214">
        <f>COUNTIF(F:F,F214)</f>
      </c>
      <c r="I214" t="s">
        <v>6071</v>
      </c>
      <c r="J214" t="s">
        <v>4915</v>
      </c>
      <c r="K214" t="s">
        <v>4927</v>
      </c>
      <c r="L214" t="s">
        <v>6072</v>
      </c>
      <c r="M214" t="s">
        <v>6073</v>
      </c>
      <c r="N214" t="s">
        <v>5453</v>
      </c>
      <c r="O214" t="s">
        <v>77</v>
      </c>
      <c r="P214" t="s">
        <v>4962</v>
      </c>
      <c r="Q214">
        <v>0</v>
      </c>
      <c r="R214" t="s">
        <v>5118</v>
      </c>
      <c r="S214" t="s">
        <v>5699</v>
      </c>
      <c r="T214" t="s">
        <v>4923</v>
      </c>
      <c r="U214" t="s">
        <v>4924</v>
      </c>
      <c r="V214" t="s">
        <v>6074</v>
      </c>
      <c r="W214" t="s">
        <v>3667</v>
      </c>
      <c r="X214">
        <v>180.5</v>
      </c>
    </row>
    <row r="215" spans="1:24" x14ac:dyDescent="0.25">
      <c r="A215" t="s">
        <v>4910</v>
      </c>
      <c r="B215" t="s">
        <v>6036</v>
      </c>
      <c r="C215" t="s">
        <v>6037</v>
      </c>
      <c r="D215" t="s">
        <v>13</v>
      </c>
      <c r="E215" t="s">
        <v>4913</v>
      </c>
      <c r="F215" t="s">
        <v>1414</v>
      </c>
      <c r="G215">
        <f>IF(K215="Pick-up","PICKUPS",IF(K215="Staff drop-off","STAFF_DROPOFF",IF(K215="Replacements","REPLACEMENT",IF(K215="Central Stores Dispatch","CENTRAL STORES DISPATCH",IFNA(IFNA(VLOOKUP(F215,'Raw Platform Nov 4-6 2025'!C:C,1,FALSE),VLOOKUP(F215,'Raw Platform Nov 4-6 2025'!D:D,1,FALSE)),IFNA(VLOOKUP(F215,'Glovo Raw Nov 4-6 2025'!B:B,1,FALSE),"Not Matched"))))))</f>
      </c>
      <c r="H215">
        <f>COUNTIF(F:F,F215)</f>
      </c>
      <c r="I215" t="s">
        <v>6075</v>
      </c>
      <c r="J215" t="s">
        <v>5028</v>
      </c>
      <c r="K215" t="s">
        <v>4927</v>
      </c>
      <c r="L215" t="s">
        <v>6076</v>
      </c>
      <c r="M215" t="s">
        <v>6077</v>
      </c>
      <c r="N215" t="s">
        <v>6078</v>
      </c>
      <c r="O215" t="s">
        <v>6079</v>
      </c>
      <c r="P215" t="s">
        <v>6080</v>
      </c>
      <c r="Q215">
        <v>1400</v>
      </c>
      <c r="R215" t="s">
        <v>5118</v>
      </c>
      <c r="S215" t="s">
        <v>29</v>
      </c>
      <c r="T215" t="s">
        <v>4923</v>
      </c>
      <c r="U215" t="s">
        <v>4924</v>
      </c>
      <c r="V215" t="s">
        <v>6081</v>
      </c>
      <c r="W215" t="s">
        <v>3667</v>
      </c>
      <c r="X215">
        <v>550.8</v>
      </c>
    </row>
    <row r="216" spans="1:24" x14ac:dyDescent="0.25">
      <c r="A216" t="s">
        <v>5130</v>
      </c>
      <c r="B216" t="s">
        <v>6036</v>
      </c>
      <c r="C216" t="s">
        <v>6037</v>
      </c>
      <c r="D216" t="s">
        <v>24</v>
      </c>
      <c r="E216" t="s">
        <v>4913</v>
      </c>
      <c r="F216" t="s">
        <v>6082</v>
      </c>
      <c r="G216">
        <f>IF(K216="Pick-up","PICKUPS",IF(K216="Staff drop-off","STAFF_DROPOFF",IF(K216="Replacements","REPLACEMENT",IF(K216="Central Stores Dispatch","CENTRAL STORES DISPATCH",IFNA(IFNA(VLOOKUP(F216,'Raw Platform Nov 4-6 2025'!C:C,1,FALSE),VLOOKUP(F216,'Raw Platform Nov 4-6 2025'!D:D,1,FALSE)),IFNA(VLOOKUP(F216,'Glovo Raw Nov 4-6 2025'!B:B,1,FALSE),"Not Matched"))))))</f>
      </c>
      <c r="H216">
        <f>COUNTIF(F:F,F216)</f>
      </c>
      <c r="I216" t="s">
        <v>6083</v>
      </c>
      <c r="J216" t="s">
        <v>4915</v>
      </c>
      <c r="K216" t="s">
        <v>4927</v>
      </c>
      <c r="L216" t="s">
        <v>6084</v>
      </c>
      <c r="M216" t="s">
        <v>5217</v>
      </c>
      <c r="N216" t="s">
        <v>6085</v>
      </c>
      <c r="O216" t="s">
        <v>6086</v>
      </c>
      <c r="P216" t="s">
        <v>6087</v>
      </c>
      <c r="Q216">
        <v>0</v>
      </c>
      <c r="R216" t="s">
        <v>5118</v>
      </c>
      <c r="S216" t="s">
        <v>116</v>
      </c>
      <c r="T216" t="s">
        <v>4923</v>
      </c>
      <c r="U216" t="s">
        <v>4924</v>
      </c>
      <c r="V216" t="s">
        <v>6088</v>
      </c>
      <c r="W216" t="s">
        <v>3667</v>
      </c>
      <c r="X216">
        <v>491</v>
      </c>
    </row>
    <row r="217" spans="1:24" x14ac:dyDescent="0.25">
      <c r="A217" t="s">
        <v>5130</v>
      </c>
      <c r="B217" t="s">
        <v>6036</v>
      </c>
      <c r="C217" t="s">
        <v>6037</v>
      </c>
      <c r="D217" t="s">
        <v>24</v>
      </c>
      <c r="E217" t="s">
        <v>4913</v>
      </c>
      <c r="F217" t="s">
        <v>6089</v>
      </c>
      <c r="G217">
        <f>IF(K217="Pick-up","PICKUPS",IF(K217="Staff drop-off","STAFF_DROPOFF",IF(K217="Replacements","REPLACEMENT",IF(K217="Central Stores Dispatch","CENTRAL STORES DISPATCH",IFNA(IFNA(VLOOKUP(F217,'Raw Platform Nov 4-6 2025'!C:C,1,FALSE),VLOOKUP(F217,'Raw Platform Nov 4-6 2025'!D:D,1,FALSE)),IFNA(VLOOKUP(F217,'Glovo Raw Nov 4-6 2025'!B:B,1,FALSE),"Not Matched"))))))</f>
      </c>
      <c r="H217">
        <f>COUNTIF(F:F,F217)</f>
      </c>
      <c r="I217" t="s">
        <v>6090</v>
      </c>
      <c r="J217" t="s">
        <v>5289</v>
      </c>
      <c r="K217" t="s">
        <v>4927</v>
      </c>
      <c r="L217" t="s">
        <v>6091</v>
      </c>
      <c r="M217" t="s">
        <v>5419</v>
      </c>
      <c r="N217" t="s">
        <v>6092</v>
      </c>
      <c r="O217" t="s">
        <v>2009</v>
      </c>
      <c r="P217" t="s">
        <v>6093</v>
      </c>
      <c r="Q217">
        <v>0</v>
      </c>
      <c r="R217" t="s">
        <v>5118</v>
      </c>
      <c r="S217" t="s">
        <v>5293</v>
      </c>
      <c r="T217" t="s">
        <v>4923</v>
      </c>
      <c r="U217" t="s">
        <v>4924</v>
      </c>
      <c r="V217" t="s">
        <v>6094</v>
      </c>
      <c r="W217" t="s">
        <v>3667</v>
      </c>
      <c r="X217">
        <v>132.2</v>
      </c>
    </row>
    <row r="218" spans="1:24" x14ac:dyDescent="0.25">
      <c r="A218" t="s">
        <v>5130</v>
      </c>
      <c r="B218" t="s">
        <v>6036</v>
      </c>
      <c r="C218" t="s">
        <v>6037</v>
      </c>
      <c r="D218" t="s">
        <v>24</v>
      </c>
      <c r="E218" t="s">
        <v>4913</v>
      </c>
      <c r="F218" t="s">
        <v>21</v>
      </c>
      <c r="G218">
        <f>IF(K218="Pick-up","PICKUPS",IF(K218="Staff drop-off","STAFF_DROPOFF",IF(K218="Replacements","REPLACEMENT",IF(K218="Central Stores Dispatch","CENTRAL STORES DISPATCH",IFNA(IFNA(VLOOKUP(F218,'Raw Platform Nov 4-6 2025'!C:C,1,FALSE),VLOOKUP(F218,'Raw Platform Nov 4-6 2025'!D:D,1,FALSE)),IFNA(VLOOKUP(F218,'Glovo Raw Nov 4-6 2025'!B:B,1,FALSE),"Not Matched"))))))</f>
      </c>
      <c r="H218">
        <f>COUNTIF(F:F,F218)</f>
      </c>
      <c r="I218" t="s">
        <v>6095</v>
      </c>
      <c r="J218" t="s">
        <v>4915</v>
      </c>
      <c r="K218" t="s">
        <v>4927</v>
      </c>
      <c r="L218" t="s">
        <v>6096</v>
      </c>
      <c r="M218" t="s">
        <v>6097</v>
      </c>
      <c r="N218" t="s">
        <v>6098</v>
      </c>
      <c r="O218" t="s">
        <v>100</v>
      </c>
      <c r="P218" t="s">
        <v>6099</v>
      </c>
      <c r="Q218">
        <v>0</v>
      </c>
      <c r="R218" t="s">
        <v>5118</v>
      </c>
      <c r="S218" t="s">
        <v>5136</v>
      </c>
      <c r="T218" t="s">
        <v>4923</v>
      </c>
      <c r="U218" t="s">
        <v>4924</v>
      </c>
      <c r="V218" t="s">
        <v>6100</v>
      </c>
      <c r="W218" t="s">
        <v>3667</v>
      </c>
      <c r="X218">
        <v>217.3</v>
      </c>
    </row>
    <row r="219" spans="1:24" x14ac:dyDescent="0.25">
      <c r="A219" t="s">
        <v>4932</v>
      </c>
      <c r="B219" t="s">
        <v>6036</v>
      </c>
      <c r="C219" t="s">
        <v>6037</v>
      </c>
      <c r="D219" t="s">
        <v>13</v>
      </c>
      <c r="E219" t="s">
        <v>4913</v>
      </c>
      <c r="F219" t="s">
        <v>302</v>
      </c>
      <c r="G219">
        <f>IF(K219="Pick-up","PICKUPS",IF(K219="Staff drop-off","STAFF_DROPOFF",IF(K219="Replacements","REPLACEMENT",IF(K219="Central Stores Dispatch","CENTRAL STORES DISPATCH",IFNA(IFNA(VLOOKUP(F219,'Raw Platform Nov 4-6 2025'!C:C,1,FALSE),VLOOKUP(F219,'Raw Platform Nov 4-6 2025'!D:D,1,FALSE)),IFNA(VLOOKUP(F219,'Glovo Raw Nov 4-6 2025'!B:B,1,FALSE),"Not Matched"))))))</f>
      </c>
      <c r="H219">
        <f>COUNTIF(F:F,F219)</f>
      </c>
      <c r="I219" t="s">
        <v>6101</v>
      </c>
      <c r="J219" t="s">
        <v>63</v>
      </c>
      <c r="K219" t="s">
        <v>4927</v>
      </c>
      <c r="L219" t="s">
        <v>6102</v>
      </c>
      <c r="M219" t="s">
        <v>6103</v>
      </c>
      <c r="N219" t="s">
        <v>5024</v>
      </c>
      <c r="O219" t="s">
        <v>4962</v>
      </c>
      <c r="P219" t="s">
        <v>5025</v>
      </c>
      <c r="Q219">
        <v>0</v>
      </c>
      <c r="R219" t="s">
        <v>5118</v>
      </c>
      <c r="S219" t="s">
        <v>29</v>
      </c>
      <c r="T219" t="s">
        <v>4923</v>
      </c>
      <c r="U219" t="s">
        <v>4924</v>
      </c>
      <c r="V219" t="s">
        <v>6104</v>
      </c>
      <c r="W219" t="s">
        <v>3667</v>
      </c>
      <c r="X219">
        <v>100</v>
      </c>
    </row>
    <row r="220" spans="1:24" x14ac:dyDescent="0.25">
      <c r="A220" t="s">
        <v>4932</v>
      </c>
      <c r="B220" t="s">
        <v>6036</v>
      </c>
      <c r="C220" t="s">
        <v>6037</v>
      </c>
      <c r="D220" t="s">
        <v>13</v>
      </c>
      <c r="E220" t="s">
        <v>4913</v>
      </c>
      <c r="F220" t="s">
        <v>588</v>
      </c>
      <c r="G220">
        <f>IF(K220="Pick-up","PICKUPS",IF(K220="Staff drop-off","STAFF_DROPOFF",IF(K220="Replacements","REPLACEMENT",IF(K220="Central Stores Dispatch","CENTRAL STORES DISPATCH",IFNA(IFNA(VLOOKUP(F220,'Raw Platform Nov 4-6 2025'!C:C,1,FALSE),VLOOKUP(F220,'Raw Platform Nov 4-6 2025'!D:D,1,FALSE)),IFNA(VLOOKUP(F220,'Glovo Raw Nov 4-6 2025'!B:B,1,FALSE),"Not Matched"))))))</f>
      </c>
      <c r="H220">
        <f>COUNTIF(F:F,F220)</f>
      </c>
      <c r="I220" t="s">
        <v>6105</v>
      </c>
      <c r="J220" t="s">
        <v>4915</v>
      </c>
      <c r="K220" t="s">
        <v>4916</v>
      </c>
      <c r="L220" t="s">
        <v>6106</v>
      </c>
      <c r="M220" t="s">
        <v>6107</v>
      </c>
      <c r="N220" t="s">
        <v>6108</v>
      </c>
      <c r="O220" t="s">
        <v>5534</v>
      </c>
      <c r="P220" t="s">
        <v>113</v>
      </c>
      <c r="Q220">
        <v>2840</v>
      </c>
      <c r="R220" t="s">
        <v>5118</v>
      </c>
      <c r="S220" t="s">
        <v>29</v>
      </c>
      <c r="T220" t="s">
        <v>4923</v>
      </c>
      <c r="U220" t="s">
        <v>4924</v>
      </c>
      <c r="V220" t="s">
        <v>6109</v>
      </c>
      <c r="W220" t="s">
        <v>3667</v>
      </c>
      <c r="X220">
        <v>387.5</v>
      </c>
    </row>
    <row r="221" spans="1:24" x14ac:dyDescent="0.25">
      <c r="A221" t="s">
        <v>5130</v>
      </c>
      <c r="B221" t="s">
        <v>6036</v>
      </c>
      <c r="C221" t="s">
        <v>6037</v>
      </c>
      <c r="D221" t="s">
        <v>24</v>
      </c>
      <c r="E221" t="s">
        <v>4913</v>
      </c>
      <c r="F221" t="s">
        <v>740</v>
      </c>
      <c r="G221">
        <f>IF(K221="Pick-up","PICKUPS",IF(K221="Staff drop-off","STAFF_DROPOFF",IF(K221="Replacements","REPLACEMENT",IF(K221="Central Stores Dispatch","CENTRAL STORES DISPATCH",IFNA(IFNA(VLOOKUP(F221,'Raw Platform Nov 4-6 2025'!C:C,1,FALSE),VLOOKUP(F221,'Raw Platform Nov 4-6 2025'!D:D,1,FALSE)),IFNA(VLOOKUP(F221,'Glovo Raw Nov 4-6 2025'!B:B,1,FALSE),"Not Matched"))))))</f>
      </c>
      <c r="H221">
        <f>COUNTIF(F:F,F221)</f>
      </c>
      <c r="I221" t="s">
        <v>6110</v>
      </c>
      <c r="J221" t="s">
        <v>4915</v>
      </c>
      <c r="K221" t="s">
        <v>4927</v>
      </c>
      <c r="L221" t="s">
        <v>6111</v>
      </c>
      <c r="M221" t="s">
        <v>5514</v>
      </c>
      <c r="N221" t="s">
        <v>5515</v>
      </c>
      <c r="O221" t="s">
        <v>73</v>
      </c>
      <c r="P221" t="s">
        <v>5516</v>
      </c>
      <c r="Q221">
        <v>0</v>
      </c>
      <c r="R221" t="s">
        <v>5118</v>
      </c>
      <c r="S221" t="s">
        <v>35</v>
      </c>
      <c r="T221" t="s">
        <v>4923</v>
      </c>
      <c r="U221" t="s">
        <v>4924</v>
      </c>
      <c r="V221" t="s">
        <v>6112</v>
      </c>
      <c r="W221" t="s">
        <v>3667</v>
      </c>
      <c r="X221">
        <v>169</v>
      </c>
    </row>
    <row r="222" spans="1:24" x14ac:dyDescent="0.25">
      <c r="A222" t="s">
        <v>5130</v>
      </c>
      <c r="B222" t="s">
        <v>6036</v>
      </c>
      <c r="C222" t="s">
        <v>6037</v>
      </c>
      <c r="D222" t="s">
        <v>24</v>
      </c>
      <c r="E222" t="s">
        <v>4913</v>
      </c>
      <c r="F222" t="s">
        <v>6113</v>
      </c>
      <c r="G222">
        <f>IF(K222="Pick-up","PICKUPS",IF(K222="Staff drop-off","STAFF_DROPOFF",IF(K222="Replacements","REPLACEMENT",IF(K222="Central Stores Dispatch","CENTRAL STORES DISPATCH",IFNA(IFNA(VLOOKUP(F222,'Raw Platform Nov 4-6 2025'!C:C,1,FALSE),VLOOKUP(F222,'Raw Platform Nov 4-6 2025'!D:D,1,FALSE)),IFNA(VLOOKUP(F222,'Glovo Raw Nov 4-6 2025'!B:B,1,FALSE),"Not Matched"))))))</f>
      </c>
      <c r="H222">
        <f>COUNTIF(F:F,F222)</f>
      </c>
      <c r="I222" t="s">
        <v>6114</v>
      </c>
      <c r="J222" t="s">
        <v>4915</v>
      </c>
      <c r="K222" t="s">
        <v>4927</v>
      </c>
      <c r="L222" t="s">
        <v>6115</v>
      </c>
      <c r="M222" t="s">
        <v>5217</v>
      </c>
      <c r="N222" t="s">
        <v>6116</v>
      </c>
      <c r="O222" t="s">
        <v>5534</v>
      </c>
      <c r="P222" t="s">
        <v>6117</v>
      </c>
      <c r="Q222">
        <v>0</v>
      </c>
      <c r="R222" t="s">
        <v>5118</v>
      </c>
      <c r="S222" t="s">
        <v>116</v>
      </c>
      <c r="T222" t="s">
        <v>4923</v>
      </c>
      <c r="U222" t="s">
        <v>4924</v>
      </c>
      <c r="V222" t="s">
        <v>6118</v>
      </c>
      <c r="W222" t="s">
        <v>3667</v>
      </c>
      <c r="X222">
        <v>422</v>
      </c>
    </row>
    <row r="223" spans="1:24" x14ac:dyDescent="0.25">
      <c r="A223" t="s">
        <v>6063</v>
      </c>
      <c r="B223" t="s">
        <v>6036</v>
      </c>
      <c r="C223" t="s">
        <v>6037</v>
      </c>
      <c r="D223" t="s">
        <v>19</v>
      </c>
      <c r="E223" t="s">
        <v>4913</v>
      </c>
      <c r="F223" t="s">
        <v>1803</v>
      </c>
      <c r="G223">
        <f>IF(K223="Pick-up","PICKUPS",IF(K223="Staff drop-off","STAFF_DROPOFF",IF(K223="Replacements","REPLACEMENT",IF(K223="Central Stores Dispatch","CENTRAL STORES DISPATCH",IFNA(IFNA(VLOOKUP(F223,'Raw Platform Nov 4-6 2025'!C:C,1,FALSE),VLOOKUP(F223,'Raw Platform Nov 4-6 2025'!D:D,1,FALSE)),IFNA(VLOOKUP(F223,'Glovo Raw Nov 4-6 2025'!B:B,1,FALSE),"Not Matched"))))))</f>
      </c>
      <c r="H223">
        <f>COUNTIF(F:F,F223)</f>
      </c>
      <c r="I223" t="s">
        <v>6119</v>
      </c>
      <c r="J223" t="s">
        <v>4915</v>
      </c>
      <c r="K223" t="s">
        <v>4927</v>
      </c>
      <c r="L223" t="s">
        <v>5532</v>
      </c>
      <c r="M223" t="s">
        <v>6120</v>
      </c>
      <c r="N223" t="s">
        <v>6121</v>
      </c>
      <c r="O223" t="s">
        <v>5678</v>
      </c>
      <c r="P223" t="s">
        <v>6117</v>
      </c>
      <c r="Q223">
        <v>0</v>
      </c>
      <c r="R223" t="s">
        <v>5118</v>
      </c>
      <c r="S223" t="s">
        <v>116</v>
      </c>
      <c r="T223" t="s">
        <v>4923</v>
      </c>
      <c r="U223" t="s">
        <v>4924</v>
      </c>
      <c r="V223" t="s">
        <v>6122</v>
      </c>
      <c r="W223" t="s">
        <v>3667</v>
      </c>
      <c r="X223">
        <v>422</v>
      </c>
    </row>
    <row r="224" spans="1:24" x14ac:dyDescent="0.25">
      <c r="A224" t="s">
        <v>5231</v>
      </c>
      <c r="B224" t="s">
        <v>6036</v>
      </c>
      <c r="C224" t="s">
        <v>6037</v>
      </c>
      <c r="D224" t="s">
        <v>191</v>
      </c>
      <c r="E224" t="s">
        <v>4913</v>
      </c>
      <c r="F224" t="s">
        <v>1992</v>
      </c>
      <c r="G224">
        <f>IF(K224="Pick-up","PICKUPS",IF(K224="Staff drop-off","STAFF_DROPOFF",IF(K224="Replacements","REPLACEMENT",IF(K224="Central Stores Dispatch","CENTRAL STORES DISPATCH",IFNA(IFNA(VLOOKUP(F224,'Raw Platform Nov 4-6 2025'!C:C,1,FALSE),VLOOKUP(F224,'Raw Platform Nov 4-6 2025'!D:D,1,FALSE)),IFNA(VLOOKUP(F224,'Glovo Raw Nov 4-6 2025'!B:B,1,FALSE),"Not Matched"))))))</f>
      </c>
      <c r="H224">
        <f>COUNTIF(F:F,F224)</f>
      </c>
      <c r="I224" t="s">
        <v>6123</v>
      </c>
      <c r="J224" t="s">
        <v>4915</v>
      </c>
      <c r="K224" t="s">
        <v>4927</v>
      </c>
      <c r="L224" t="s">
        <v>5490</v>
      </c>
      <c r="M224" t="s">
        <v>5234</v>
      </c>
      <c r="N224" t="s">
        <v>6124</v>
      </c>
      <c r="O224" t="s">
        <v>113</v>
      </c>
      <c r="P224" t="s">
        <v>6125</v>
      </c>
      <c r="Q224">
        <v>0</v>
      </c>
      <c r="R224" t="s">
        <v>5118</v>
      </c>
      <c r="S224" t="s">
        <v>5293</v>
      </c>
      <c r="T224" t="s">
        <v>4924</v>
      </c>
      <c r="U224" t="s">
        <v>4924</v>
      </c>
      <c r="V224" t="s">
        <v>6126</v>
      </c>
      <c r="W224" t="s">
        <v>3667</v>
      </c>
      <c r="X224">
        <v>426.09</v>
      </c>
    </row>
    <row r="225" spans="1:24" x14ac:dyDescent="0.25">
      <c r="A225" t="s">
        <v>5231</v>
      </c>
      <c r="B225" t="s">
        <v>6036</v>
      </c>
      <c r="C225" t="s">
        <v>6037</v>
      </c>
      <c r="D225" t="s">
        <v>191</v>
      </c>
      <c r="E225" t="s">
        <v>4913</v>
      </c>
      <c r="F225" t="s">
        <v>1992</v>
      </c>
      <c r="G225">
        <f>IF(K225="Pick-up","PICKUPS",IF(K225="Staff drop-off","STAFF_DROPOFF",IF(K225="Replacements","REPLACEMENT",IF(K225="Central Stores Dispatch","CENTRAL STORES DISPATCH",IFNA(IFNA(VLOOKUP(F225,'Raw Platform Nov 4-6 2025'!C:C,1,FALSE),VLOOKUP(F225,'Raw Platform Nov 4-6 2025'!D:D,1,FALSE)),IFNA(VLOOKUP(F225,'Glovo Raw Nov 4-6 2025'!B:B,1,FALSE),"Not Matched"))))))</f>
      </c>
      <c r="H225">
        <f>COUNTIF(F:F,F225)</f>
      </c>
      <c r="I225" t="s">
        <v>6123</v>
      </c>
      <c r="J225" t="s">
        <v>4915</v>
      </c>
      <c r="K225" t="s">
        <v>4927</v>
      </c>
      <c r="L225" t="s">
        <v>5490</v>
      </c>
      <c r="M225" t="s">
        <v>6127</v>
      </c>
      <c r="N225" t="s">
        <v>6128</v>
      </c>
      <c r="O225" t="s">
        <v>37</v>
      </c>
      <c r="P225" t="s">
        <v>5566</v>
      </c>
      <c r="Q225">
        <v>0</v>
      </c>
      <c r="R225" t="s">
        <v>5118</v>
      </c>
      <c r="S225" t="s">
        <v>276</v>
      </c>
      <c r="T225" t="s">
        <v>4924</v>
      </c>
      <c r="U225" t="s">
        <v>4924</v>
      </c>
      <c r="V225" t="s">
        <v>6126</v>
      </c>
      <c r="W225" t="s">
        <v>3667</v>
      </c>
      <c r="X225">
        <v>0</v>
      </c>
    </row>
    <row r="226" spans="1:24" x14ac:dyDescent="0.25">
      <c r="A226" t="s">
        <v>5130</v>
      </c>
      <c r="B226" t="s">
        <v>6036</v>
      </c>
      <c r="C226" t="s">
        <v>6037</v>
      </c>
      <c r="D226" t="s">
        <v>24</v>
      </c>
      <c r="E226" t="s">
        <v>4913</v>
      </c>
      <c r="F226" t="s">
        <v>2198</v>
      </c>
      <c r="G226">
        <f>IF(K226="Pick-up","PICKUPS",IF(K226="Staff drop-off","STAFF_DROPOFF",IF(K226="Replacements","REPLACEMENT",IF(K226="Central Stores Dispatch","CENTRAL STORES DISPATCH",IFNA(IFNA(VLOOKUP(F226,'Raw Platform Nov 4-6 2025'!C:C,1,FALSE),VLOOKUP(F226,'Raw Platform Nov 4-6 2025'!D:D,1,FALSE)),IFNA(VLOOKUP(F226,'Glovo Raw Nov 4-6 2025'!B:B,1,FALSE),"Not Matched"))))))</f>
      </c>
      <c r="H226">
        <f>COUNTIF(F:F,F226)</f>
      </c>
      <c r="I226" t="s">
        <v>6129</v>
      </c>
      <c r="J226" t="s">
        <v>4915</v>
      </c>
      <c r="K226" t="s">
        <v>4916</v>
      </c>
      <c r="L226" t="s">
        <v>6130</v>
      </c>
      <c r="M226" t="s">
        <v>6131</v>
      </c>
      <c r="N226" t="s">
        <v>6132</v>
      </c>
      <c r="O226" t="s">
        <v>5469</v>
      </c>
      <c r="P226" t="s">
        <v>6133</v>
      </c>
      <c r="Q226">
        <v>1979</v>
      </c>
      <c r="R226" t="s">
        <v>5118</v>
      </c>
      <c r="S226" t="s">
        <v>35</v>
      </c>
      <c r="T226" t="s">
        <v>4923</v>
      </c>
      <c r="U226" t="s">
        <v>4924</v>
      </c>
      <c r="V226" t="s">
        <v>6134</v>
      </c>
      <c r="W226" t="s">
        <v>3667</v>
      </c>
      <c r="X226">
        <v>293.2</v>
      </c>
    </row>
    <row r="227" spans="1:24" x14ac:dyDescent="0.25">
      <c r="A227" t="s">
        <v>4932</v>
      </c>
      <c r="B227" t="s">
        <v>6036</v>
      </c>
      <c r="C227" t="s">
        <v>6037</v>
      </c>
      <c r="D227" t="s">
        <v>13</v>
      </c>
      <c r="E227" t="s">
        <v>4913</v>
      </c>
      <c r="F227" t="s">
        <v>2012</v>
      </c>
      <c r="G227">
        <f>IF(K227="Pick-up","PICKUPS",IF(K227="Staff drop-off","STAFF_DROPOFF",IF(K227="Replacements","REPLACEMENT",IF(K227="Central Stores Dispatch","CENTRAL STORES DISPATCH",IFNA(IFNA(VLOOKUP(F227,'Raw Platform Nov 4-6 2025'!C:C,1,FALSE),VLOOKUP(F227,'Raw Platform Nov 4-6 2025'!D:D,1,FALSE)),IFNA(VLOOKUP(F227,'Glovo Raw Nov 4-6 2025'!B:B,1,FALSE),"Not Matched"))))))</f>
      </c>
      <c r="H227">
        <f>COUNTIF(F:F,F227)</f>
      </c>
      <c r="I227" t="s">
        <v>6135</v>
      </c>
      <c r="J227" t="s">
        <v>4915</v>
      </c>
      <c r="K227" t="s">
        <v>4916</v>
      </c>
      <c r="L227" t="s">
        <v>6136</v>
      </c>
      <c r="M227" t="s">
        <v>6137</v>
      </c>
      <c r="N227" t="s">
        <v>6138</v>
      </c>
      <c r="O227" t="s">
        <v>32</v>
      </c>
      <c r="P227" t="s">
        <v>6139</v>
      </c>
      <c r="Q227">
        <v>1190</v>
      </c>
      <c r="R227" t="s">
        <v>5118</v>
      </c>
      <c r="S227" t="s">
        <v>29</v>
      </c>
      <c r="T227" t="s">
        <v>4923</v>
      </c>
      <c r="U227" t="s">
        <v>4924</v>
      </c>
      <c r="V227" t="s">
        <v>6140</v>
      </c>
      <c r="W227" t="s">
        <v>3667</v>
      </c>
      <c r="X227">
        <v>380.6</v>
      </c>
    </row>
    <row r="228" spans="1:24" x14ac:dyDescent="0.25">
      <c r="A228" t="s">
        <v>5130</v>
      </c>
      <c r="B228" t="s">
        <v>6036</v>
      </c>
      <c r="C228" t="s">
        <v>6037</v>
      </c>
      <c r="D228" t="s">
        <v>24</v>
      </c>
      <c r="E228" t="s">
        <v>4913</v>
      </c>
      <c r="F228" t="s">
        <v>1903</v>
      </c>
      <c r="G228">
        <f>IF(K228="Pick-up","PICKUPS",IF(K228="Staff drop-off","STAFF_DROPOFF",IF(K228="Replacements","REPLACEMENT",IF(K228="Central Stores Dispatch","CENTRAL STORES DISPATCH",IFNA(IFNA(VLOOKUP(F228,'Raw Platform Nov 4-6 2025'!C:C,1,FALSE),VLOOKUP(F228,'Raw Platform Nov 4-6 2025'!D:D,1,FALSE)),IFNA(VLOOKUP(F228,'Glovo Raw Nov 4-6 2025'!B:B,1,FALSE),"Not Matched"))))))</f>
      </c>
      <c r="H228">
        <f>COUNTIF(F:F,F228)</f>
      </c>
      <c r="I228" t="s">
        <v>6141</v>
      </c>
      <c r="J228" t="s">
        <v>4915</v>
      </c>
      <c r="K228" t="s">
        <v>4916</v>
      </c>
      <c r="L228" t="s">
        <v>6142</v>
      </c>
      <c r="M228" t="s">
        <v>6143</v>
      </c>
      <c r="N228" t="s">
        <v>6144</v>
      </c>
      <c r="O228" t="s">
        <v>26</v>
      </c>
      <c r="P228" t="s">
        <v>5914</v>
      </c>
      <c r="Q228">
        <v>1152</v>
      </c>
      <c r="R228" t="s">
        <v>5118</v>
      </c>
      <c r="S228" t="s">
        <v>35</v>
      </c>
      <c r="T228" t="s">
        <v>4923</v>
      </c>
      <c r="U228" t="s">
        <v>4924</v>
      </c>
      <c r="V228" t="s">
        <v>6145</v>
      </c>
      <c r="W228" t="s">
        <v>3667</v>
      </c>
      <c r="X228">
        <v>192</v>
      </c>
    </row>
    <row r="229" spans="1:24" x14ac:dyDescent="0.25">
      <c r="A229" t="s">
        <v>5231</v>
      </c>
      <c r="B229" t="s">
        <v>6036</v>
      </c>
      <c r="C229" t="s">
        <v>6037</v>
      </c>
      <c r="D229" t="s">
        <v>191</v>
      </c>
      <c r="E229" t="s">
        <v>4913</v>
      </c>
      <c r="F229" t="s">
        <v>6146</v>
      </c>
      <c r="G229">
        <f>IF(K229="Pick-up","PICKUPS",IF(K229="Staff drop-off","STAFF_DROPOFF",IF(K229="Replacements","REPLACEMENT",IF(K229="Central Stores Dispatch","CENTRAL STORES DISPATCH",IFNA(IFNA(VLOOKUP(F229,'Raw Platform Nov 4-6 2025'!C:C,1,FALSE),VLOOKUP(F229,'Raw Platform Nov 4-6 2025'!D:D,1,FALSE)),IFNA(VLOOKUP(F229,'Glovo Raw Nov 4-6 2025'!B:B,1,FALSE),"Not Matched"))))))</f>
      </c>
      <c r="H229">
        <f>COUNTIF(F:F,F229)</f>
      </c>
      <c r="I229" t="s">
        <v>6147</v>
      </c>
      <c r="J229" t="s">
        <v>5289</v>
      </c>
      <c r="K229" t="s">
        <v>4927</v>
      </c>
      <c r="L229" t="s">
        <v>6148</v>
      </c>
      <c r="M229" t="s">
        <v>5234</v>
      </c>
      <c r="N229" t="s">
        <v>6124</v>
      </c>
      <c r="O229" t="s">
        <v>113</v>
      </c>
      <c r="P229" t="s">
        <v>6125</v>
      </c>
      <c r="Q229">
        <v>0</v>
      </c>
      <c r="R229" t="s">
        <v>5118</v>
      </c>
      <c r="S229" t="s">
        <v>5293</v>
      </c>
      <c r="T229" t="s">
        <v>4924</v>
      </c>
      <c r="U229" t="s">
        <v>4924</v>
      </c>
      <c r="V229" t="s">
        <v>6149</v>
      </c>
      <c r="W229" t="s">
        <v>3667</v>
      </c>
      <c r="X229">
        <v>398.86</v>
      </c>
    </row>
    <row r="230" spans="1:24" x14ac:dyDescent="0.25">
      <c r="A230" t="s">
        <v>5231</v>
      </c>
      <c r="B230" t="s">
        <v>6036</v>
      </c>
      <c r="C230" t="s">
        <v>6037</v>
      </c>
      <c r="D230" t="s">
        <v>191</v>
      </c>
      <c r="E230" t="s">
        <v>4913</v>
      </c>
      <c r="F230" t="s">
        <v>1537</v>
      </c>
      <c r="G230">
        <f>IF(K230="Pick-up","PICKUPS",IF(K230="Staff drop-off","STAFF_DROPOFF",IF(K230="Replacements","REPLACEMENT",IF(K230="Central Stores Dispatch","CENTRAL STORES DISPATCH",IFNA(IFNA(VLOOKUP(F230,'Raw Platform Nov 4-6 2025'!C:C,1,FALSE),VLOOKUP(F230,'Raw Platform Nov 4-6 2025'!D:D,1,FALSE)),IFNA(VLOOKUP(F230,'Glovo Raw Nov 4-6 2025'!B:B,1,FALSE),"Not Matched"))))))</f>
      </c>
      <c r="H230">
        <f>COUNTIF(F:F,F230)</f>
      </c>
      <c r="I230" t="s">
        <v>6147</v>
      </c>
      <c r="J230" t="s">
        <v>4915</v>
      </c>
      <c r="K230" t="s">
        <v>4927</v>
      </c>
      <c r="L230" t="s">
        <v>6148</v>
      </c>
      <c r="M230" t="s">
        <v>5234</v>
      </c>
      <c r="N230" t="s">
        <v>6150</v>
      </c>
      <c r="O230" t="s">
        <v>77</v>
      </c>
      <c r="P230" t="s">
        <v>5322</v>
      </c>
      <c r="Q230">
        <v>0</v>
      </c>
      <c r="R230" t="s">
        <v>5118</v>
      </c>
      <c r="S230" t="s">
        <v>276</v>
      </c>
      <c r="T230" t="s">
        <v>4924</v>
      </c>
      <c r="U230" t="s">
        <v>4924</v>
      </c>
      <c r="V230" t="s">
        <v>6149</v>
      </c>
      <c r="W230" t="s">
        <v>3667</v>
      </c>
      <c r="X230">
        <v>398.86</v>
      </c>
    </row>
    <row r="231" spans="1:24" x14ac:dyDescent="0.25">
      <c r="A231" t="s">
        <v>5231</v>
      </c>
      <c r="B231" t="s">
        <v>6036</v>
      </c>
      <c r="C231" t="s">
        <v>6037</v>
      </c>
      <c r="D231" t="s">
        <v>191</v>
      </c>
      <c r="E231" t="s">
        <v>4913</v>
      </c>
      <c r="F231" t="s">
        <v>1569</v>
      </c>
      <c r="G231">
        <f>IF(K231="Pick-up","PICKUPS",IF(K231="Staff drop-off","STAFF_DROPOFF",IF(K231="Replacements","REPLACEMENT",IF(K231="Central Stores Dispatch","CENTRAL STORES DISPATCH",IFNA(IFNA(VLOOKUP(F231,'Raw Platform Nov 4-6 2025'!C:C,1,FALSE),VLOOKUP(F231,'Raw Platform Nov 4-6 2025'!D:D,1,FALSE)),IFNA(VLOOKUP(F231,'Glovo Raw Nov 4-6 2025'!B:B,1,FALSE),"Not Matched"))))))</f>
      </c>
      <c r="H231">
        <f>COUNTIF(F:F,F231)</f>
      </c>
      <c r="I231" t="s">
        <v>6151</v>
      </c>
      <c r="J231" t="s">
        <v>63</v>
      </c>
      <c r="K231" t="s">
        <v>4916</v>
      </c>
      <c r="L231" t="s">
        <v>6152</v>
      </c>
      <c r="M231" t="s">
        <v>5234</v>
      </c>
      <c r="N231" t="s">
        <v>6153</v>
      </c>
      <c r="O231" t="s">
        <v>77</v>
      </c>
      <c r="P231" t="s">
        <v>5345</v>
      </c>
      <c r="Q231">
        <v>1198</v>
      </c>
      <c r="R231" t="s">
        <v>5118</v>
      </c>
      <c r="S231" t="s">
        <v>6154</v>
      </c>
      <c r="T231" t="s">
        <v>4924</v>
      </c>
      <c r="U231" t="s">
        <v>4924</v>
      </c>
      <c r="V231" t="s">
        <v>6155</v>
      </c>
      <c r="W231" t="s">
        <v>3667</v>
      </c>
      <c r="X231">
        <v>331.33</v>
      </c>
    </row>
    <row r="232" spans="1:24" x14ac:dyDescent="0.25">
      <c r="A232" t="s">
        <v>5231</v>
      </c>
      <c r="B232" t="s">
        <v>6036</v>
      </c>
      <c r="C232" t="s">
        <v>6037</v>
      </c>
      <c r="D232" t="s">
        <v>191</v>
      </c>
      <c r="E232" t="s">
        <v>4913</v>
      </c>
      <c r="F232" t="s">
        <v>6156</v>
      </c>
      <c r="G232">
        <f>IF(K232="Pick-up","PICKUPS",IF(K232="Staff drop-off","STAFF_DROPOFF",IF(K232="Replacements","REPLACEMENT",IF(K232="Central Stores Dispatch","CENTRAL STORES DISPATCH",IFNA(IFNA(VLOOKUP(F232,'Raw Platform Nov 4-6 2025'!C:C,1,FALSE),VLOOKUP(F232,'Raw Platform Nov 4-6 2025'!D:D,1,FALSE)),IFNA(VLOOKUP(F232,'Glovo Raw Nov 4-6 2025'!B:B,1,FALSE),"Not Matched"))))))</f>
      </c>
      <c r="H232">
        <f>COUNTIF(F:F,F232)</f>
      </c>
      <c r="I232" t="s">
        <v>6151</v>
      </c>
      <c r="J232" t="s">
        <v>5289</v>
      </c>
      <c r="K232" t="s">
        <v>4927</v>
      </c>
      <c r="L232" t="s">
        <v>6152</v>
      </c>
      <c r="M232" t="s">
        <v>5234</v>
      </c>
      <c r="N232" t="s">
        <v>6157</v>
      </c>
      <c r="O232" t="s">
        <v>53</v>
      </c>
      <c r="P232" t="s">
        <v>6158</v>
      </c>
      <c r="Q232">
        <v>0</v>
      </c>
      <c r="R232" t="s">
        <v>5118</v>
      </c>
      <c r="S232" t="s">
        <v>5293</v>
      </c>
      <c r="T232" t="s">
        <v>4924</v>
      </c>
      <c r="U232" t="s">
        <v>4924</v>
      </c>
      <c r="V232" t="s">
        <v>6155</v>
      </c>
      <c r="W232" t="s">
        <v>3667</v>
      </c>
      <c r="X232">
        <v>331.33</v>
      </c>
    </row>
    <row r="233" spans="1:24" x14ac:dyDescent="0.25">
      <c r="A233" t="s">
        <v>5130</v>
      </c>
      <c r="B233" t="s">
        <v>6036</v>
      </c>
      <c r="C233" t="s">
        <v>6037</v>
      </c>
      <c r="D233" t="s">
        <v>24</v>
      </c>
      <c r="E233" t="s">
        <v>4913</v>
      </c>
      <c r="F233" t="s">
        <v>1847</v>
      </c>
      <c r="G233">
        <f>IF(K233="Pick-up","PICKUPS",IF(K233="Staff drop-off","STAFF_DROPOFF",IF(K233="Replacements","REPLACEMENT",IF(K233="Central Stores Dispatch","CENTRAL STORES DISPATCH",IFNA(IFNA(VLOOKUP(F233,'Raw Platform Nov 4-6 2025'!C:C,1,FALSE),VLOOKUP(F233,'Raw Platform Nov 4-6 2025'!D:D,1,FALSE)),IFNA(VLOOKUP(F233,'Glovo Raw Nov 4-6 2025'!B:B,1,FALSE),"Not Matched"))))))</f>
      </c>
      <c r="H233">
        <f>COUNTIF(F:F,F233)</f>
      </c>
      <c r="I233" t="s">
        <v>6159</v>
      </c>
      <c r="J233" t="s">
        <v>4915</v>
      </c>
      <c r="K233" t="s">
        <v>4927</v>
      </c>
      <c r="L233" t="s">
        <v>6160</v>
      </c>
      <c r="M233" t="s">
        <v>5217</v>
      </c>
      <c r="N233" t="s">
        <v>5061</v>
      </c>
      <c r="O233" t="s">
        <v>26</v>
      </c>
      <c r="P233" t="s">
        <v>4996</v>
      </c>
      <c r="Q233">
        <v>0</v>
      </c>
      <c r="R233" t="s">
        <v>5118</v>
      </c>
      <c r="S233" t="s">
        <v>116</v>
      </c>
      <c r="T233" t="s">
        <v>4923</v>
      </c>
      <c r="U233" t="s">
        <v>4924</v>
      </c>
      <c r="V233" t="s">
        <v>6161</v>
      </c>
      <c r="W233" t="s">
        <v>3667</v>
      </c>
      <c r="X233">
        <v>129.9</v>
      </c>
    </row>
    <row r="234" spans="1:24" x14ac:dyDescent="0.25">
      <c r="A234" t="s">
        <v>5231</v>
      </c>
      <c r="B234" t="s">
        <v>6036</v>
      </c>
      <c r="C234" t="s">
        <v>6037</v>
      </c>
      <c r="D234" t="s">
        <v>191</v>
      </c>
      <c r="E234" t="s">
        <v>4913</v>
      </c>
      <c r="F234" t="s">
        <v>3094</v>
      </c>
      <c r="G234">
        <f>IF(K234="Pick-up","PICKUPS",IF(K234="Staff drop-off","STAFF_DROPOFF",IF(K234="Replacements","REPLACEMENT",IF(K234="Central Stores Dispatch","CENTRAL STORES DISPATCH",IFNA(IFNA(VLOOKUP(F234,'Raw Platform Nov 4-6 2025'!C:C,1,FALSE),VLOOKUP(F234,'Raw Platform Nov 4-6 2025'!D:D,1,FALSE)),IFNA(VLOOKUP(F234,'Glovo Raw Nov 4-6 2025'!B:B,1,FALSE),"Not Matched"))))))</f>
      </c>
      <c r="H234">
        <f>COUNTIF(F:F,F234)</f>
      </c>
      <c r="I234" t="s">
        <v>6162</v>
      </c>
      <c r="J234" t="s">
        <v>4915</v>
      </c>
      <c r="K234" t="s">
        <v>4916</v>
      </c>
      <c r="L234" t="s">
        <v>6163</v>
      </c>
      <c r="M234" t="s">
        <v>5234</v>
      </c>
      <c r="N234" t="s">
        <v>6164</v>
      </c>
      <c r="O234" t="s">
        <v>5183</v>
      </c>
      <c r="P234" t="s">
        <v>6165</v>
      </c>
      <c r="Q234">
        <v>1660</v>
      </c>
      <c r="R234" t="s">
        <v>5118</v>
      </c>
      <c r="S234" t="s">
        <v>6166</v>
      </c>
      <c r="T234" t="s">
        <v>4924</v>
      </c>
      <c r="U234" t="s">
        <v>4924</v>
      </c>
      <c r="V234" t="s">
        <v>6167</v>
      </c>
      <c r="W234" t="s">
        <v>3667</v>
      </c>
      <c r="X234">
        <v>468.46</v>
      </c>
    </row>
    <row r="235" spans="1:24" x14ac:dyDescent="0.25">
      <c r="A235" t="s">
        <v>5231</v>
      </c>
      <c r="B235" t="s">
        <v>6036</v>
      </c>
      <c r="C235" t="s">
        <v>6037</v>
      </c>
      <c r="D235" t="s">
        <v>191</v>
      </c>
      <c r="E235" t="s">
        <v>4913</v>
      </c>
      <c r="F235" t="s">
        <v>6168</v>
      </c>
      <c r="G235">
        <f>IF(K235="Pick-up","PICKUPS",IF(K235="Staff drop-off","STAFF_DROPOFF",IF(K235="Replacements","REPLACEMENT",IF(K235="Central Stores Dispatch","CENTRAL STORES DISPATCH",IFNA(IFNA(VLOOKUP(F235,'Raw Platform Nov 4-6 2025'!C:C,1,FALSE),VLOOKUP(F235,'Raw Platform Nov 4-6 2025'!D:D,1,FALSE)),IFNA(VLOOKUP(F235,'Glovo Raw Nov 4-6 2025'!B:B,1,FALSE),"Not Matched"))))))</f>
      </c>
      <c r="H235">
        <f>COUNTIF(F:F,F235)</f>
      </c>
      <c r="I235" t="s">
        <v>6162</v>
      </c>
      <c r="J235" t="s">
        <v>5289</v>
      </c>
      <c r="K235" t="s">
        <v>4927</v>
      </c>
      <c r="L235" t="s">
        <v>6163</v>
      </c>
      <c r="M235" t="s">
        <v>5234</v>
      </c>
      <c r="N235" t="s">
        <v>6169</v>
      </c>
      <c r="O235" t="s">
        <v>77</v>
      </c>
      <c r="P235" t="s">
        <v>5322</v>
      </c>
      <c r="Q235">
        <v>0</v>
      </c>
      <c r="R235" t="s">
        <v>5118</v>
      </c>
      <c r="S235" t="s">
        <v>5293</v>
      </c>
      <c r="T235" t="s">
        <v>4924</v>
      </c>
      <c r="U235" t="s">
        <v>4924</v>
      </c>
      <c r="V235" t="s">
        <v>6167</v>
      </c>
      <c r="W235" t="s">
        <v>3667</v>
      </c>
      <c r="X235">
        <v>468.46</v>
      </c>
    </row>
    <row r="236" spans="1:24" x14ac:dyDescent="0.25">
      <c r="A236" t="s">
        <v>5130</v>
      </c>
      <c r="B236" t="s">
        <v>6036</v>
      </c>
      <c r="C236" t="s">
        <v>6037</v>
      </c>
      <c r="D236" t="s">
        <v>24</v>
      </c>
      <c r="E236" t="s">
        <v>4913</v>
      </c>
      <c r="F236" t="s">
        <v>3025</v>
      </c>
      <c r="G236">
        <f>IF(K236="Pick-up","PICKUPS",IF(K236="Staff drop-off","STAFF_DROPOFF",IF(K236="Replacements","REPLACEMENT",IF(K236="Central Stores Dispatch","CENTRAL STORES DISPATCH",IFNA(IFNA(VLOOKUP(F236,'Raw Platform Nov 4-6 2025'!C:C,1,FALSE),VLOOKUP(F236,'Raw Platform Nov 4-6 2025'!D:D,1,FALSE)),IFNA(VLOOKUP(F236,'Glovo Raw Nov 4-6 2025'!B:B,1,FALSE),"Not Matched"))))))</f>
      </c>
      <c r="H236">
        <f>COUNTIF(F:F,F236)</f>
      </c>
      <c r="I236" t="s">
        <v>6170</v>
      </c>
      <c r="J236" t="s">
        <v>5028</v>
      </c>
      <c r="K236" t="s">
        <v>4927</v>
      </c>
      <c r="L236" t="s">
        <v>6171</v>
      </c>
      <c r="M236" t="s">
        <v>6172</v>
      </c>
      <c r="N236" t="s">
        <v>6173</v>
      </c>
      <c r="O236" t="s">
        <v>47</v>
      </c>
      <c r="P236" t="s">
        <v>4920</v>
      </c>
      <c r="Q236">
        <v>0</v>
      </c>
      <c r="R236" t="s">
        <v>5118</v>
      </c>
      <c r="S236" t="s">
        <v>45</v>
      </c>
      <c r="T236" t="s">
        <v>4923</v>
      </c>
      <c r="U236" t="s">
        <v>4924</v>
      </c>
      <c r="V236" t="s">
        <v>6174</v>
      </c>
      <c r="W236" t="s">
        <v>3667</v>
      </c>
      <c r="X236">
        <v>100</v>
      </c>
    </row>
    <row r="237" spans="1:24" x14ac:dyDescent="0.25">
      <c r="A237" t="s">
        <v>5130</v>
      </c>
      <c r="B237" t="s">
        <v>6036</v>
      </c>
      <c r="C237" t="s">
        <v>6037</v>
      </c>
      <c r="D237" t="s">
        <v>24</v>
      </c>
      <c r="E237" t="s">
        <v>4913</v>
      </c>
      <c r="F237" t="s">
        <v>3017</v>
      </c>
      <c r="G237">
        <f>IF(K237="Pick-up","PICKUPS",IF(K237="Staff drop-off","STAFF_DROPOFF",IF(K237="Replacements","REPLACEMENT",IF(K237="Central Stores Dispatch","CENTRAL STORES DISPATCH",IFNA(IFNA(VLOOKUP(F237,'Raw Platform Nov 4-6 2025'!C:C,1,FALSE),VLOOKUP(F237,'Raw Platform Nov 4-6 2025'!D:D,1,FALSE)),IFNA(VLOOKUP(F237,'Glovo Raw Nov 4-6 2025'!B:B,1,FALSE),"Not Matched"))))))</f>
      </c>
      <c r="H237">
        <f>COUNTIF(F:F,F237)</f>
      </c>
      <c r="I237" t="s">
        <v>6175</v>
      </c>
      <c r="J237" t="s">
        <v>5028</v>
      </c>
      <c r="K237" t="s">
        <v>4916</v>
      </c>
      <c r="L237" t="s">
        <v>6176</v>
      </c>
      <c r="M237" t="s">
        <v>6177</v>
      </c>
      <c r="N237" t="s">
        <v>5654</v>
      </c>
      <c r="O237" t="s">
        <v>47</v>
      </c>
      <c r="P237" t="s">
        <v>5019</v>
      </c>
      <c r="Q237">
        <v>2040</v>
      </c>
      <c r="R237" t="s">
        <v>5118</v>
      </c>
      <c r="S237" t="s">
        <v>45</v>
      </c>
      <c r="T237" t="s">
        <v>4923</v>
      </c>
      <c r="U237" t="s">
        <v>4924</v>
      </c>
      <c r="V237" t="s">
        <v>6178</v>
      </c>
      <c r="W237" t="s">
        <v>3667</v>
      </c>
      <c r="X237">
        <v>100</v>
      </c>
    </row>
    <row r="238" spans="1:24" x14ac:dyDescent="0.25">
      <c r="A238" t="s">
        <v>5130</v>
      </c>
      <c r="B238" t="s">
        <v>6036</v>
      </c>
      <c r="C238" t="s">
        <v>6037</v>
      </c>
      <c r="D238" t="s">
        <v>24</v>
      </c>
      <c r="E238" t="s">
        <v>4913</v>
      </c>
      <c r="F238" t="s">
        <v>3456</v>
      </c>
      <c r="G238">
        <f>IF(K238="Pick-up","PICKUPS",IF(K238="Staff drop-off","STAFF_DROPOFF",IF(K238="Replacements","REPLACEMENT",IF(K238="Central Stores Dispatch","CENTRAL STORES DISPATCH",IFNA(IFNA(VLOOKUP(F238,'Raw Platform Nov 4-6 2025'!C:C,1,FALSE),VLOOKUP(F238,'Raw Platform Nov 4-6 2025'!D:D,1,FALSE)),IFNA(VLOOKUP(F238,'Glovo Raw Nov 4-6 2025'!B:B,1,FALSE),"Not Matched"))))))</f>
      </c>
      <c r="H238">
        <f>COUNTIF(F:F,F238)</f>
      </c>
      <c r="I238" t="s">
        <v>6179</v>
      </c>
      <c r="J238" t="s">
        <v>4915</v>
      </c>
      <c r="K238" t="s">
        <v>4927</v>
      </c>
      <c r="L238" t="s">
        <v>6180</v>
      </c>
      <c r="M238" t="s">
        <v>6181</v>
      </c>
      <c r="N238" t="s">
        <v>6182</v>
      </c>
      <c r="O238" t="s">
        <v>5937</v>
      </c>
      <c r="P238" t="s">
        <v>6183</v>
      </c>
      <c r="Q238">
        <v>0</v>
      </c>
      <c r="R238" t="s">
        <v>5118</v>
      </c>
      <c r="S238" t="s">
        <v>172</v>
      </c>
      <c r="T238" t="s">
        <v>4923</v>
      </c>
      <c r="U238" t="s">
        <v>4924</v>
      </c>
      <c r="V238" t="s">
        <v>6184</v>
      </c>
      <c r="W238" t="s">
        <v>3667</v>
      </c>
      <c r="X238">
        <v>373.7</v>
      </c>
    </row>
    <row r="239" spans="1:24" x14ac:dyDescent="0.25">
      <c r="A239" t="s">
        <v>5231</v>
      </c>
      <c r="B239" t="s">
        <v>6036</v>
      </c>
      <c r="C239" t="s">
        <v>6037</v>
      </c>
      <c r="D239" t="s">
        <v>191</v>
      </c>
      <c r="E239" t="s">
        <v>4913</v>
      </c>
      <c r="F239" t="s">
        <v>2926</v>
      </c>
      <c r="G239">
        <f>IF(K239="Pick-up","PICKUPS",IF(K239="Staff drop-off","STAFF_DROPOFF",IF(K239="Replacements","REPLACEMENT",IF(K239="Central Stores Dispatch","CENTRAL STORES DISPATCH",IFNA(IFNA(VLOOKUP(F239,'Raw Platform Nov 4-6 2025'!C:C,1,FALSE),VLOOKUP(F239,'Raw Platform Nov 4-6 2025'!D:D,1,FALSE)),IFNA(VLOOKUP(F239,'Glovo Raw Nov 4-6 2025'!B:B,1,FALSE),"Not Matched"))))))</f>
      </c>
      <c r="H239">
        <f>COUNTIF(F:F,F239)</f>
      </c>
      <c r="I239" t="s">
        <v>6185</v>
      </c>
      <c r="J239" t="s">
        <v>4915</v>
      </c>
      <c r="K239" t="s">
        <v>4927</v>
      </c>
      <c r="L239" t="s">
        <v>6186</v>
      </c>
      <c r="M239" t="s">
        <v>6187</v>
      </c>
      <c r="N239" t="s">
        <v>6188</v>
      </c>
      <c r="O239" t="s">
        <v>100</v>
      </c>
      <c r="P239" t="s">
        <v>6189</v>
      </c>
      <c r="Q239">
        <v>0</v>
      </c>
      <c r="R239" t="s">
        <v>5118</v>
      </c>
      <c r="S239" t="s">
        <v>5184</v>
      </c>
      <c r="T239" t="s">
        <v>4923</v>
      </c>
      <c r="U239" t="s">
        <v>4924</v>
      </c>
      <c r="V239" t="s">
        <v>6190</v>
      </c>
      <c r="W239" t="s">
        <v>3667</v>
      </c>
      <c r="X239">
        <v>334.6</v>
      </c>
    </row>
    <row r="240" spans="1:24" x14ac:dyDescent="0.25">
      <c r="A240" t="s">
        <v>5130</v>
      </c>
      <c r="B240" t="s">
        <v>6036</v>
      </c>
      <c r="C240" t="s">
        <v>6037</v>
      </c>
      <c r="D240" t="s">
        <v>24</v>
      </c>
      <c r="E240" t="s">
        <v>4913</v>
      </c>
      <c r="F240" t="s">
        <v>6191</v>
      </c>
      <c r="G240">
        <f>IF(K240="Pick-up","PICKUPS",IF(K240="Staff drop-off","STAFF_DROPOFF",IF(K240="Replacements","REPLACEMENT",IF(K240="Central Stores Dispatch","CENTRAL STORES DISPATCH",IFNA(IFNA(VLOOKUP(F240,'Raw Platform Nov 4-6 2025'!C:C,1,FALSE),VLOOKUP(F240,'Raw Platform Nov 4-6 2025'!D:D,1,FALSE)),IFNA(VLOOKUP(F240,'Glovo Raw Nov 4-6 2025'!B:B,1,FALSE),"Not Matched"))))))</f>
      </c>
      <c r="H240">
        <f>COUNTIF(F:F,F240)</f>
      </c>
      <c r="I240" t="s">
        <v>6192</v>
      </c>
      <c r="J240" t="s">
        <v>4915</v>
      </c>
      <c r="K240" t="s">
        <v>4927</v>
      </c>
      <c r="L240" t="s">
        <v>6193</v>
      </c>
      <c r="M240" t="s">
        <v>6194</v>
      </c>
      <c r="N240" t="s">
        <v>6195</v>
      </c>
      <c r="O240" t="s">
        <v>5534</v>
      </c>
      <c r="P240" t="s">
        <v>5535</v>
      </c>
      <c r="Q240">
        <v>0</v>
      </c>
      <c r="R240" t="s">
        <v>5118</v>
      </c>
      <c r="S240" t="s">
        <v>172</v>
      </c>
      <c r="T240" t="s">
        <v>4923</v>
      </c>
      <c r="U240" t="s">
        <v>4924</v>
      </c>
      <c r="V240" t="s">
        <v>6196</v>
      </c>
      <c r="W240" t="s">
        <v>3667</v>
      </c>
      <c r="X240">
        <v>346.1</v>
      </c>
    </row>
    <row r="241" spans="1:24" x14ac:dyDescent="0.25">
      <c r="A241" t="s">
        <v>5130</v>
      </c>
      <c r="B241" t="s">
        <v>6036</v>
      </c>
      <c r="C241" t="s">
        <v>6037</v>
      </c>
      <c r="D241" t="s">
        <v>24</v>
      </c>
      <c r="E241" t="s">
        <v>4913</v>
      </c>
      <c r="F241" t="s">
        <v>6197</v>
      </c>
      <c r="G241">
        <f>IF(K241="Pick-up","PICKUPS",IF(K241="Staff drop-off","STAFF_DROPOFF",IF(K241="Replacements","REPLACEMENT",IF(K241="Central Stores Dispatch","CENTRAL STORES DISPATCH",IFNA(IFNA(VLOOKUP(F241,'Raw Platform Nov 4-6 2025'!C:C,1,FALSE),VLOOKUP(F241,'Raw Platform Nov 4-6 2025'!D:D,1,FALSE)),IFNA(VLOOKUP(F241,'Glovo Raw Nov 4-6 2025'!B:B,1,FALSE),"Not Matched"))))))</f>
      </c>
      <c r="H241">
        <f>COUNTIF(F:F,F241)</f>
      </c>
      <c r="I241" t="s">
        <v>6198</v>
      </c>
      <c r="J241" t="s">
        <v>4915</v>
      </c>
      <c r="K241" t="s">
        <v>4927</v>
      </c>
      <c r="L241" t="s">
        <v>6199</v>
      </c>
      <c r="M241" t="s">
        <v>5217</v>
      </c>
      <c r="N241" t="s">
        <v>6116</v>
      </c>
      <c r="O241" t="s">
        <v>5534</v>
      </c>
      <c r="P241" t="s">
        <v>6117</v>
      </c>
      <c r="Q241">
        <v>0</v>
      </c>
      <c r="R241" t="s">
        <v>5118</v>
      </c>
      <c r="S241" t="s">
        <v>116</v>
      </c>
      <c r="T241" t="s">
        <v>4923</v>
      </c>
      <c r="U241" t="s">
        <v>4924</v>
      </c>
      <c r="V241" t="s">
        <v>6200</v>
      </c>
      <c r="W241" t="s">
        <v>3667</v>
      </c>
      <c r="X241">
        <v>422</v>
      </c>
    </row>
    <row r="242" spans="1:24" x14ac:dyDescent="0.25">
      <c r="A242" t="s">
        <v>5130</v>
      </c>
      <c r="B242" t="s">
        <v>6036</v>
      </c>
      <c r="C242" t="s">
        <v>6037</v>
      </c>
      <c r="D242" t="s">
        <v>24</v>
      </c>
      <c r="E242" t="s">
        <v>4913</v>
      </c>
      <c r="F242" t="s">
        <v>3367</v>
      </c>
      <c r="G242">
        <f>IF(K242="Pick-up","PICKUPS",IF(K242="Staff drop-off","STAFF_DROPOFF",IF(K242="Replacements","REPLACEMENT",IF(K242="Central Stores Dispatch","CENTRAL STORES DISPATCH",IFNA(IFNA(VLOOKUP(F242,'Raw Platform Nov 4-6 2025'!C:C,1,FALSE),VLOOKUP(F242,'Raw Platform Nov 4-6 2025'!D:D,1,FALSE)),IFNA(VLOOKUP(F242,'Glovo Raw Nov 4-6 2025'!B:B,1,FALSE),"Not Matched"))))))</f>
      </c>
      <c r="H242">
        <f>COUNTIF(F:F,F242)</f>
      </c>
      <c r="I242" t="s">
        <v>6201</v>
      </c>
      <c r="J242" t="s">
        <v>4915</v>
      </c>
      <c r="K242" t="s">
        <v>4927</v>
      </c>
      <c r="L242" t="s">
        <v>6202</v>
      </c>
      <c r="M242" t="s">
        <v>6203</v>
      </c>
      <c r="N242" t="s">
        <v>5050</v>
      </c>
      <c r="O242" t="s">
        <v>53</v>
      </c>
      <c r="P242" t="s">
        <v>5541</v>
      </c>
      <c r="Q242">
        <v>0</v>
      </c>
      <c r="R242" t="s">
        <v>5118</v>
      </c>
      <c r="S242" t="s">
        <v>116</v>
      </c>
      <c r="T242" t="s">
        <v>4923</v>
      </c>
      <c r="U242" t="s">
        <v>4924</v>
      </c>
      <c r="V242" t="s">
        <v>6204</v>
      </c>
      <c r="W242" t="s">
        <v>3667</v>
      </c>
      <c r="X242">
        <v>100</v>
      </c>
    </row>
    <row r="243" spans="1:24" x14ac:dyDescent="0.25">
      <c r="A243" t="s">
        <v>5130</v>
      </c>
      <c r="B243" t="s">
        <v>6036</v>
      </c>
      <c r="C243" t="s">
        <v>6037</v>
      </c>
      <c r="D243" t="s">
        <v>191</v>
      </c>
      <c r="E243" t="s">
        <v>4913</v>
      </c>
      <c r="F243" t="s">
        <v>3010</v>
      </c>
      <c r="G243">
        <f>IF(K243="Pick-up","PICKUPS",IF(K243="Staff drop-off","STAFF_DROPOFF",IF(K243="Replacements","REPLACEMENT",IF(K243="Central Stores Dispatch","CENTRAL STORES DISPATCH",IFNA(IFNA(VLOOKUP(F243,'Raw Platform Nov 4-6 2025'!C:C,1,FALSE),VLOOKUP(F243,'Raw Platform Nov 4-6 2025'!D:D,1,FALSE)),IFNA(VLOOKUP(F243,'Glovo Raw Nov 4-6 2025'!B:B,1,FALSE),"Not Matched"))))))</f>
      </c>
      <c r="H243">
        <f>COUNTIF(F:F,F243)</f>
      </c>
      <c r="I243" t="s">
        <v>6205</v>
      </c>
      <c r="J243" t="s">
        <v>63</v>
      </c>
      <c r="K243" t="s">
        <v>4927</v>
      </c>
      <c r="L243" t="s">
        <v>6206</v>
      </c>
      <c r="M243" t="s">
        <v>6207</v>
      </c>
      <c r="N243" t="s">
        <v>6208</v>
      </c>
      <c r="O243" t="s">
        <v>123</v>
      </c>
      <c r="P243" t="s">
        <v>4962</v>
      </c>
      <c r="Q243">
        <v>0</v>
      </c>
      <c r="R243" t="s">
        <v>5118</v>
      </c>
      <c r="S243" t="s">
        <v>5184</v>
      </c>
      <c r="T243" t="s">
        <v>4923</v>
      </c>
      <c r="U243" t="s">
        <v>4924</v>
      </c>
      <c r="V243" t="s">
        <v>6209</v>
      </c>
      <c r="W243" t="s">
        <v>3667</v>
      </c>
      <c r="X243">
        <v>180.5</v>
      </c>
    </row>
    <row r="244" spans="1:24" x14ac:dyDescent="0.25">
      <c r="A244" t="s">
        <v>5231</v>
      </c>
      <c r="B244" t="s">
        <v>6036</v>
      </c>
      <c r="C244" t="s">
        <v>6037</v>
      </c>
      <c r="D244" t="s">
        <v>191</v>
      </c>
      <c r="E244" t="s">
        <v>4913</v>
      </c>
      <c r="F244" t="s">
        <v>6210</v>
      </c>
      <c r="G244">
        <f>IF(K244="Pick-up","PICKUPS",IF(K244="Staff drop-off","STAFF_DROPOFF",IF(K244="Replacements","REPLACEMENT",IF(K244="Central Stores Dispatch","CENTRAL STORES DISPATCH",IFNA(IFNA(VLOOKUP(F244,'Raw Platform Nov 4-6 2025'!C:C,1,FALSE),VLOOKUP(F244,'Raw Platform Nov 4-6 2025'!D:D,1,FALSE)),IFNA(VLOOKUP(F244,'Glovo Raw Nov 4-6 2025'!B:B,1,FALSE),"Not Matched"))))))</f>
      </c>
      <c r="H244">
        <f>COUNTIF(F:F,F244)</f>
      </c>
      <c r="I244" t="s">
        <v>6211</v>
      </c>
      <c r="J244" t="s">
        <v>6212</v>
      </c>
      <c r="K244" t="s">
        <v>4927</v>
      </c>
      <c r="L244" t="s">
        <v>6213</v>
      </c>
      <c r="M244" t="s">
        <v>5234</v>
      </c>
      <c r="N244" t="s">
        <v>5055</v>
      </c>
      <c r="O244" t="s">
        <v>4956</v>
      </c>
      <c r="P244" t="s">
        <v>6214</v>
      </c>
      <c r="Q244">
        <v>0</v>
      </c>
      <c r="R244" t="s">
        <v>5118</v>
      </c>
      <c r="S244" t="s">
        <v>5184</v>
      </c>
      <c r="T244" t="s">
        <v>4923</v>
      </c>
      <c r="U244" t="s">
        <v>4924</v>
      </c>
      <c r="V244" t="s">
        <v>6215</v>
      </c>
      <c r="W244" t="s">
        <v>3667</v>
      </c>
      <c r="X244">
        <v>100</v>
      </c>
    </row>
    <row r="245" spans="1:24" x14ac:dyDescent="0.25">
      <c r="A245" t="s">
        <v>5130</v>
      </c>
      <c r="B245" t="s">
        <v>6036</v>
      </c>
      <c r="C245" t="s">
        <v>6037</v>
      </c>
      <c r="D245" t="s">
        <v>24</v>
      </c>
      <c r="E245" t="s">
        <v>4913</v>
      </c>
      <c r="F245" t="s">
        <v>6216</v>
      </c>
      <c r="G245">
        <f>IF(K245="Pick-up","PICKUPS",IF(K245="Staff drop-off","STAFF_DROPOFF",IF(K245="Replacements","REPLACEMENT",IF(K245="Central Stores Dispatch","CENTRAL STORES DISPATCH",IFNA(IFNA(VLOOKUP(F245,'Raw Platform Nov 4-6 2025'!C:C,1,FALSE),VLOOKUP(F245,'Raw Platform Nov 4-6 2025'!D:D,1,FALSE)),IFNA(VLOOKUP(F245,'Glovo Raw Nov 4-6 2025'!B:B,1,FALSE),"Not Matched"))))))</f>
      </c>
      <c r="H245">
        <f>COUNTIF(F:F,F245)</f>
      </c>
      <c r="I245" t="s">
        <v>6217</v>
      </c>
      <c r="J245" t="s">
        <v>4915</v>
      </c>
      <c r="K245" t="s">
        <v>4927</v>
      </c>
      <c r="L245" t="s">
        <v>6218</v>
      </c>
      <c r="M245" t="s">
        <v>5217</v>
      </c>
      <c r="N245" t="s">
        <v>6219</v>
      </c>
      <c r="O245" t="s">
        <v>42</v>
      </c>
      <c r="P245" t="s">
        <v>6220</v>
      </c>
      <c r="Q245">
        <v>0</v>
      </c>
      <c r="R245" t="s">
        <v>5118</v>
      </c>
      <c r="S245" t="s">
        <v>116</v>
      </c>
      <c r="T245" t="s">
        <v>4923</v>
      </c>
      <c r="U245" t="s">
        <v>4924</v>
      </c>
      <c r="V245" t="s">
        <v>6221</v>
      </c>
      <c r="W245" t="s">
        <v>3667</v>
      </c>
      <c r="X245">
        <v>265.6</v>
      </c>
    </row>
    <row r="246" spans="1:24" x14ac:dyDescent="0.25">
      <c r="A246" t="s">
        <v>5130</v>
      </c>
      <c r="B246" t="s">
        <v>6222</v>
      </c>
      <c r="C246" t="s">
        <v>6223</v>
      </c>
      <c r="D246" t="s">
        <v>24</v>
      </c>
      <c r="E246" t="s">
        <v>4913</v>
      </c>
      <c r="F246" t="s">
        <v>1274</v>
      </c>
      <c r="G246">
        <f>IF(K246="Pick-up","PICKUPS",IF(K246="Staff drop-off","STAFF_DROPOFF",IF(K246="Replacements","REPLACEMENT",IF(K246="Central Stores Dispatch","CENTRAL STORES DISPATCH",IFNA(IFNA(VLOOKUP(F246,'Raw Platform Nov 4-6 2025'!C:C,1,FALSE),VLOOKUP(F246,'Raw Platform Nov 4-6 2025'!D:D,1,FALSE)),IFNA(VLOOKUP(F246,'Glovo Raw Nov 4-6 2025'!B:B,1,FALSE),"Not Matched"))))))</f>
      </c>
      <c r="H246">
        <f>COUNTIF(F:F,F246)</f>
      </c>
      <c r="I246" t="s">
        <v>6224</v>
      </c>
      <c r="J246" t="s">
        <v>5341</v>
      </c>
      <c r="K246" t="s">
        <v>4916</v>
      </c>
      <c r="L246" t="s">
        <v>6225</v>
      </c>
      <c r="M246" t="s">
        <v>6226</v>
      </c>
      <c r="N246" t="s">
        <v>6227</v>
      </c>
      <c r="O246" t="s">
        <v>123</v>
      </c>
      <c r="P246" t="s">
        <v>5436</v>
      </c>
      <c r="Q246">
        <v>4120</v>
      </c>
      <c r="R246" t="s">
        <v>5118</v>
      </c>
      <c r="S246" t="s">
        <v>5136</v>
      </c>
      <c r="T246" t="s">
        <v>4923</v>
      </c>
      <c r="U246" t="s">
        <v>4924</v>
      </c>
      <c r="V246" t="s">
        <v>6228</v>
      </c>
      <c r="W246" t="s">
        <v>3667</v>
      </c>
      <c r="X246">
        <v>164.4</v>
      </c>
    </row>
    <row r="247" spans="1:24" x14ac:dyDescent="0.25">
      <c r="A247" t="s">
        <v>5130</v>
      </c>
      <c r="B247" t="s">
        <v>6222</v>
      </c>
      <c r="C247" t="s">
        <v>6223</v>
      </c>
      <c r="D247" t="s">
        <v>24</v>
      </c>
      <c r="E247" t="s">
        <v>4913</v>
      </c>
      <c r="F247" t="s">
        <v>6229</v>
      </c>
      <c r="G247">
        <f>IF(K247="Pick-up","PICKUPS",IF(K247="Staff drop-off","STAFF_DROPOFF",IF(K247="Replacements","REPLACEMENT",IF(K247="Central Stores Dispatch","CENTRAL STORES DISPATCH",IFNA(IFNA(VLOOKUP(F247,'Raw Platform Nov 4-6 2025'!C:C,1,FALSE),VLOOKUP(F247,'Raw Platform Nov 4-6 2025'!D:D,1,FALSE)),IFNA(VLOOKUP(F247,'Glovo Raw Nov 4-6 2025'!B:B,1,FALSE),"Not Matched"))))))</f>
      </c>
      <c r="H247">
        <f>COUNTIF(F:F,F247)</f>
      </c>
      <c r="I247" t="s">
        <v>6230</v>
      </c>
      <c r="J247" t="s">
        <v>6231</v>
      </c>
      <c r="K247" t="s">
        <v>4916</v>
      </c>
      <c r="L247" t="s">
        <v>6232</v>
      </c>
      <c r="M247" t="s">
        <v>6233</v>
      </c>
      <c r="N247" t="s">
        <v>6234</v>
      </c>
      <c r="O247" t="s">
        <v>53</v>
      </c>
      <c r="P247" t="s">
        <v>6235</v>
      </c>
      <c r="Q247">
        <v>1250</v>
      </c>
      <c r="R247" t="s">
        <v>5118</v>
      </c>
      <c r="S247" t="s">
        <v>45</v>
      </c>
      <c r="T247" t="s">
        <v>4923</v>
      </c>
      <c r="U247" t="s">
        <v>4924</v>
      </c>
      <c r="V247" t="s">
        <v>6236</v>
      </c>
      <c r="W247" t="s">
        <v>3667</v>
      </c>
      <c r="X247">
        <v>104.6</v>
      </c>
    </row>
    <row r="248" spans="1:24" x14ac:dyDescent="0.25">
      <c r="A248" t="s">
        <v>5130</v>
      </c>
      <c r="B248" t="s">
        <v>6222</v>
      </c>
      <c r="C248" t="s">
        <v>6223</v>
      </c>
      <c r="D248" t="s">
        <v>24</v>
      </c>
      <c r="E248" t="s">
        <v>4913</v>
      </c>
      <c r="F248" t="s">
        <v>1025</v>
      </c>
      <c r="G248">
        <f>IF(K248="Pick-up","PICKUPS",IF(K248="Staff drop-off","STAFF_DROPOFF",IF(K248="Replacements","REPLACEMENT",IF(K248="Central Stores Dispatch","CENTRAL STORES DISPATCH",IFNA(IFNA(VLOOKUP(F248,'Raw Platform Nov 4-6 2025'!C:C,1,FALSE),VLOOKUP(F248,'Raw Platform Nov 4-6 2025'!D:D,1,FALSE)),IFNA(VLOOKUP(F248,'Glovo Raw Nov 4-6 2025'!B:B,1,FALSE),"Not Matched"))))))</f>
      </c>
      <c r="H248">
        <f>COUNTIF(F:F,F248)</f>
      </c>
      <c r="I248" t="s">
        <v>6237</v>
      </c>
      <c r="J248" t="s">
        <v>4915</v>
      </c>
      <c r="K248" t="s">
        <v>4927</v>
      </c>
      <c r="L248" t="s">
        <v>6238</v>
      </c>
      <c r="M248" t="s">
        <v>6239</v>
      </c>
      <c r="N248" t="s">
        <v>6240</v>
      </c>
      <c r="O248" t="s">
        <v>113</v>
      </c>
      <c r="P248" t="s">
        <v>6241</v>
      </c>
      <c r="Q248">
        <v>0</v>
      </c>
      <c r="R248" t="s">
        <v>5118</v>
      </c>
      <c r="S248" t="s">
        <v>35</v>
      </c>
      <c r="T248" t="s">
        <v>4923</v>
      </c>
      <c r="U248" t="s">
        <v>4924</v>
      </c>
      <c r="V248" t="s">
        <v>6242</v>
      </c>
      <c r="W248" t="s">
        <v>3667</v>
      </c>
      <c r="X248">
        <v>228.8</v>
      </c>
    </row>
    <row r="249" spans="1:24" x14ac:dyDescent="0.25">
      <c r="A249" t="s">
        <v>5130</v>
      </c>
      <c r="B249" t="s">
        <v>6222</v>
      </c>
      <c r="C249" t="s">
        <v>6223</v>
      </c>
      <c r="D249" t="s">
        <v>24</v>
      </c>
      <c r="E249" t="s">
        <v>4913</v>
      </c>
      <c r="F249" t="s">
        <v>135</v>
      </c>
      <c r="G249">
        <f>IF(K249="Pick-up","PICKUPS",IF(K249="Staff drop-off","STAFF_DROPOFF",IF(K249="Replacements","REPLACEMENT",IF(K249="Central Stores Dispatch","CENTRAL STORES DISPATCH",IFNA(IFNA(VLOOKUP(F249,'Raw Platform Nov 4-6 2025'!C:C,1,FALSE),VLOOKUP(F249,'Raw Platform Nov 4-6 2025'!D:D,1,FALSE)),IFNA(VLOOKUP(F249,'Glovo Raw Nov 4-6 2025'!B:B,1,FALSE),"Not Matched"))))))</f>
      </c>
      <c r="H249">
        <f>COUNTIF(F:F,F249)</f>
      </c>
      <c r="I249" t="s">
        <v>6243</v>
      </c>
      <c r="J249" t="s">
        <v>4915</v>
      </c>
      <c r="K249" t="s">
        <v>4916</v>
      </c>
      <c r="L249" t="s">
        <v>6244</v>
      </c>
      <c r="M249" t="s">
        <v>6245</v>
      </c>
      <c r="N249" t="s">
        <v>6246</v>
      </c>
      <c r="O249" t="s">
        <v>73</v>
      </c>
      <c r="P249" t="s">
        <v>5516</v>
      </c>
      <c r="Q249">
        <v>850</v>
      </c>
      <c r="R249" t="s">
        <v>5118</v>
      </c>
      <c r="S249" t="s">
        <v>5136</v>
      </c>
      <c r="T249" t="s">
        <v>4923</v>
      </c>
      <c r="U249" t="s">
        <v>4924</v>
      </c>
      <c r="V249" t="s">
        <v>6247</v>
      </c>
      <c r="W249" t="s">
        <v>3667</v>
      </c>
      <c r="X249">
        <v>169</v>
      </c>
    </row>
    <row r="250" spans="1:24" x14ac:dyDescent="0.25">
      <c r="A250" t="s">
        <v>5130</v>
      </c>
      <c r="B250" t="s">
        <v>6222</v>
      </c>
      <c r="C250" t="s">
        <v>6223</v>
      </c>
      <c r="D250" t="s">
        <v>24</v>
      </c>
      <c r="E250" t="s">
        <v>5034</v>
      </c>
      <c r="F250" t="s">
        <v>781</v>
      </c>
      <c r="G250">
        <f>IF(K250="Pick-up","PICKUPS",IF(K250="Staff drop-off","STAFF_DROPOFF",IF(K250="Replacements","REPLACEMENT",IF(K250="Central Stores Dispatch","CENTRAL STORES DISPATCH",IFNA(IFNA(VLOOKUP(F250,'Raw Platform Nov 4-6 2025'!C:C,1,FALSE),VLOOKUP(F250,'Raw Platform Nov 4-6 2025'!D:D,1,FALSE)),IFNA(VLOOKUP(F250,'Glovo Raw Nov 4-6 2025'!B:B,1,FALSE),"Not Matched"))))))</f>
      </c>
      <c r="H250">
        <f>COUNTIF(F:F,F250)</f>
      </c>
      <c r="I250" t="s">
        <v>6248</v>
      </c>
      <c r="J250" t="s">
        <v>4915</v>
      </c>
      <c r="K250" t="s">
        <v>4927</v>
      </c>
      <c r="L250" t="s">
        <v>6249</v>
      </c>
      <c r="M250" t="s">
        <v>6250</v>
      </c>
      <c r="N250" t="s">
        <v>6251</v>
      </c>
      <c r="O250" t="s">
        <v>77</v>
      </c>
      <c r="P250" t="s">
        <v>2009</v>
      </c>
      <c r="Q250">
        <v>0</v>
      </c>
      <c r="R250" t="s">
        <v>5118</v>
      </c>
      <c r="S250" t="s">
        <v>5136</v>
      </c>
      <c r="T250" t="s">
        <v>4923</v>
      </c>
      <c r="U250" t="s">
        <v>4923</v>
      </c>
      <c r="V250" t="s">
        <v>6252</v>
      </c>
      <c r="W250" t="s">
        <v>3667</v>
      </c>
      <c r="X250">
        <v>0</v>
      </c>
    </row>
    <row r="251" spans="1:24" x14ac:dyDescent="0.25">
      <c r="A251" t="s">
        <v>5130</v>
      </c>
      <c r="B251" t="s">
        <v>6222</v>
      </c>
      <c r="C251" t="s">
        <v>6223</v>
      </c>
      <c r="D251" t="s">
        <v>24</v>
      </c>
      <c r="E251" t="s">
        <v>4913</v>
      </c>
      <c r="F251" t="s">
        <v>6253</v>
      </c>
      <c r="G251">
        <f>IF(K251="Pick-up","PICKUPS",IF(K251="Staff drop-off","STAFF_DROPOFF",IF(K251="Replacements","REPLACEMENT",IF(K251="Central Stores Dispatch","CENTRAL STORES DISPATCH",IFNA(IFNA(VLOOKUP(F251,'Raw Platform Nov 4-6 2025'!C:C,1,FALSE),VLOOKUP(F251,'Raw Platform Nov 4-6 2025'!D:D,1,FALSE)),IFNA(VLOOKUP(F251,'Glovo Raw Nov 4-6 2025'!B:B,1,FALSE),"Not Matched"))))))</f>
      </c>
      <c r="H251">
        <f>COUNTIF(F:F,F251)</f>
      </c>
      <c r="I251" t="s">
        <v>6254</v>
      </c>
      <c r="J251" t="s">
        <v>5289</v>
      </c>
      <c r="K251" t="s">
        <v>4927</v>
      </c>
      <c r="L251" t="s">
        <v>6255</v>
      </c>
      <c r="M251" t="s">
        <v>5217</v>
      </c>
      <c r="N251" t="s">
        <v>6256</v>
      </c>
      <c r="O251" t="s">
        <v>2009</v>
      </c>
      <c r="P251" t="s">
        <v>4990</v>
      </c>
      <c r="Q251">
        <v>0</v>
      </c>
      <c r="R251" t="s">
        <v>5118</v>
      </c>
      <c r="S251" t="s">
        <v>5293</v>
      </c>
      <c r="T251" t="s">
        <v>4923</v>
      </c>
      <c r="U251" t="s">
        <v>4924</v>
      </c>
      <c r="V251" t="s">
        <v>6257</v>
      </c>
      <c r="W251" t="s">
        <v>3667</v>
      </c>
      <c r="X251">
        <v>111.5</v>
      </c>
    </row>
    <row r="252" spans="1:24" x14ac:dyDescent="0.25">
      <c r="A252" t="s">
        <v>4910</v>
      </c>
      <c r="B252" t="s">
        <v>6222</v>
      </c>
      <c r="C252" t="s">
        <v>6223</v>
      </c>
      <c r="D252" t="s">
        <v>13</v>
      </c>
      <c r="E252" t="s">
        <v>4913</v>
      </c>
      <c r="F252" t="s">
        <v>2536</v>
      </c>
      <c r="G252">
        <f>IF(K252="Pick-up","PICKUPS",IF(K252="Staff drop-off","STAFF_DROPOFF",IF(K252="Replacements","REPLACEMENT",IF(K252="Central Stores Dispatch","CENTRAL STORES DISPATCH",IFNA(IFNA(VLOOKUP(F252,'Raw Platform Nov 4-6 2025'!C:C,1,FALSE),VLOOKUP(F252,'Raw Platform Nov 4-6 2025'!D:D,1,FALSE)),IFNA(VLOOKUP(F252,'Glovo Raw Nov 4-6 2025'!B:B,1,FALSE),"Not Matched"))))))</f>
      </c>
      <c r="H252">
        <f>COUNTIF(F:F,F252)</f>
      </c>
      <c r="I252" t="s">
        <v>6258</v>
      </c>
      <c r="J252" t="s">
        <v>4915</v>
      </c>
      <c r="K252" t="s">
        <v>4927</v>
      </c>
      <c r="L252" t="s">
        <v>6259</v>
      </c>
      <c r="M252" t="s">
        <v>6260</v>
      </c>
      <c r="N252" t="s">
        <v>6261</v>
      </c>
      <c r="O252" t="s">
        <v>42</v>
      </c>
      <c r="P252" t="s">
        <v>5631</v>
      </c>
      <c r="Q252">
        <v>0</v>
      </c>
      <c r="R252" t="s">
        <v>5118</v>
      </c>
      <c r="S252" t="s">
        <v>12</v>
      </c>
      <c r="T252" t="s">
        <v>4923</v>
      </c>
      <c r="U252" t="s">
        <v>4924</v>
      </c>
      <c r="V252" t="s">
        <v>6262</v>
      </c>
      <c r="W252" t="s">
        <v>3667</v>
      </c>
      <c r="X252">
        <v>307</v>
      </c>
    </row>
    <row r="253" spans="1:24" x14ac:dyDescent="0.25">
      <c r="A253" t="s">
        <v>4910</v>
      </c>
      <c r="B253" t="s">
        <v>6222</v>
      </c>
      <c r="C253" t="s">
        <v>6223</v>
      </c>
      <c r="D253" t="s">
        <v>13</v>
      </c>
      <c r="E253" t="s">
        <v>4913</v>
      </c>
      <c r="F253" t="s">
        <v>3495</v>
      </c>
      <c r="G253">
        <f>IF(K253="Pick-up","PICKUPS",IF(K253="Staff drop-off","STAFF_DROPOFF",IF(K253="Replacements","REPLACEMENT",IF(K253="Central Stores Dispatch","CENTRAL STORES DISPATCH",IFNA(IFNA(VLOOKUP(F253,'Raw Platform Nov 4-6 2025'!C:C,1,FALSE),VLOOKUP(F253,'Raw Platform Nov 4-6 2025'!D:D,1,FALSE)),IFNA(VLOOKUP(F253,'Glovo Raw Nov 4-6 2025'!B:B,1,FALSE),"Not Matched"))))))</f>
      </c>
      <c r="H253">
        <f>COUNTIF(F:F,F253)</f>
      </c>
      <c r="I253" t="s">
        <v>6263</v>
      </c>
      <c r="J253" t="s">
        <v>4915</v>
      </c>
      <c r="K253" t="s">
        <v>4927</v>
      </c>
      <c r="L253" t="s">
        <v>6264</v>
      </c>
      <c r="M253" t="s">
        <v>6265</v>
      </c>
      <c r="N253" t="s">
        <v>6266</v>
      </c>
      <c r="O253" t="s">
        <v>73</v>
      </c>
      <c r="P253" t="s">
        <v>6267</v>
      </c>
      <c r="Q253">
        <v>0</v>
      </c>
      <c r="R253" t="s">
        <v>5118</v>
      </c>
      <c r="S253" t="s">
        <v>12</v>
      </c>
      <c r="T253" t="s">
        <v>4923</v>
      </c>
      <c r="U253" t="s">
        <v>4924</v>
      </c>
      <c r="V253" t="s">
        <v>6268</v>
      </c>
      <c r="W253" t="s">
        <v>3667</v>
      </c>
      <c r="X253">
        <v>198.9</v>
      </c>
    </row>
    <row r="254" spans="1:24" x14ac:dyDescent="0.25">
      <c r="A254" t="s">
        <v>5231</v>
      </c>
      <c r="B254" t="s">
        <v>6222</v>
      </c>
      <c r="C254" t="s">
        <v>6223</v>
      </c>
      <c r="D254" t="s">
        <v>191</v>
      </c>
      <c r="E254" t="s">
        <v>4913</v>
      </c>
      <c r="F254" t="s">
        <v>2918</v>
      </c>
      <c r="G254">
        <f>IF(K254="Pick-up","PICKUPS",IF(K254="Staff drop-off","STAFF_DROPOFF",IF(K254="Replacements","REPLACEMENT",IF(K254="Central Stores Dispatch","CENTRAL STORES DISPATCH",IFNA(IFNA(VLOOKUP(F254,'Raw Platform Nov 4-6 2025'!C:C,1,FALSE),VLOOKUP(F254,'Raw Platform Nov 4-6 2025'!D:D,1,FALSE)),IFNA(VLOOKUP(F254,'Glovo Raw Nov 4-6 2025'!B:B,1,FALSE),"Not Matched"))))))</f>
      </c>
      <c r="H254">
        <f>COUNTIF(F:F,F254)</f>
      </c>
      <c r="I254" t="s">
        <v>6269</v>
      </c>
      <c r="J254" t="s">
        <v>4915</v>
      </c>
      <c r="K254" t="s">
        <v>4916</v>
      </c>
      <c r="L254" t="s">
        <v>6270</v>
      </c>
      <c r="M254" t="s">
        <v>6271</v>
      </c>
      <c r="N254" t="s">
        <v>6272</v>
      </c>
      <c r="O254" t="s">
        <v>32</v>
      </c>
      <c r="P254" t="s">
        <v>123</v>
      </c>
      <c r="Q254">
        <v>630</v>
      </c>
      <c r="R254" t="s">
        <v>5118</v>
      </c>
      <c r="S254" t="s">
        <v>5699</v>
      </c>
      <c r="T254" t="s">
        <v>4923</v>
      </c>
      <c r="U254" t="s">
        <v>4924</v>
      </c>
      <c r="V254" t="s">
        <v>6273</v>
      </c>
      <c r="W254" t="s">
        <v>3667</v>
      </c>
      <c r="X254">
        <v>272.5</v>
      </c>
    </row>
    <row r="255" spans="1:24" x14ac:dyDescent="0.25">
      <c r="A255" t="s">
        <v>5130</v>
      </c>
      <c r="B255" t="s">
        <v>6222</v>
      </c>
      <c r="C255" t="s">
        <v>6223</v>
      </c>
      <c r="D255" t="s">
        <v>24</v>
      </c>
      <c r="E255" t="s">
        <v>4913</v>
      </c>
      <c r="F255" t="s">
        <v>6274</v>
      </c>
      <c r="G255">
        <f>IF(K255="Pick-up","PICKUPS",IF(K255="Staff drop-off","STAFF_DROPOFF",IF(K255="Replacements","REPLACEMENT",IF(K255="Central Stores Dispatch","CENTRAL STORES DISPATCH",IFNA(IFNA(VLOOKUP(F255,'Raw Platform Nov 4-6 2025'!C:C,1,FALSE),VLOOKUP(F255,'Raw Platform Nov 4-6 2025'!D:D,1,FALSE)),IFNA(VLOOKUP(F255,'Glovo Raw Nov 4-6 2025'!B:B,1,FALSE),"Not Matched"))))))</f>
      </c>
      <c r="H255">
        <f>COUNTIF(F:F,F255)</f>
      </c>
      <c r="I255" t="s">
        <v>6275</v>
      </c>
      <c r="J255" t="s">
        <v>5341</v>
      </c>
      <c r="K255" t="s">
        <v>4927</v>
      </c>
      <c r="L255" t="s">
        <v>6276</v>
      </c>
      <c r="M255" t="s">
        <v>6277</v>
      </c>
      <c r="N255" t="s">
        <v>5107</v>
      </c>
      <c r="O255" t="s">
        <v>2009</v>
      </c>
      <c r="P255" t="s">
        <v>5572</v>
      </c>
      <c r="Q255">
        <v>0</v>
      </c>
      <c r="R255" t="s">
        <v>5118</v>
      </c>
      <c r="S255" t="s">
        <v>5136</v>
      </c>
      <c r="T255" t="s">
        <v>4923</v>
      </c>
      <c r="U255" t="s">
        <v>4924</v>
      </c>
      <c r="V255" t="s">
        <v>6278</v>
      </c>
      <c r="W255" t="s">
        <v>3667</v>
      </c>
      <c r="X255">
        <v>125.3</v>
      </c>
    </row>
    <row r="256" spans="1:24" x14ac:dyDescent="0.25">
      <c r="A256" t="s">
        <v>5176</v>
      </c>
      <c r="B256" t="s">
        <v>6279</v>
      </c>
      <c r="C256" t="s">
        <v>6280</v>
      </c>
      <c r="D256" t="s">
        <v>30</v>
      </c>
      <c r="E256" t="s">
        <v>4913</v>
      </c>
      <c r="F256" t="s">
        <v>1251</v>
      </c>
      <c r="G256">
        <f>IF(K256="Pick-up","PICKUPS",IF(K256="Staff drop-off","STAFF_DROPOFF",IF(K256="Replacements","REPLACEMENT",IF(K256="Central Stores Dispatch","CENTRAL STORES DISPATCH",IFNA(IFNA(VLOOKUP(F256,'Raw Platform Nov 4-6 2025'!C:C,1,FALSE),VLOOKUP(F256,'Raw Platform Nov 4-6 2025'!D:D,1,FALSE)),IFNA(VLOOKUP(F256,'Glovo Raw Nov 4-6 2025'!B:B,1,FALSE),"Not Matched"))))))</f>
      </c>
      <c r="H256">
        <f>COUNTIF(F:F,F256)</f>
      </c>
      <c r="I256" t="s">
        <v>6281</v>
      </c>
      <c r="J256" t="s">
        <v>63</v>
      </c>
      <c r="K256" t="s">
        <v>4927</v>
      </c>
      <c r="L256" t="s">
        <v>6282</v>
      </c>
      <c r="M256" t="s">
        <v>6283</v>
      </c>
      <c r="N256" t="s">
        <v>6284</v>
      </c>
      <c r="O256" t="s">
        <v>6086</v>
      </c>
      <c r="P256" t="s">
        <v>5206</v>
      </c>
      <c r="Q256">
        <v>0</v>
      </c>
      <c r="R256" t="s">
        <v>5118</v>
      </c>
      <c r="S256" t="s">
        <v>172</v>
      </c>
      <c r="T256" t="s">
        <v>4923</v>
      </c>
      <c r="U256" t="s">
        <v>4924</v>
      </c>
      <c r="V256" t="s">
        <v>6285</v>
      </c>
      <c r="W256" t="s">
        <v>3667</v>
      </c>
      <c r="X256">
        <v>311.6</v>
      </c>
    </row>
    <row r="257" spans="1:24" x14ac:dyDescent="0.25">
      <c r="A257" t="s">
        <v>5176</v>
      </c>
      <c r="B257" t="s">
        <v>6279</v>
      </c>
      <c r="C257" t="s">
        <v>6280</v>
      </c>
      <c r="D257" t="s">
        <v>191</v>
      </c>
      <c r="E257" t="s">
        <v>4913</v>
      </c>
      <c r="F257" t="s">
        <v>1082</v>
      </c>
      <c r="G257">
        <f>IF(K257="Pick-up","PICKUPS",IF(K257="Staff drop-off","STAFF_DROPOFF",IF(K257="Replacements","REPLACEMENT",IF(K257="Central Stores Dispatch","CENTRAL STORES DISPATCH",IFNA(IFNA(VLOOKUP(F257,'Raw Platform Nov 4-6 2025'!C:C,1,FALSE),VLOOKUP(F257,'Raw Platform Nov 4-6 2025'!D:D,1,FALSE)),IFNA(VLOOKUP(F257,'Glovo Raw Nov 4-6 2025'!B:B,1,FALSE),"Not Matched"))))))</f>
      </c>
      <c r="H257">
        <f>COUNTIF(F:F,F257)</f>
      </c>
      <c r="I257" t="s">
        <v>6286</v>
      </c>
      <c r="J257" t="s">
        <v>4915</v>
      </c>
      <c r="K257" t="s">
        <v>4927</v>
      </c>
      <c r="L257" t="s">
        <v>6287</v>
      </c>
      <c r="M257" t="s">
        <v>6288</v>
      </c>
      <c r="N257" t="s">
        <v>6289</v>
      </c>
      <c r="O257" t="s">
        <v>100</v>
      </c>
      <c r="P257" t="s">
        <v>5322</v>
      </c>
      <c r="Q257">
        <v>0</v>
      </c>
      <c r="R257" t="s">
        <v>5118</v>
      </c>
      <c r="S257" t="s">
        <v>5184</v>
      </c>
      <c r="T257" t="s">
        <v>4923</v>
      </c>
      <c r="U257" t="s">
        <v>4924</v>
      </c>
      <c r="V257" t="s">
        <v>6290</v>
      </c>
      <c r="W257" t="s">
        <v>3667</v>
      </c>
      <c r="X257">
        <v>189.7</v>
      </c>
    </row>
    <row r="258" spans="1:24" x14ac:dyDescent="0.25">
      <c r="A258" t="s">
        <v>5176</v>
      </c>
      <c r="B258" t="s">
        <v>6279</v>
      </c>
      <c r="C258" t="s">
        <v>6280</v>
      </c>
      <c r="D258" t="s">
        <v>30</v>
      </c>
      <c r="E258" t="s">
        <v>4913</v>
      </c>
      <c r="F258" t="s">
        <v>1167</v>
      </c>
      <c r="G258">
        <f>IF(K258="Pick-up","PICKUPS",IF(K258="Staff drop-off","STAFF_DROPOFF",IF(K258="Replacements","REPLACEMENT",IF(K258="Central Stores Dispatch","CENTRAL STORES DISPATCH",IFNA(IFNA(VLOOKUP(F258,'Raw Platform Nov 4-6 2025'!C:C,1,FALSE),VLOOKUP(F258,'Raw Platform Nov 4-6 2025'!D:D,1,FALSE)),IFNA(VLOOKUP(F258,'Glovo Raw Nov 4-6 2025'!B:B,1,FALSE),"Not Matched"))))))</f>
      </c>
      <c r="H258">
        <f>COUNTIF(F:F,F258)</f>
      </c>
      <c r="I258" t="s">
        <v>6291</v>
      </c>
      <c r="J258" t="s">
        <v>63</v>
      </c>
      <c r="K258" t="s">
        <v>4927</v>
      </c>
      <c r="L258" t="s">
        <v>6292</v>
      </c>
      <c r="M258" t="s">
        <v>6293</v>
      </c>
      <c r="N258" t="s">
        <v>6227</v>
      </c>
      <c r="O258" t="s">
        <v>4949</v>
      </c>
      <c r="P258" t="s">
        <v>5007</v>
      </c>
      <c r="Q258">
        <v>0</v>
      </c>
      <c r="R258" t="s">
        <v>5118</v>
      </c>
      <c r="S258" t="s">
        <v>116</v>
      </c>
      <c r="T258" t="s">
        <v>4923</v>
      </c>
      <c r="U258" t="s">
        <v>4924</v>
      </c>
      <c r="V258" t="s">
        <v>6294</v>
      </c>
      <c r="W258" t="s">
        <v>3667</v>
      </c>
      <c r="X258">
        <v>100</v>
      </c>
    </row>
    <row r="259" spans="1:24" x14ac:dyDescent="0.25">
      <c r="A259" t="s">
        <v>5176</v>
      </c>
      <c r="B259" t="s">
        <v>6279</v>
      </c>
      <c r="C259" t="s">
        <v>6280</v>
      </c>
      <c r="D259" t="s">
        <v>30</v>
      </c>
      <c r="E259" t="s">
        <v>4913</v>
      </c>
      <c r="F259" t="s">
        <v>1111</v>
      </c>
      <c r="G259">
        <f>IF(K259="Pick-up","PICKUPS",IF(K259="Staff drop-off","STAFF_DROPOFF",IF(K259="Replacements","REPLACEMENT",IF(K259="Central Stores Dispatch","CENTRAL STORES DISPATCH",IFNA(IFNA(VLOOKUP(F259,'Raw Platform Nov 4-6 2025'!C:C,1,FALSE),VLOOKUP(F259,'Raw Platform Nov 4-6 2025'!D:D,1,FALSE)),IFNA(VLOOKUP(F259,'Glovo Raw Nov 4-6 2025'!B:B,1,FALSE),"Not Matched"))))))</f>
      </c>
      <c r="H259">
        <f>COUNTIF(F:F,F259)</f>
      </c>
      <c r="I259" t="s">
        <v>6295</v>
      </c>
      <c r="J259" t="s">
        <v>4915</v>
      </c>
      <c r="K259" t="s">
        <v>4927</v>
      </c>
      <c r="L259" t="s">
        <v>6296</v>
      </c>
      <c r="M259" t="s">
        <v>6297</v>
      </c>
      <c r="N259" t="s">
        <v>6298</v>
      </c>
      <c r="O259" t="s">
        <v>6079</v>
      </c>
      <c r="P259" t="s">
        <v>6299</v>
      </c>
      <c r="Q259">
        <v>0</v>
      </c>
      <c r="R259" t="s">
        <v>5118</v>
      </c>
      <c r="S259" t="s">
        <v>45</v>
      </c>
      <c r="T259" t="s">
        <v>4923</v>
      </c>
      <c r="U259" t="s">
        <v>4924</v>
      </c>
      <c r="V259" t="s">
        <v>6300</v>
      </c>
      <c r="W259" t="s">
        <v>3667</v>
      </c>
      <c r="X259">
        <v>408.2</v>
      </c>
    </row>
    <row r="260" spans="1:24" x14ac:dyDescent="0.25">
      <c r="A260" t="s">
        <v>5176</v>
      </c>
      <c r="B260" t="s">
        <v>6279</v>
      </c>
      <c r="C260" t="s">
        <v>6280</v>
      </c>
      <c r="D260" t="s">
        <v>30</v>
      </c>
      <c r="E260" t="s">
        <v>4913</v>
      </c>
      <c r="F260" t="s">
        <v>849</v>
      </c>
      <c r="G260">
        <f>IF(K260="Pick-up","PICKUPS",IF(K260="Staff drop-off","STAFF_DROPOFF",IF(K260="Replacements","REPLACEMENT",IF(K260="Central Stores Dispatch","CENTRAL STORES DISPATCH",IFNA(IFNA(VLOOKUP(F260,'Raw Platform Nov 4-6 2025'!C:C,1,FALSE),VLOOKUP(F260,'Raw Platform Nov 4-6 2025'!D:D,1,FALSE)),IFNA(VLOOKUP(F260,'Glovo Raw Nov 4-6 2025'!B:B,1,FALSE),"Not Matched"))))))</f>
      </c>
      <c r="H260">
        <f>COUNTIF(F:F,F260)</f>
      </c>
      <c r="I260" t="s">
        <v>6301</v>
      </c>
      <c r="J260" t="s">
        <v>4915</v>
      </c>
      <c r="K260" t="s">
        <v>4927</v>
      </c>
      <c r="L260" t="s">
        <v>6302</v>
      </c>
      <c r="M260" t="s">
        <v>6303</v>
      </c>
      <c r="N260" t="s">
        <v>6304</v>
      </c>
      <c r="O260" t="s">
        <v>113</v>
      </c>
      <c r="P260" t="s">
        <v>6305</v>
      </c>
      <c r="Q260">
        <v>0</v>
      </c>
      <c r="R260" t="s">
        <v>5118</v>
      </c>
      <c r="S260" t="s">
        <v>172</v>
      </c>
      <c r="T260" t="s">
        <v>4923</v>
      </c>
      <c r="U260" t="s">
        <v>4924</v>
      </c>
      <c r="V260" t="s">
        <v>6306</v>
      </c>
      <c r="W260" t="s">
        <v>3667</v>
      </c>
      <c r="X260">
        <v>143.7</v>
      </c>
    </row>
    <row r="261" spans="1:24" x14ac:dyDescent="0.25">
      <c r="A261" t="s">
        <v>5176</v>
      </c>
      <c r="B261" t="s">
        <v>6279</v>
      </c>
      <c r="C261" t="s">
        <v>6280</v>
      </c>
      <c r="D261" t="s">
        <v>30</v>
      </c>
      <c r="E261" t="s">
        <v>4913</v>
      </c>
      <c r="F261" t="s">
        <v>285</v>
      </c>
      <c r="G261">
        <f>IF(K261="Pick-up","PICKUPS",IF(K261="Staff drop-off","STAFF_DROPOFF",IF(K261="Replacements","REPLACEMENT",IF(K261="Central Stores Dispatch","CENTRAL STORES DISPATCH",IFNA(IFNA(VLOOKUP(F261,'Raw Platform Nov 4-6 2025'!C:C,1,FALSE),VLOOKUP(F261,'Raw Platform Nov 4-6 2025'!D:D,1,FALSE)),IFNA(VLOOKUP(F261,'Glovo Raw Nov 4-6 2025'!B:B,1,FALSE),"Not Matched"))))))</f>
      </c>
      <c r="H261">
        <f>COUNTIF(F:F,F261)</f>
      </c>
      <c r="I261" t="s">
        <v>6307</v>
      </c>
      <c r="J261" t="s">
        <v>4915</v>
      </c>
      <c r="K261" t="s">
        <v>4927</v>
      </c>
      <c r="L261" t="s">
        <v>6308</v>
      </c>
      <c r="M261" t="s">
        <v>6309</v>
      </c>
      <c r="N261" t="s">
        <v>6310</v>
      </c>
      <c r="O261" t="s">
        <v>47</v>
      </c>
      <c r="P261" t="s">
        <v>5541</v>
      </c>
      <c r="Q261">
        <v>0</v>
      </c>
      <c r="R261" t="s">
        <v>5118</v>
      </c>
      <c r="S261" t="s">
        <v>45</v>
      </c>
      <c r="T261" t="s">
        <v>4923</v>
      </c>
      <c r="U261" t="s">
        <v>4924</v>
      </c>
      <c r="V261" t="s">
        <v>6311</v>
      </c>
      <c r="W261" t="s">
        <v>3667</v>
      </c>
      <c r="X261">
        <v>100</v>
      </c>
    </row>
    <row r="262" spans="1:24" x14ac:dyDescent="0.25">
      <c r="A262" t="s">
        <v>5176</v>
      </c>
      <c r="B262" t="s">
        <v>6279</v>
      </c>
      <c r="C262" t="s">
        <v>6280</v>
      </c>
      <c r="D262" t="s">
        <v>30</v>
      </c>
      <c r="E262" t="s">
        <v>4913</v>
      </c>
      <c r="F262" t="s">
        <v>436</v>
      </c>
      <c r="G262">
        <f>IF(K262="Pick-up","PICKUPS",IF(K262="Staff drop-off","STAFF_DROPOFF",IF(K262="Replacements","REPLACEMENT",IF(K262="Central Stores Dispatch","CENTRAL STORES DISPATCH",IFNA(IFNA(VLOOKUP(F262,'Raw Platform Nov 4-6 2025'!C:C,1,FALSE),VLOOKUP(F262,'Raw Platform Nov 4-6 2025'!D:D,1,FALSE)),IFNA(VLOOKUP(F262,'Glovo Raw Nov 4-6 2025'!B:B,1,FALSE),"Not Matched"))))))</f>
      </c>
      <c r="H262">
        <f>COUNTIF(F:F,F262)</f>
      </c>
      <c r="I262" t="s">
        <v>6312</v>
      </c>
      <c r="J262" t="s">
        <v>4915</v>
      </c>
      <c r="K262" t="s">
        <v>4927</v>
      </c>
      <c r="L262" t="s">
        <v>5004</v>
      </c>
      <c r="M262" t="s">
        <v>5327</v>
      </c>
      <c r="N262" t="s">
        <v>5006</v>
      </c>
      <c r="O262" t="s">
        <v>77</v>
      </c>
      <c r="P262" t="s">
        <v>5914</v>
      </c>
      <c r="Q262">
        <v>0</v>
      </c>
      <c r="R262" t="s">
        <v>5118</v>
      </c>
      <c r="S262" t="s">
        <v>29</v>
      </c>
      <c r="T262" t="s">
        <v>4923</v>
      </c>
      <c r="U262" t="s">
        <v>4924</v>
      </c>
      <c r="V262" t="s">
        <v>6313</v>
      </c>
      <c r="W262" t="s">
        <v>3667</v>
      </c>
      <c r="X262">
        <v>192</v>
      </c>
    </row>
    <row r="263" spans="1:24" x14ac:dyDescent="0.25">
      <c r="A263" t="s">
        <v>5176</v>
      </c>
      <c r="B263" t="s">
        <v>6279</v>
      </c>
      <c r="C263" t="s">
        <v>6280</v>
      </c>
      <c r="D263" t="s">
        <v>30</v>
      </c>
      <c r="E263" t="s">
        <v>4913</v>
      </c>
      <c r="F263" t="s">
        <v>531</v>
      </c>
      <c r="G263">
        <f>IF(K263="Pick-up","PICKUPS",IF(K263="Staff drop-off","STAFF_DROPOFF",IF(K263="Replacements","REPLACEMENT",IF(K263="Central Stores Dispatch","CENTRAL STORES DISPATCH",IFNA(IFNA(VLOOKUP(F263,'Raw Platform Nov 4-6 2025'!C:C,1,FALSE),VLOOKUP(F263,'Raw Platform Nov 4-6 2025'!D:D,1,FALSE)),IFNA(VLOOKUP(F263,'Glovo Raw Nov 4-6 2025'!B:B,1,FALSE),"Not Matched"))))))</f>
      </c>
      <c r="H263">
        <f>COUNTIF(F:F,F263)</f>
      </c>
      <c r="I263" t="s">
        <v>6314</v>
      </c>
      <c r="J263" t="s">
        <v>4915</v>
      </c>
      <c r="K263" t="s">
        <v>4916</v>
      </c>
      <c r="L263" t="s">
        <v>6315</v>
      </c>
      <c r="M263" t="s">
        <v>6316</v>
      </c>
      <c r="N263" t="s">
        <v>6317</v>
      </c>
      <c r="O263" t="s">
        <v>6318</v>
      </c>
      <c r="P263" t="s">
        <v>6299</v>
      </c>
      <c r="Q263">
        <v>2000</v>
      </c>
      <c r="R263" t="s">
        <v>5118</v>
      </c>
      <c r="S263" t="s">
        <v>45</v>
      </c>
      <c r="T263" t="s">
        <v>4923</v>
      </c>
      <c r="U263" t="s">
        <v>4924</v>
      </c>
      <c r="V263" t="s">
        <v>6319</v>
      </c>
      <c r="W263" t="s">
        <v>3667</v>
      </c>
      <c r="X263">
        <v>408.2</v>
      </c>
    </row>
    <row r="264" spans="1:24" x14ac:dyDescent="0.25">
      <c r="A264" t="s">
        <v>5176</v>
      </c>
      <c r="B264" t="s">
        <v>6279</v>
      </c>
      <c r="C264" t="s">
        <v>6280</v>
      </c>
      <c r="D264" t="s">
        <v>191</v>
      </c>
      <c r="E264" t="s">
        <v>4913</v>
      </c>
      <c r="F264" t="s">
        <v>2159</v>
      </c>
      <c r="G264">
        <f>IF(K264="Pick-up","PICKUPS",IF(K264="Staff drop-off","STAFF_DROPOFF",IF(K264="Replacements","REPLACEMENT",IF(K264="Central Stores Dispatch","CENTRAL STORES DISPATCH",IFNA(IFNA(VLOOKUP(F264,'Raw Platform Nov 4-6 2025'!C:C,1,FALSE),VLOOKUP(F264,'Raw Platform Nov 4-6 2025'!D:D,1,FALSE)),IFNA(VLOOKUP(F264,'Glovo Raw Nov 4-6 2025'!B:B,1,FALSE),"Not Matched"))))))</f>
      </c>
      <c r="H264">
        <f>COUNTIF(F:F,F264)</f>
      </c>
      <c r="I264" t="s">
        <v>6320</v>
      </c>
      <c r="J264" t="s">
        <v>4915</v>
      </c>
      <c r="K264" t="s">
        <v>4927</v>
      </c>
      <c r="L264" t="s">
        <v>6321</v>
      </c>
      <c r="M264" t="s">
        <v>6322</v>
      </c>
      <c r="N264" t="s">
        <v>6323</v>
      </c>
      <c r="O264" t="s">
        <v>77</v>
      </c>
      <c r="P264" t="s">
        <v>5387</v>
      </c>
      <c r="Q264">
        <v>0</v>
      </c>
      <c r="R264" t="s">
        <v>5118</v>
      </c>
      <c r="S264" t="s">
        <v>5184</v>
      </c>
      <c r="T264" t="s">
        <v>4923</v>
      </c>
      <c r="U264" t="s">
        <v>4924</v>
      </c>
      <c r="V264" t="s">
        <v>6324</v>
      </c>
      <c r="W264" t="s">
        <v>3667</v>
      </c>
      <c r="X264">
        <v>152.9</v>
      </c>
    </row>
    <row r="265" spans="1:24" x14ac:dyDescent="0.25">
      <c r="A265" t="s">
        <v>5176</v>
      </c>
      <c r="B265" t="s">
        <v>6279</v>
      </c>
      <c r="C265" t="s">
        <v>6280</v>
      </c>
      <c r="D265" t="s">
        <v>191</v>
      </c>
      <c r="E265" t="s">
        <v>4913</v>
      </c>
      <c r="F265" t="s">
        <v>2316</v>
      </c>
      <c r="G265">
        <f>IF(K265="Pick-up","PICKUPS",IF(K265="Staff drop-off","STAFF_DROPOFF",IF(K265="Replacements","REPLACEMENT",IF(K265="Central Stores Dispatch","CENTRAL STORES DISPATCH",IFNA(IFNA(VLOOKUP(F265,'Raw Platform Nov 4-6 2025'!C:C,1,FALSE),VLOOKUP(F265,'Raw Platform Nov 4-6 2025'!D:D,1,FALSE)),IFNA(VLOOKUP(F265,'Glovo Raw Nov 4-6 2025'!B:B,1,FALSE),"Not Matched"))))))</f>
      </c>
      <c r="H265">
        <f>COUNTIF(F:F,F265)</f>
      </c>
      <c r="I265" t="s">
        <v>6325</v>
      </c>
      <c r="J265" t="s">
        <v>4915</v>
      </c>
      <c r="K265" t="s">
        <v>4927</v>
      </c>
      <c r="L265" t="s">
        <v>6326</v>
      </c>
      <c r="M265" t="s">
        <v>6327</v>
      </c>
      <c r="N265" t="s">
        <v>6328</v>
      </c>
      <c r="O265" t="s">
        <v>6329</v>
      </c>
      <c r="P265" t="s">
        <v>6330</v>
      </c>
      <c r="Q265">
        <v>0</v>
      </c>
      <c r="R265" t="s">
        <v>5118</v>
      </c>
      <c r="S265" t="s">
        <v>5184</v>
      </c>
      <c r="T265" t="s">
        <v>4923</v>
      </c>
      <c r="U265" t="s">
        <v>4924</v>
      </c>
      <c r="V265" t="s">
        <v>6331</v>
      </c>
      <c r="W265" t="s">
        <v>3667</v>
      </c>
      <c r="X265">
        <v>366.8</v>
      </c>
    </row>
    <row r="266" spans="1:24" x14ac:dyDescent="0.25">
      <c r="A266" t="s">
        <v>5176</v>
      </c>
      <c r="B266" t="s">
        <v>6279</v>
      </c>
      <c r="C266" t="s">
        <v>6280</v>
      </c>
      <c r="D266" t="s">
        <v>30</v>
      </c>
      <c r="E266" t="s">
        <v>4913</v>
      </c>
      <c r="F266" t="s">
        <v>1478</v>
      </c>
      <c r="G266">
        <f>IF(K266="Pick-up","PICKUPS",IF(K266="Staff drop-off","STAFF_DROPOFF",IF(K266="Replacements","REPLACEMENT",IF(K266="Central Stores Dispatch","CENTRAL STORES DISPATCH",IFNA(IFNA(VLOOKUP(F266,'Raw Platform Nov 4-6 2025'!C:C,1,FALSE),VLOOKUP(F266,'Raw Platform Nov 4-6 2025'!D:D,1,FALSE)),IFNA(VLOOKUP(F266,'Glovo Raw Nov 4-6 2025'!B:B,1,FALSE),"Not Matched"))))))</f>
      </c>
      <c r="H266">
        <f>COUNTIF(F:F,F266)</f>
      </c>
      <c r="I266" t="s">
        <v>6332</v>
      </c>
      <c r="J266" t="s">
        <v>4915</v>
      </c>
      <c r="K266" t="s">
        <v>4916</v>
      </c>
      <c r="L266" t="s">
        <v>6333</v>
      </c>
      <c r="M266" t="s">
        <v>6334</v>
      </c>
      <c r="N266" t="s">
        <v>6335</v>
      </c>
      <c r="O266" t="s">
        <v>91</v>
      </c>
      <c r="P266" t="s">
        <v>5724</v>
      </c>
      <c r="Q266">
        <v>1096</v>
      </c>
      <c r="R266" t="s">
        <v>5118</v>
      </c>
      <c r="S266" t="s">
        <v>116</v>
      </c>
      <c r="T266" t="s">
        <v>4923</v>
      </c>
      <c r="U266" t="s">
        <v>4924</v>
      </c>
      <c r="V266" t="s">
        <v>6336</v>
      </c>
      <c r="W266" t="s">
        <v>3667</v>
      </c>
      <c r="X266">
        <v>258.7</v>
      </c>
    </row>
    <row r="267" spans="1:24" x14ac:dyDescent="0.25">
      <c r="A267" t="s">
        <v>5176</v>
      </c>
      <c r="B267" t="s">
        <v>6279</v>
      </c>
      <c r="C267" t="s">
        <v>6280</v>
      </c>
      <c r="D267" t="s">
        <v>191</v>
      </c>
      <c r="E267" t="s">
        <v>4913</v>
      </c>
      <c r="F267" t="s">
        <v>2488</v>
      </c>
      <c r="G267">
        <f>IF(K267="Pick-up","PICKUPS",IF(K267="Staff drop-off","STAFF_DROPOFF",IF(K267="Replacements","REPLACEMENT",IF(K267="Central Stores Dispatch","CENTRAL STORES DISPATCH",IFNA(IFNA(VLOOKUP(F267,'Raw Platform Nov 4-6 2025'!C:C,1,FALSE),VLOOKUP(F267,'Raw Platform Nov 4-6 2025'!D:D,1,FALSE)),IFNA(VLOOKUP(F267,'Glovo Raw Nov 4-6 2025'!B:B,1,FALSE),"Not Matched"))))))</f>
      </c>
      <c r="H267">
        <f>COUNTIF(F:F,F267)</f>
      </c>
      <c r="I267" t="s">
        <v>6337</v>
      </c>
      <c r="J267" t="s">
        <v>4915</v>
      </c>
      <c r="K267" t="s">
        <v>4927</v>
      </c>
      <c r="L267" t="s">
        <v>6338</v>
      </c>
      <c r="M267" t="s">
        <v>6339</v>
      </c>
      <c r="N267" t="s">
        <v>6340</v>
      </c>
      <c r="O267" t="s">
        <v>183</v>
      </c>
      <c r="P267" t="s">
        <v>5666</v>
      </c>
      <c r="Q267">
        <v>0</v>
      </c>
      <c r="R267" t="s">
        <v>5118</v>
      </c>
      <c r="S267" t="s">
        <v>5184</v>
      </c>
      <c r="T267" t="s">
        <v>4923</v>
      </c>
      <c r="U267" t="s">
        <v>4924</v>
      </c>
      <c r="V267" t="s">
        <v>6341</v>
      </c>
      <c r="W267" t="s">
        <v>3667</v>
      </c>
      <c r="X267">
        <v>309.3</v>
      </c>
    </row>
    <row r="268" spans="1:24" x14ac:dyDescent="0.25">
      <c r="A268" t="s">
        <v>5176</v>
      </c>
      <c r="B268" t="s">
        <v>6279</v>
      </c>
      <c r="C268" t="s">
        <v>6280</v>
      </c>
      <c r="D268" t="s">
        <v>30</v>
      </c>
      <c r="E268" t="s">
        <v>4913</v>
      </c>
      <c r="F268" t="s">
        <v>1977</v>
      </c>
      <c r="G268">
        <f>IF(K268="Pick-up","PICKUPS",IF(K268="Staff drop-off","STAFF_DROPOFF",IF(K268="Replacements","REPLACEMENT",IF(K268="Central Stores Dispatch","CENTRAL STORES DISPATCH",IFNA(IFNA(VLOOKUP(F268,'Raw Platform Nov 4-6 2025'!C:C,1,FALSE),VLOOKUP(F268,'Raw Platform Nov 4-6 2025'!D:D,1,FALSE)),IFNA(VLOOKUP(F268,'Glovo Raw Nov 4-6 2025'!B:B,1,FALSE),"Not Matched"))))))</f>
      </c>
      <c r="H268">
        <f>COUNTIF(F:F,F268)</f>
      </c>
      <c r="I268" t="s">
        <v>6342</v>
      </c>
      <c r="J268" t="s">
        <v>4915</v>
      </c>
      <c r="K268" t="s">
        <v>4927</v>
      </c>
      <c r="L268" t="s">
        <v>5523</v>
      </c>
      <c r="M268" t="s">
        <v>5524</v>
      </c>
      <c r="N268" t="s">
        <v>4973</v>
      </c>
      <c r="O268" t="s">
        <v>123</v>
      </c>
      <c r="P268" t="s">
        <v>5820</v>
      </c>
      <c r="Q268">
        <v>0</v>
      </c>
      <c r="R268" t="s">
        <v>5118</v>
      </c>
      <c r="S268" t="s">
        <v>12</v>
      </c>
      <c r="T268" t="s">
        <v>4923</v>
      </c>
      <c r="U268" t="s">
        <v>4924</v>
      </c>
      <c r="V268" t="s">
        <v>6343</v>
      </c>
      <c r="W268" t="s">
        <v>3667</v>
      </c>
      <c r="X268">
        <v>139.1</v>
      </c>
    </row>
    <row r="269" spans="1:24" x14ac:dyDescent="0.25">
      <c r="A269" t="s">
        <v>5176</v>
      </c>
      <c r="B269" t="s">
        <v>6279</v>
      </c>
      <c r="C269" t="s">
        <v>6280</v>
      </c>
      <c r="D269" t="s">
        <v>30</v>
      </c>
      <c r="E269" t="s">
        <v>4913</v>
      </c>
      <c r="F269" t="s">
        <v>1578</v>
      </c>
      <c r="G269">
        <f>IF(K269="Pick-up","PICKUPS",IF(K269="Staff drop-off","STAFF_DROPOFF",IF(K269="Replacements","REPLACEMENT",IF(K269="Central Stores Dispatch","CENTRAL STORES DISPATCH",IFNA(IFNA(VLOOKUP(F269,'Raw Platform Nov 4-6 2025'!C:C,1,FALSE),VLOOKUP(F269,'Raw Platform Nov 4-6 2025'!D:D,1,FALSE)),IFNA(VLOOKUP(F269,'Glovo Raw Nov 4-6 2025'!B:B,1,FALSE),"Not Matched"))))))</f>
      </c>
      <c r="H269">
        <f>COUNTIF(F:F,F269)</f>
      </c>
      <c r="I269" t="s">
        <v>6344</v>
      </c>
      <c r="J269" t="s">
        <v>4915</v>
      </c>
      <c r="K269" t="s">
        <v>4927</v>
      </c>
      <c r="L269" t="s">
        <v>6345</v>
      </c>
      <c r="M269" t="s">
        <v>5327</v>
      </c>
      <c r="N269" t="s">
        <v>6346</v>
      </c>
      <c r="O269" t="s">
        <v>73</v>
      </c>
      <c r="P269" t="s">
        <v>5572</v>
      </c>
      <c r="Q269">
        <v>0</v>
      </c>
      <c r="R269" t="s">
        <v>5118</v>
      </c>
      <c r="S269" t="s">
        <v>29</v>
      </c>
      <c r="T269" t="s">
        <v>4923</v>
      </c>
      <c r="U269" t="s">
        <v>4924</v>
      </c>
      <c r="V269" t="s">
        <v>6347</v>
      </c>
      <c r="W269" t="s">
        <v>3667</v>
      </c>
      <c r="X269">
        <v>125.3</v>
      </c>
    </row>
    <row r="270" spans="1:24" x14ac:dyDescent="0.25">
      <c r="A270" t="s">
        <v>5176</v>
      </c>
      <c r="B270" t="s">
        <v>6279</v>
      </c>
      <c r="C270" t="s">
        <v>6280</v>
      </c>
      <c r="D270" t="s">
        <v>30</v>
      </c>
      <c r="E270" t="s">
        <v>4913</v>
      </c>
      <c r="F270" t="s">
        <v>2430</v>
      </c>
      <c r="G270">
        <f>IF(K270="Pick-up","PICKUPS",IF(K270="Staff drop-off","STAFF_DROPOFF",IF(K270="Replacements","REPLACEMENT",IF(K270="Central Stores Dispatch","CENTRAL STORES DISPATCH",IFNA(IFNA(VLOOKUP(F270,'Raw Platform Nov 4-6 2025'!C:C,1,FALSE),VLOOKUP(F270,'Raw Platform Nov 4-6 2025'!D:D,1,FALSE)),IFNA(VLOOKUP(F270,'Glovo Raw Nov 4-6 2025'!B:B,1,FALSE),"Not Matched"))))))</f>
      </c>
      <c r="H270">
        <f>COUNTIF(F:F,F270)</f>
      </c>
      <c r="I270" t="s">
        <v>6348</v>
      </c>
      <c r="J270" t="s">
        <v>4915</v>
      </c>
      <c r="K270" t="s">
        <v>4927</v>
      </c>
      <c r="L270" t="s">
        <v>6349</v>
      </c>
      <c r="M270" t="s">
        <v>6350</v>
      </c>
      <c r="N270" t="s">
        <v>6351</v>
      </c>
      <c r="O270" t="s">
        <v>73</v>
      </c>
      <c r="P270" t="s">
        <v>5062</v>
      </c>
      <c r="Q270">
        <v>0</v>
      </c>
      <c r="R270" t="s">
        <v>5118</v>
      </c>
      <c r="S270" t="s">
        <v>172</v>
      </c>
      <c r="T270" t="s">
        <v>4923</v>
      </c>
      <c r="U270" t="s">
        <v>4924</v>
      </c>
      <c r="V270" t="s">
        <v>6352</v>
      </c>
      <c r="W270" t="s">
        <v>3667</v>
      </c>
      <c r="X270">
        <v>127.6</v>
      </c>
    </row>
    <row r="271" spans="1:24" x14ac:dyDescent="0.25">
      <c r="A271" t="s">
        <v>5176</v>
      </c>
      <c r="B271" t="s">
        <v>6279</v>
      </c>
      <c r="C271" t="s">
        <v>6280</v>
      </c>
      <c r="D271" t="s">
        <v>30</v>
      </c>
      <c r="E271" t="s">
        <v>4913</v>
      </c>
      <c r="F271" t="s">
        <v>1455</v>
      </c>
      <c r="G271">
        <f>IF(K271="Pick-up","PICKUPS",IF(K271="Staff drop-off","STAFF_DROPOFF",IF(K271="Replacements","REPLACEMENT",IF(K271="Central Stores Dispatch","CENTRAL STORES DISPATCH",IFNA(IFNA(VLOOKUP(F271,'Raw Platform Nov 4-6 2025'!C:C,1,FALSE),VLOOKUP(F271,'Raw Platform Nov 4-6 2025'!D:D,1,FALSE)),IFNA(VLOOKUP(F271,'Glovo Raw Nov 4-6 2025'!B:B,1,FALSE),"Not Matched"))))))</f>
      </c>
      <c r="H271">
        <f>COUNTIF(F:F,F271)</f>
      </c>
      <c r="I271" t="s">
        <v>6353</v>
      </c>
      <c r="J271" t="s">
        <v>4915</v>
      </c>
      <c r="K271" t="s">
        <v>4916</v>
      </c>
      <c r="L271" t="s">
        <v>6354</v>
      </c>
      <c r="M271" t="s">
        <v>6355</v>
      </c>
      <c r="N271" t="s">
        <v>6356</v>
      </c>
      <c r="O271" t="s">
        <v>5183</v>
      </c>
      <c r="P271" t="s">
        <v>6041</v>
      </c>
      <c r="Q271">
        <v>1760</v>
      </c>
      <c r="R271" t="s">
        <v>5118</v>
      </c>
      <c r="S271" t="s">
        <v>172</v>
      </c>
      <c r="T271" t="s">
        <v>4923</v>
      </c>
      <c r="U271" t="s">
        <v>4924</v>
      </c>
      <c r="V271" t="s">
        <v>6357</v>
      </c>
      <c r="W271" t="s">
        <v>3667</v>
      </c>
      <c r="X271">
        <v>399</v>
      </c>
    </row>
    <row r="272" spans="1:24" x14ac:dyDescent="0.25">
      <c r="A272" t="s">
        <v>5176</v>
      </c>
      <c r="B272" t="s">
        <v>6279</v>
      </c>
      <c r="C272" t="s">
        <v>6280</v>
      </c>
      <c r="D272" t="s">
        <v>30</v>
      </c>
      <c r="E272" t="s">
        <v>4913</v>
      </c>
      <c r="F272" t="s">
        <v>2658</v>
      </c>
      <c r="G272">
        <f>IF(K272="Pick-up","PICKUPS",IF(K272="Staff drop-off","STAFF_DROPOFF",IF(K272="Replacements","REPLACEMENT",IF(K272="Central Stores Dispatch","CENTRAL STORES DISPATCH",IFNA(IFNA(VLOOKUP(F272,'Raw Platform Nov 4-6 2025'!C:C,1,FALSE),VLOOKUP(F272,'Raw Platform Nov 4-6 2025'!D:D,1,FALSE)),IFNA(VLOOKUP(F272,'Glovo Raw Nov 4-6 2025'!B:B,1,FALSE),"Not Matched"))))))</f>
      </c>
      <c r="H272">
        <f>COUNTIF(F:F,F272)</f>
      </c>
      <c r="I272" t="s">
        <v>6358</v>
      </c>
      <c r="J272" t="s">
        <v>4915</v>
      </c>
      <c r="K272" t="s">
        <v>4927</v>
      </c>
      <c r="L272" t="s">
        <v>6359</v>
      </c>
      <c r="M272" t="s">
        <v>5327</v>
      </c>
      <c r="N272" t="s">
        <v>5195</v>
      </c>
      <c r="O272" t="s">
        <v>4990</v>
      </c>
      <c r="P272" t="s">
        <v>5196</v>
      </c>
      <c r="Q272">
        <v>0</v>
      </c>
      <c r="R272" t="s">
        <v>5118</v>
      </c>
      <c r="S272" t="s">
        <v>29</v>
      </c>
      <c r="T272" t="s">
        <v>4923</v>
      </c>
      <c r="U272" t="s">
        <v>4924</v>
      </c>
      <c r="V272" t="s">
        <v>6360</v>
      </c>
      <c r="W272" t="s">
        <v>3667</v>
      </c>
      <c r="X272">
        <v>100</v>
      </c>
    </row>
    <row r="273" spans="1:24" x14ac:dyDescent="0.25">
      <c r="A273" t="s">
        <v>5176</v>
      </c>
      <c r="B273" t="s">
        <v>6279</v>
      </c>
      <c r="C273" t="s">
        <v>6280</v>
      </c>
      <c r="D273" t="s">
        <v>30</v>
      </c>
      <c r="E273" t="s">
        <v>4913</v>
      </c>
      <c r="F273" t="s">
        <v>2800</v>
      </c>
      <c r="G273">
        <f>IF(K273="Pick-up","PICKUPS",IF(K273="Staff drop-off","STAFF_DROPOFF",IF(K273="Replacements","REPLACEMENT",IF(K273="Central Stores Dispatch","CENTRAL STORES DISPATCH",IFNA(IFNA(VLOOKUP(F273,'Raw Platform Nov 4-6 2025'!C:C,1,FALSE),VLOOKUP(F273,'Raw Platform Nov 4-6 2025'!D:D,1,FALSE)),IFNA(VLOOKUP(F273,'Glovo Raw Nov 4-6 2025'!B:B,1,FALSE),"Not Matched"))))))</f>
      </c>
      <c r="H273">
        <f>COUNTIF(F:F,F273)</f>
      </c>
      <c r="I273" t="s">
        <v>6361</v>
      </c>
      <c r="J273" t="s">
        <v>4915</v>
      </c>
      <c r="K273" t="s">
        <v>4927</v>
      </c>
      <c r="L273" t="s">
        <v>6362</v>
      </c>
      <c r="M273" t="s">
        <v>6363</v>
      </c>
      <c r="N273" t="s">
        <v>6346</v>
      </c>
      <c r="O273" t="s">
        <v>73</v>
      </c>
      <c r="P273" t="s">
        <v>5572</v>
      </c>
      <c r="Q273">
        <v>0</v>
      </c>
      <c r="R273" t="s">
        <v>5118</v>
      </c>
      <c r="S273" t="s">
        <v>29</v>
      </c>
      <c r="T273" t="s">
        <v>4923</v>
      </c>
      <c r="U273" t="s">
        <v>4924</v>
      </c>
      <c r="V273" t="s">
        <v>6364</v>
      </c>
      <c r="W273" t="s">
        <v>3667</v>
      </c>
      <c r="X273">
        <v>125.3</v>
      </c>
    </row>
    <row r="274" spans="1:24" x14ac:dyDescent="0.25">
      <c r="A274" t="s">
        <v>5176</v>
      </c>
      <c r="B274" t="s">
        <v>6279</v>
      </c>
      <c r="C274" t="s">
        <v>6280</v>
      </c>
      <c r="D274" t="s">
        <v>191</v>
      </c>
      <c r="E274" t="s">
        <v>4913</v>
      </c>
      <c r="F274" t="s">
        <v>3605</v>
      </c>
      <c r="G274">
        <f>IF(K274="Pick-up","PICKUPS",IF(K274="Staff drop-off","STAFF_DROPOFF",IF(K274="Replacements","REPLACEMENT",IF(K274="Central Stores Dispatch","CENTRAL STORES DISPATCH",IFNA(IFNA(VLOOKUP(F274,'Raw Platform Nov 4-6 2025'!C:C,1,FALSE),VLOOKUP(F274,'Raw Platform Nov 4-6 2025'!D:D,1,FALSE)),IFNA(VLOOKUP(F274,'Glovo Raw Nov 4-6 2025'!B:B,1,FALSE),"Not Matched"))))))</f>
      </c>
      <c r="H274">
        <f>COUNTIF(F:F,F274)</f>
      </c>
      <c r="I274" t="s">
        <v>6365</v>
      </c>
      <c r="J274" t="s">
        <v>4915</v>
      </c>
      <c r="K274" t="s">
        <v>4927</v>
      </c>
      <c r="L274" t="s">
        <v>6366</v>
      </c>
      <c r="M274" t="s">
        <v>6367</v>
      </c>
      <c r="N274" t="s">
        <v>6368</v>
      </c>
      <c r="O274" t="s">
        <v>73</v>
      </c>
      <c r="P274" t="s">
        <v>4956</v>
      </c>
      <c r="Q274">
        <v>0</v>
      </c>
      <c r="R274" t="s">
        <v>5118</v>
      </c>
      <c r="S274" t="s">
        <v>5184</v>
      </c>
      <c r="T274" t="s">
        <v>4923</v>
      </c>
      <c r="U274" t="s">
        <v>4924</v>
      </c>
      <c r="V274" t="s">
        <v>6369</v>
      </c>
      <c r="W274" t="s">
        <v>3667</v>
      </c>
      <c r="X274">
        <v>134.5</v>
      </c>
    </row>
    <row r="275" spans="1:24" x14ac:dyDescent="0.25">
      <c r="A275" t="s">
        <v>5176</v>
      </c>
      <c r="B275" t="s">
        <v>6279</v>
      </c>
      <c r="C275" t="s">
        <v>6280</v>
      </c>
      <c r="D275" t="s">
        <v>30</v>
      </c>
      <c r="E275" t="s">
        <v>4913</v>
      </c>
      <c r="F275" t="s">
        <v>3397</v>
      </c>
      <c r="G275">
        <f>IF(K275="Pick-up","PICKUPS",IF(K275="Staff drop-off","STAFF_DROPOFF",IF(K275="Replacements","REPLACEMENT",IF(K275="Central Stores Dispatch","CENTRAL STORES DISPATCH",IFNA(IFNA(VLOOKUP(F275,'Raw Platform Nov 4-6 2025'!C:C,1,FALSE),VLOOKUP(F275,'Raw Platform Nov 4-6 2025'!D:D,1,FALSE)),IFNA(VLOOKUP(F275,'Glovo Raw Nov 4-6 2025'!B:B,1,FALSE),"Not Matched"))))))</f>
      </c>
      <c r="H275">
        <f>COUNTIF(F:F,F275)</f>
      </c>
      <c r="I275" t="s">
        <v>6370</v>
      </c>
      <c r="J275" t="s">
        <v>4915</v>
      </c>
      <c r="K275" t="s">
        <v>4916</v>
      </c>
      <c r="L275" t="s">
        <v>6371</v>
      </c>
      <c r="M275" t="s">
        <v>6372</v>
      </c>
      <c r="N275" t="s">
        <v>5958</v>
      </c>
      <c r="O275" t="s">
        <v>47</v>
      </c>
      <c r="P275" t="s">
        <v>5045</v>
      </c>
      <c r="Q275">
        <v>996</v>
      </c>
      <c r="R275" t="s">
        <v>5118</v>
      </c>
      <c r="S275" t="s">
        <v>29</v>
      </c>
      <c r="T275" t="s">
        <v>4923</v>
      </c>
      <c r="U275" t="s">
        <v>4924</v>
      </c>
      <c r="V275" t="s">
        <v>6373</v>
      </c>
      <c r="W275" t="s">
        <v>3667</v>
      </c>
      <c r="X275">
        <v>102.3</v>
      </c>
    </row>
    <row r="276" spans="1:24" x14ac:dyDescent="0.25">
      <c r="A276" t="s">
        <v>5176</v>
      </c>
      <c r="B276" t="s">
        <v>6279</v>
      </c>
      <c r="C276" t="s">
        <v>6280</v>
      </c>
      <c r="D276" t="s">
        <v>191</v>
      </c>
      <c r="E276" t="s">
        <v>4913</v>
      </c>
      <c r="F276" t="s">
        <v>3452</v>
      </c>
      <c r="G276">
        <f>IF(K276="Pick-up","PICKUPS",IF(K276="Staff drop-off","STAFF_DROPOFF",IF(K276="Replacements","REPLACEMENT",IF(K276="Central Stores Dispatch","CENTRAL STORES DISPATCH",IFNA(IFNA(VLOOKUP(F276,'Raw Platform Nov 4-6 2025'!C:C,1,FALSE),VLOOKUP(F276,'Raw Platform Nov 4-6 2025'!D:D,1,FALSE)),IFNA(VLOOKUP(F276,'Glovo Raw Nov 4-6 2025'!B:B,1,FALSE),"Not Matched"))))))</f>
      </c>
      <c r="H276">
        <f>COUNTIF(F:F,F276)</f>
      </c>
      <c r="I276" t="s">
        <v>6374</v>
      </c>
      <c r="J276" t="s">
        <v>4915</v>
      </c>
      <c r="K276" t="s">
        <v>4916</v>
      </c>
      <c r="L276" t="s">
        <v>6375</v>
      </c>
      <c r="M276" t="s">
        <v>6376</v>
      </c>
      <c r="N276" t="s">
        <v>6377</v>
      </c>
      <c r="O276" t="s">
        <v>4920</v>
      </c>
      <c r="P276" t="s">
        <v>4937</v>
      </c>
      <c r="Q276">
        <v>2303</v>
      </c>
      <c r="R276" t="s">
        <v>5118</v>
      </c>
      <c r="S276" t="s">
        <v>5184</v>
      </c>
      <c r="T276" t="s">
        <v>4923</v>
      </c>
      <c r="U276" t="s">
        <v>4924</v>
      </c>
      <c r="V276" t="s">
        <v>6378</v>
      </c>
      <c r="W276" t="s">
        <v>3667</v>
      </c>
      <c r="X276">
        <v>100</v>
      </c>
    </row>
    <row r="277" spans="1:24" x14ac:dyDescent="0.25">
      <c r="A277" t="s">
        <v>5176</v>
      </c>
      <c r="B277" t="s">
        <v>6279</v>
      </c>
      <c r="C277" t="s">
        <v>6280</v>
      </c>
      <c r="D277" t="s">
        <v>30</v>
      </c>
      <c r="E277" t="s">
        <v>4913</v>
      </c>
      <c r="F277" t="s">
        <v>2671</v>
      </c>
      <c r="G277">
        <f>IF(K277="Pick-up","PICKUPS",IF(K277="Staff drop-off","STAFF_DROPOFF",IF(K277="Replacements","REPLACEMENT",IF(K277="Central Stores Dispatch","CENTRAL STORES DISPATCH",IFNA(IFNA(VLOOKUP(F277,'Raw Platform Nov 4-6 2025'!C:C,1,FALSE),VLOOKUP(F277,'Raw Platform Nov 4-6 2025'!D:D,1,FALSE)),IFNA(VLOOKUP(F277,'Glovo Raw Nov 4-6 2025'!B:B,1,FALSE),"Not Matched"))))))</f>
      </c>
      <c r="H277">
        <f>COUNTIF(F:F,F277)</f>
      </c>
      <c r="I277" t="s">
        <v>6379</v>
      </c>
      <c r="J277" t="s">
        <v>4915</v>
      </c>
      <c r="K277" t="s">
        <v>4916</v>
      </c>
      <c r="L277" t="s">
        <v>6380</v>
      </c>
      <c r="M277" t="s">
        <v>6381</v>
      </c>
      <c r="N277" t="s">
        <v>5839</v>
      </c>
      <c r="O277" t="s">
        <v>4990</v>
      </c>
      <c r="P277" t="s">
        <v>5613</v>
      </c>
      <c r="Q277">
        <v>1698</v>
      </c>
      <c r="R277" t="s">
        <v>5118</v>
      </c>
      <c r="S277" t="s">
        <v>29</v>
      </c>
      <c r="T277" t="s">
        <v>4923</v>
      </c>
      <c r="U277" t="s">
        <v>4924</v>
      </c>
      <c r="V277" t="s">
        <v>6382</v>
      </c>
      <c r="W277" t="s">
        <v>3667</v>
      </c>
      <c r="X277">
        <v>100</v>
      </c>
    </row>
    <row r="278" spans="1:24" x14ac:dyDescent="0.25">
      <c r="A278" t="s">
        <v>5176</v>
      </c>
      <c r="B278" t="s">
        <v>6279</v>
      </c>
      <c r="C278" t="s">
        <v>6280</v>
      </c>
      <c r="D278" t="s">
        <v>30</v>
      </c>
      <c r="E278" t="s">
        <v>4913</v>
      </c>
      <c r="F278" t="s">
        <v>2808</v>
      </c>
      <c r="G278">
        <f>IF(K278="Pick-up","PICKUPS",IF(K278="Staff drop-off","STAFF_DROPOFF",IF(K278="Replacements","REPLACEMENT",IF(K278="Central Stores Dispatch","CENTRAL STORES DISPATCH",IFNA(IFNA(VLOOKUP(F278,'Raw Platform Nov 4-6 2025'!C:C,1,FALSE),VLOOKUP(F278,'Raw Platform Nov 4-6 2025'!D:D,1,FALSE)),IFNA(VLOOKUP(F278,'Glovo Raw Nov 4-6 2025'!B:B,1,FALSE),"Not Matched"))))))</f>
      </c>
      <c r="H278">
        <f>COUNTIF(F:F,F278)</f>
      </c>
      <c r="I278" t="s">
        <v>6383</v>
      </c>
      <c r="J278" t="s">
        <v>4915</v>
      </c>
      <c r="K278" t="s">
        <v>4927</v>
      </c>
      <c r="L278" t="s">
        <v>6384</v>
      </c>
      <c r="M278" t="s">
        <v>5327</v>
      </c>
      <c r="N278" t="s">
        <v>4973</v>
      </c>
      <c r="O278" t="s">
        <v>123</v>
      </c>
      <c r="P278" t="s">
        <v>5820</v>
      </c>
      <c r="Q278">
        <v>0</v>
      </c>
      <c r="R278" t="s">
        <v>5118</v>
      </c>
      <c r="S278" t="s">
        <v>29</v>
      </c>
      <c r="T278" t="s">
        <v>4923</v>
      </c>
      <c r="U278" t="s">
        <v>4924</v>
      </c>
      <c r="V278" t="s">
        <v>6385</v>
      </c>
      <c r="W278" t="s">
        <v>3667</v>
      </c>
      <c r="X278">
        <v>139.1</v>
      </c>
    </row>
    <row r="279" spans="1:24" x14ac:dyDescent="0.25">
      <c r="A279" t="s">
        <v>5176</v>
      </c>
      <c r="B279" t="s">
        <v>6279</v>
      </c>
      <c r="C279" t="s">
        <v>6280</v>
      </c>
      <c r="D279" t="s">
        <v>30</v>
      </c>
      <c r="E279" t="s">
        <v>4913</v>
      </c>
      <c r="F279" t="s">
        <v>3079</v>
      </c>
      <c r="G279">
        <f>IF(K279="Pick-up","PICKUPS",IF(K279="Staff drop-off","STAFF_DROPOFF",IF(K279="Replacements","REPLACEMENT",IF(K279="Central Stores Dispatch","CENTRAL STORES DISPATCH",IFNA(IFNA(VLOOKUP(F279,'Raw Platform Nov 4-6 2025'!C:C,1,FALSE),VLOOKUP(F279,'Raw Platform Nov 4-6 2025'!D:D,1,FALSE)),IFNA(VLOOKUP(F279,'Glovo Raw Nov 4-6 2025'!B:B,1,FALSE),"Not Matched"))))))</f>
      </c>
      <c r="H279">
        <f>COUNTIF(F:F,F279)</f>
      </c>
      <c r="I279" t="s">
        <v>6386</v>
      </c>
      <c r="J279" t="s">
        <v>63</v>
      </c>
      <c r="K279" t="s">
        <v>4927</v>
      </c>
      <c r="L279" t="s">
        <v>6387</v>
      </c>
      <c r="M279" t="s">
        <v>6388</v>
      </c>
      <c r="N279" t="s">
        <v>5794</v>
      </c>
      <c r="O279" t="s">
        <v>100</v>
      </c>
      <c r="P279" t="s">
        <v>5795</v>
      </c>
      <c r="Q279">
        <v>0</v>
      </c>
      <c r="R279" t="s">
        <v>5118</v>
      </c>
      <c r="S279" t="s">
        <v>29</v>
      </c>
      <c r="T279" t="s">
        <v>4923</v>
      </c>
      <c r="U279" t="s">
        <v>4924</v>
      </c>
      <c r="V279" t="s">
        <v>6389</v>
      </c>
      <c r="W279" t="s">
        <v>3667</v>
      </c>
      <c r="X279">
        <v>150.6</v>
      </c>
    </row>
    <row r="280" spans="1:24" x14ac:dyDescent="0.25">
      <c r="A280" t="s">
        <v>4932</v>
      </c>
      <c r="B280" t="s">
        <v>6390</v>
      </c>
      <c r="C280" t="s">
        <v>6391</v>
      </c>
      <c r="D280" t="s">
        <v>13</v>
      </c>
      <c r="E280" t="s">
        <v>4913</v>
      </c>
      <c r="F280" t="s">
        <v>1069</v>
      </c>
      <c r="G280">
        <f>IF(K280="Pick-up","PICKUPS",IF(K280="Staff drop-off","STAFF_DROPOFF",IF(K280="Replacements","REPLACEMENT",IF(K280="Central Stores Dispatch","CENTRAL STORES DISPATCH",IFNA(IFNA(VLOOKUP(F280,'Raw Platform Nov 4-6 2025'!C:C,1,FALSE),VLOOKUP(F280,'Raw Platform Nov 4-6 2025'!D:D,1,FALSE)),IFNA(VLOOKUP(F280,'Glovo Raw Nov 4-6 2025'!B:B,1,FALSE),"Not Matched"))))))</f>
      </c>
      <c r="H280">
        <f>COUNTIF(F:F,F280)</f>
      </c>
      <c r="I280" t="s">
        <v>6392</v>
      </c>
      <c r="J280" t="s">
        <v>63</v>
      </c>
      <c r="K280" t="s">
        <v>4927</v>
      </c>
      <c r="L280" t="s">
        <v>6393</v>
      </c>
      <c r="M280" t="s">
        <v>6394</v>
      </c>
      <c r="N280" t="s">
        <v>6395</v>
      </c>
      <c r="O280" t="s">
        <v>26</v>
      </c>
      <c r="P280" t="s">
        <v>5285</v>
      </c>
      <c r="Q280">
        <v>0</v>
      </c>
      <c r="R280" t="s">
        <v>5118</v>
      </c>
      <c r="S280" t="s">
        <v>29</v>
      </c>
      <c r="T280" t="s">
        <v>4923</v>
      </c>
      <c r="U280" t="s">
        <v>4924</v>
      </c>
      <c r="V280" t="s">
        <v>6396</v>
      </c>
      <c r="W280" t="s">
        <v>3667</v>
      </c>
      <c r="X280">
        <v>175.9</v>
      </c>
    </row>
    <row r="281" spans="1:24" x14ac:dyDescent="0.25">
      <c r="A281" t="s">
        <v>4932</v>
      </c>
      <c r="B281" t="s">
        <v>6390</v>
      </c>
      <c r="C281" t="s">
        <v>6391</v>
      </c>
      <c r="D281" t="s">
        <v>13</v>
      </c>
      <c r="E281" t="s">
        <v>4913</v>
      </c>
      <c r="F281" t="s">
        <v>6397</v>
      </c>
      <c r="G281">
        <f>IF(K281="Pick-up","PICKUPS",IF(K281="Staff drop-off","STAFF_DROPOFF",IF(K281="Replacements","REPLACEMENT",IF(K281="Central Stores Dispatch","CENTRAL STORES DISPATCH",IFNA(IFNA(VLOOKUP(F281,'Raw Platform Nov 4-6 2025'!C:C,1,FALSE),VLOOKUP(F281,'Raw Platform Nov 4-6 2025'!D:D,1,FALSE)),IFNA(VLOOKUP(F281,'Glovo Raw Nov 4-6 2025'!B:B,1,FALSE),"Not Matched"))))))</f>
      </c>
      <c r="H281">
        <f>COUNTIF(F:F,F281)</f>
      </c>
      <c r="I281" t="s">
        <v>6398</v>
      </c>
      <c r="J281" t="s">
        <v>5289</v>
      </c>
      <c r="K281" t="s">
        <v>4927</v>
      </c>
      <c r="L281" t="s">
        <v>5290</v>
      </c>
      <c r="M281" t="s">
        <v>5291</v>
      </c>
      <c r="N281" t="s">
        <v>5292</v>
      </c>
      <c r="O281" t="s">
        <v>3676</v>
      </c>
      <c r="P281" t="s">
        <v>3676</v>
      </c>
      <c r="Q281">
        <v>0</v>
      </c>
      <c r="R281" t="s">
        <v>5118</v>
      </c>
      <c r="S281" t="s">
        <v>29</v>
      </c>
      <c r="T281" t="s">
        <v>4923</v>
      </c>
      <c r="U281" t="s">
        <v>4924</v>
      </c>
      <c r="V281" t="s">
        <v>6399</v>
      </c>
      <c r="W281" t="s">
        <v>3667</v>
      </c>
      <c r="X281">
        <v>100</v>
      </c>
    </row>
    <row r="282" spans="1:24" x14ac:dyDescent="0.25">
      <c r="A282" t="s">
        <v>4932</v>
      </c>
      <c r="B282" t="s">
        <v>6390</v>
      </c>
      <c r="C282" t="s">
        <v>6391</v>
      </c>
      <c r="D282" t="s">
        <v>13</v>
      </c>
      <c r="E282" t="s">
        <v>4913</v>
      </c>
      <c r="F282" t="s">
        <v>925</v>
      </c>
      <c r="G282">
        <f>IF(K282="Pick-up","PICKUPS",IF(K282="Staff drop-off","STAFF_DROPOFF",IF(K282="Replacements","REPLACEMENT",IF(K282="Central Stores Dispatch","CENTRAL STORES DISPATCH",IFNA(IFNA(VLOOKUP(F282,'Raw Platform Nov 4-6 2025'!C:C,1,FALSE),VLOOKUP(F282,'Raw Platform Nov 4-6 2025'!D:D,1,FALSE)),IFNA(VLOOKUP(F282,'Glovo Raw Nov 4-6 2025'!B:B,1,FALSE),"Not Matched"))))))</f>
      </c>
      <c r="H282">
        <f>COUNTIF(F:F,F282)</f>
      </c>
      <c r="I282" t="s">
        <v>6400</v>
      </c>
      <c r="J282" t="s">
        <v>4915</v>
      </c>
      <c r="K282" t="s">
        <v>4927</v>
      </c>
      <c r="L282" t="s">
        <v>6401</v>
      </c>
      <c r="M282" t="s">
        <v>6402</v>
      </c>
      <c r="N282" t="s">
        <v>6403</v>
      </c>
      <c r="O282" t="s">
        <v>47</v>
      </c>
      <c r="P282" t="s">
        <v>5001</v>
      </c>
      <c r="Q282">
        <v>0</v>
      </c>
      <c r="R282" t="s">
        <v>5118</v>
      </c>
      <c r="S282" t="s">
        <v>29</v>
      </c>
      <c r="T282" t="s">
        <v>4923</v>
      </c>
      <c r="U282" t="s">
        <v>4924</v>
      </c>
      <c r="V282" t="s">
        <v>6404</v>
      </c>
      <c r="W282" t="s">
        <v>3667</v>
      </c>
      <c r="X282">
        <v>120.7</v>
      </c>
    </row>
    <row r="283" spans="1:24" x14ac:dyDescent="0.25">
      <c r="A283" t="s">
        <v>4932</v>
      </c>
      <c r="B283" t="s">
        <v>6390</v>
      </c>
      <c r="C283" t="s">
        <v>6391</v>
      </c>
      <c r="D283" t="s">
        <v>13</v>
      </c>
      <c r="E283" t="s">
        <v>4913</v>
      </c>
      <c r="F283" t="s">
        <v>957</v>
      </c>
      <c r="G283">
        <f>IF(K283="Pick-up","PICKUPS",IF(K283="Staff drop-off","STAFF_DROPOFF",IF(K283="Replacements","REPLACEMENT",IF(K283="Central Stores Dispatch","CENTRAL STORES DISPATCH",IFNA(IFNA(VLOOKUP(F283,'Raw Platform Nov 4-6 2025'!C:C,1,FALSE),VLOOKUP(F283,'Raw Platform Nov 4-6 2025'!D:D,1,FALSE)),IFNA(VLOOKUP(F283,'Glovo Raw Nov 4-6 2025'!B:B,1,FALSE),"Not Matched"))))))</f>
      </c>
      <c r="H283">
        <f>COUNTIF(F:F,F283)</f>
      </c>
      <c r="I283" t="s">
        <v>6405</v>
      </c>
      <c r="J283" t="s">
        <v>4915</v>
      </c>
      <c r="K283" t="s">
        <v>4916</v>
      </c>
      <c r="L283" t="s">
        <v>6406</v>
      </c>
      <c r="M283" t="s">
        <v>6407</v>
      </c>
      <c r="N283" t="s">
        <v>5270</v>
      </c>
      <c r="O283" t="s">
        <v>113</v>
      </c>
      <c r="P283" t="s">
        <v>5482</v>
      </c>
      <c r="Q283">
        <v>1358</v>
      </c>
      <c r="R283" t="s">
        <v>5118</v>
      </c>
      <c r="S283" t="s">
        <v>29</v>
      </c>
      <c r="T283" t="s">
        <v>4923</v>
      </c>
      <c r="U283" t="s">
        <v>4924</v>
      </c>
      <c r="V283" t="s">
        <v>6408</v>
      </c>
      <c r="W283" t="s">
        <v>3667</v>
      </c>
      <c r="X283">
        <v>187.4</v>
      </c>
    </row>
    <row r="284" spans="1:24" x14ac:dyDescent="0.25">
      <c r="A284" t="s">
        <v>4910</v>
      </c>
      <c r="B284" t="s">
        <v>6390</v>
      </c>
      <c r="C284" t="s">
        <v>6391</v>
      </c>
      <c r="D284" t="s">
        <v>13</v>
      </c>
      <c r="E284" t="s">
        <v>4913</v>
      </c>
      <c r="F284" t="s">
        <v>1303</v>
      </c>
      <c r="G284">
        <f>IF(K284="Pick-up","PICKUPS",IF(K284="Staff drop-off","STAFF_DROPOFF",IF(K284="Replacements","REPLACEMENT",IF(K284="Central Stores Dispatch","CENTRAL STORES DISPATCH",IFNA(IFNA(VLOOKUP(F284,'Raw Platform Nov 4-6 2025'!C:C,1,FALSE),VLOOKUP(F284,'Raw Platform Nov 4-6 2025'!D:D,1,FALSE)),IFNA(VLOOKUP(F284,'Glovo Raw Nov 4-6 2025'!B:B,1,FALSE),"Not Matched"))))))</f>
      </c>
      <c r="H284">
        <f>COUNTIF(F:F,F284)</f>
      </c>
      <c r="I284" t="s">
        <v>6409</v>
      </c>
      <c r="J284" t="s">
        <v>5341</v>
      </c>
      <c r="K284" t="s">
        <v>4927</v>
      </c>
      <c r="L284" t="s">
        <v>6410</v>
      </c>
      <c r="M284" t="s">
        <v>6411</v>
      </c>
      <c r="N284" t="s">
        <v>6412</v>
      </c>
      <c r="O284" t="s">
        <v>123</v>
      </c>
      <c r="P284" t="s">
        <v>5032</v>
      </c>
      <c r="Q284">
        <v>0</v>
      </c>
      <c r="R284" t="s">
        <v>5118</v>
      </c>
      <c r="S284" t="s">
        <v>12</v>
      </c>
      <c r="T284" t="s">
        <v>4923</v>
      </c>
      <c r="U284" t="s">
        <v>4924</v>
      </c>
      <c r="V284" t="s">
        <v>6413</v>
      </c>
      <c r="W284" t="s">
        <v>3667</v>
      </c>
      <c r="X284">
        <v>159.8</v>
      </c>
    </row>
    <row r="285" spans="1:24" x14ac:dyDescent="0.25">
      <c r="A285" t="s">
        <v>4910</v>
      </c>
      <c r="B285" t="s">
        <v>6390</v>
      </c>
      <c r="C285" t="s">
        <v>6391</v>
      </c>
      <c r="D285" t="s">
        <v>13</v>
      </c>
      <c r="E285" t="s">
        <v>4913</v>
      </c>
      <c r="F285" t="s">
        <v>110</v>
      </c>
      <c r="G285">
        <f>IF(K285="Pick-up","PICKUPS",IF(K285="Staff drop-off","STAFF_DROPOFF",IF(K285="Replacements","REPLACEMENT",IF(K285="Central Stores Dispatch","CENTRAL STORES DISPATCH",IFNA(IFNA(VLOOKUP(F285,'Raw Platform Nov 4-6 2025'!C:C,1,FALSE),VLOOKUP(F285,'Raw Platform Nov 4-6 2025'!D:D,1,FALSE)),IFNA(VLOOKUP(F285,'Glovo Raw Nov 4-6 2025'!B:B,1,FALSE),"Not Matched"))))))</f>
      </c>
      <c r="H285">
        <f>COUNTIF(F:F,F285)</f>
      </c>
      <c r="I285" t="s">
        <v>6414</v>
      </c>
      <c r="J285" t="s">
        <v>4915</v>
      </c>
      <c r="K285" t="s">
        <v>4927</v>
      </c>
      <c r="L285" t="s">
        <v>6415</v>
      </c>
      <c r="M285" t="s">
        <v>6416</v>
      </c>
      <c r="N285" t="s">
        <v>5000</v>
      </c>
      <c r="O285" t="s">
        <v>4962</v>
      </c>
      <c r="P285" t="s">
        <v>5001</v>
      </c>
      <c r="Q285">
        <v>0</v>
      </c>
      <c r="R285" t="s">
        <v>5118</v>
      </c>
      <c r="S285" t="s">
        <v>12</v>
      </c>
      <c r="T285" t="s">
        <v>4923</v>
      </c>
      <c r="U285" t="s">
        <v>4924</v>
      </c>
      <c r="V285" t="s">
        <v>6417</v>
      </c>
      <c r="W285" t="s">
        <v>3667</v>
      </c>
      <c r="X285">
        <v>120.7</v>
      </c>
    </row>
    <row r="286" spans="1:24" x14ac:dyDescent="0.25">
      <c r="A286" t="s">
        <v>4932</v>
      </c>
      <c r="B286" t="s">
        <v>6390</v>
      </c>
      <c r="C286" t="s">
        <v>6391</v>
      </c>
      <c r="D286" t="s">
        <v>13</v>
      </c>
      <c r="E286" t="s">
        <v>4913</v>
      </c>
      <c r="F286" t="s">
        <v>313</v>
      </c>
      <c r="G286">
        <f>IF(K286="Pick-up","PICKUPS",IF(K286="Staff drop-off","STAFF_DROPOFF",IF(K286="Replacements","REPLACEMENT",IF(K286="Central Stores Dispatch","CENTRAL STORES DISPATCH",IFNA(IFNA(VLOOKUP(F286,'Raw Platform Nov 4-6 2025'!C:C,1,FALSE),VLOOKUP(F286,'Raw Platform Nov 4-6 2025'!D:D,1,FALSE)),IFNA(VLOOKUP(F286,'Glovo Raw Nov 4-6 2025'!B:B,1,FALSE),"Not Matched"))))))</f>
      </c>
      <c r="H286">
        <f>COUNTIF(F:F,F286)</f>
      </c>
      <c r="I286" t="s">
        <v>6418</v>
      </c>
      <c r="J286" t="s">
        <v>4915</v>
      </c>
      <c r="K286" t="s">
        <v>4927</v>
      </c>
      <c r="L286" t="s">
        <v>6419</v>
      </c>
      <c r="M286" t="s">
        <v>6420</v>
      </c>
      <c r="N286" t="s">
        <v>6421</v>
      </c>
      <c r="O286" t="s">
        <v>6422</v>
      </c>
      <c r="P286" t="s">
        <v>6423</v>
      </c>
      <c r="Q286">
        <v>0</v>
      </c>
      <c r="R286" t="s">
        <v>5118</v>
      </c>
      <c r="S286" t="s">
        <v>29</v>
      </c>
      <c r="T286" t="s">
        <v>4923</v>
      </c>
      <c r="U286" t="s">
        <v>4924</v>
      </c>
      <c r="V286" t="s">
        <v>6424</v>
      </c>
      <c r="W286" t="s">
        <v>3667</v>
      </c>
      <c r="X286">
        <v>488.7</v>
      </c>
    </row>
    <row r="287" spans="1:24" x14ac:dyDescent="0.25">
      <c r="A287" t="s">
        <v>4932</v>
      </c>
      <c r="B287" t="s">
        <v>6390</v>
      </c>
      <c r="C287" t="s">
        <v>6391</v>
      </c>
      <c r="D287" t="s">
        <v>13</v>
      </c>
      <c r="E287" t="s">
        <v>4913</v>
      </c>
      <c r="F287" t="s">
        <v>6425</v>
      </c>
      <c r="G287">
        <f>IF(K287="Pick-up","PICKUPS",IF(K287="Staff drop-off","STAFF_DROPOFF",IF(K287="Replacements","REPLACEMENT",IF(K287="Central Stores Dispatch","CENTRAL STORES DISPATCH",IFNA(IFNA(VLOOKUP(F287,'Raw Platform Nov 4-6 2025'!C:C,1,FALSE),VLOOKUP(F287,'Raw Platform Nov 4-6 2025'!D:D,1,FALSE)),IFNA(VLOOKUP(F287,'Glovo Raw Nov 4-6 2025'!B:B,1,FALSE),"Not Matched"))))))</f>
      </c>
      <c r="H287">
        <f>COUNTIF(F:F,F287)</f>
      </c>
      <c r="I287" t="s">
        <v>6426</v>
      </c>
      <c r="J287" t="s">
        <v>5289</v>
      </c>
      <c r="K287" t="s">
        <v>4927</v>
      </c>
      <c r="L287" t="s">
        <v>5290</v>
      </c>
      <c r="M287" t="s">
        <v>5291</v>
      </c>
      <c r="N287" t="s">
        <v>5292</v>
      </c>
      <c r="O287" t="s">
        <v>3676</v>
      </c>
      <c r="P287" t="s">
        <v>3676</v>
      </c>
      <c r="Q287">
        <v>0</v>
      </c>
      <c r="R287" t="s">
        <v>5118</v>
      </c>
      <c r="S287" t="s">
        <v>29</v>
      </c>
      <c r="T287" t="s">
        <v>4923</v>
      </c>
      <c r="U287" t="s">
        <v>4924</v>
      </c>
      <c r="V287" t="s">
        <v>6427</v>
      </c>
      <c r="W287" t="s">
        <v>3667</v>
      </c>
      <c r="X287">
        <v>100</v>
      </c>
    </row>
    <row r="288" spans="1:24" x14ac:dyDescent="0.25">
      <c r="A288" t="s">
        <v>4932</v>
      </c>
      <c r="B288" t="s">
        <v>6390</v>
      </c>
      <c r="C288" t="s">
        <v>6391</v>
      </c>
      <c r="D288" t="s">
        <v>13</v>
      </c>
      <c r="E288" t="s">
        <v>4913</v>
      </c>
      <c r="F288" t="s">
        <v>6428</v>
      </c>
      <c r="G288">
        <f>IF(K288="Pick-up","PICKUPS",IF(K288="Staff drop-off","STAFF_DROPOFF",IF(K288="Replacements","REPLACEMENT",IF(K288="Central Stores Dispatch","CENTRAL STORES DISPATCH",IFNA(IFNA(VLOOKUP(F288,'Raw Platform Nov 4-6 2025'!C:C,1,FALSE),VLOOKUP(F288,'Raw Platform Nov 4-6 2025'!D:D,1,FALSE)),IFNA(VLOOKUP(F288,'Glovo Raw Nov 4-6 2025'!B:B,1,FALSE),"Not Matched"))))))</f>
      </c>
      <c r="H288">
        <f>COUNTIF(F:F,F288)</f>
      </c>
      <c r="I288" t="s">
        <v>6429</v>
      </c>
      <c r="J288" t="s">
        <v>5289</v>
      </c>
      <c r="K288" t="s">
        <v>4927</v>
      </c>
      <c r="L288" t="s">
        <v>5290</v>
      </c>
      <c r="M288" t="s">
        <v>5291</v>
      </c>
      <c r="N288" t="s">
        <v>5292</v>
      </c>
      <c r="O288" t="s">
        <v>3676</v>
      </c>
      <c r="P288" t="s">
        <v>3676</v>
      </c>
      <c r="Q288">
        <v>0</v>
      </c>
      <c r="R288" t="s">
        <v>5118</v>
      </c>
      <c r="S288" t="s">
        <v>29</v>
      </c>
      <c r="T288" t="s">
        <v>4923</v>
      </c>
      <c r="U288" t="s">
        <v>4924</v>
      </c>
      <c r="V288" t="s">
        <v>6430</v>
      </c>
      <c r="W288" t="s">
        <v>3667</v>
      </c>
      <c r="X288">
        <v>100</v>
      </c>
    </row>
    <row r="289" spans="1:24" x14ac:dyDescent="0.25">
      <c r="A289" t="s">
        <v>4932</v>
      </c>
      <c r="B289" t="s">
        <v>6390</v>
      </c>
      <c r="C289" t="s">
        <v>6391</v>
      </c>
      <c r="D289" t="s">
        <v>13</v>
      </c>
      <c r="E289" t="s">
        <v>4913</v>
      </c>
      <c r="F289" t="s">
        <v>150</v>
      </c>
      <c r="G289">
        <f>IF(K289="Pick-up","PICKUPS",IF(K289="Staff drop-off","STAFF_DROPOFF",IF(K289="Replacements","REPLACEMENT",IF(K289="Central Stores Dispatch","CENTRAL STORES DISPATCH",IFNA(IFNA(VLOOKUP(F289,'Raw Platform Nov 4-6 2025'!C:C,1,FALSE),VLOOKUP(F289,'Raw Platform Nov 4-6 2025'!D:D,1,FALSE)),IFNA(VLOOKUP(F289,'Glovo Raw Nov 4-6 2025'!B:B,1,FALSE),"Not Matched"))))))</f>
      </c>
      <c r="H289">
        <f>COUNTIF(F:F,F289)</f>
      </c>
      <c r="I289" t="s">
        <v>6431</v>
      </c>
      <c r="J289" t="s">
        <v>4915</v>
      </c>
      <c r="K289" t="s">
        <v>4927</v>
      </c>
      <c r="L289" t="s">
        <v>6432</v>
      </c>
      <c r="M289" t="s">
        <v>6433</v>
      </c>
      <c r="N289" t="s">
        <v>6434</v>
      </c>
      <c r="O289" t="s">
        <v>5534</v>
      </c>
      <c r="P289" t="s">
        <v>6435</v>
      </c>
      <c r="Q289">
        <v>0</v>
      </c>
      <c r="R289" t="s">
        <v>5118</v>
      </c>
      <c r="S289" t="s">
        <v>29</v>
      </c>
      <c r="T289" t="s">
        <v>4923</v>
      </c>
      <c r="U289" t="s">
        <v>4924</v>
      </c>
      <c r="V289" t="s">
        <v>6436</v>
      </c>
      <c r="W289" t="s">
        <v>3667</v>
      </c>
      <c r="X289">
        <v>359.9</v>
      </c>
    </row>
    <row r="290" spans="1:24" x14ac:dyDescent="0.25">
      <c r="A290" t="s">
        <v>4932</v>
      </c>
      <c r="B290" t="s">
        <v>6390</v>
      </c>
      <c r="C290" t="s">
        <v>6391</v>
      </c>
      <c r="D290" t="s">
        <v>13</v>
      </c>
      <c r="E290" t="s">
        <v>4913</v>
      </c>
      <c r="F290" t="s">
        <v>1190</v>
      </c>
      <c r="G290">
        <f>IF(K290="Pick-up","PICKUPS",IF(K290="Staff drop-off","STAFF_DROPOFF",IF(K290="Replacements","REPLACEMENT",IF(K290="Central Stores Dispatch","CENTRAL STORES DISPATCH",IFNA(IFNA(VLOOKUP(F290,'Raw Platform Nov 4-6 2025'!C:C,1,FALSE),VLOOKUP(F290,'Raw Platform Nov 4-6 2025'!D:D,1,FALSE)),IFNA(VLOOKUP(F290,'Glovo Raw Nov 4-6 2025'!B:B,1,FALSE),"Not Matched"))))))</f>
      </c>
      <c r="H290">
        <f>COUNTIF(F:F,F290)</f>
      </c>
      <c r="I290" t="s">
        <v>6437</v>
      </c>
      <c r="J290" t="s">
        <v>4915</v>
      </c>
      <c r="K290" t="s">
        <v>4927</v>
      </c>
      <c r="L290" t="s">
        <v>6438</v>
      </c>
      <c r="M290" t="s">
        <v>6439</v>
      </c>
      <c r="N290" t="s">
        <v>6440</v>
      </c>
      <c r="O290" t="s">
        <v>16</v>
      </c>
      <c r="P290" t="s">
        <v>5410</v>
      </c>
      <c r="Q290">
        <v>0</v>
      </c>
      <c r="R290" t="s">
        <v>5118</v>
      </c>
      <c r="S290" t="s">
        <v>29</v>
      </c>
      <c r="T290" t="s">
        <v>4923</v>
      </c>
      <c r="U290" t="s">
        <v>4924</v>
      </c>
      <c r="V290" t="s">
        <v>6441</v>
      </c>
      <c r="W290" t="s">
        <v>3667</v>
      </c>
      <c r="X290">
        <v>277.1</v>
      </c>
    </row>
    <row r="291" spans="1:24" x14ac:dyDescent="0.25">
      <c r="A291" t="s">
        <v>4932</v>
      </c>
      <c r="B291" t="s">
        <v>6390</v>
      </c>
      <c r="C291" t="s">
        <v>6391</v>
      </c>
      <c r="D291" t="s">
        <v>13</v>
      </c>
      <c r="E291" t="s">
        <v>4913</v>
      </c>
      <c r="F291" t="s">
        <v>1125</v>
      </c>
      <c r="G291">
        <f>IF(K291="Pick-up","PICKUPS",IF(K291="Staff drop-off","STAFF_DROPOFF",IF(K291="Replacements","REPLACEMENT",IF(K291="Central Stores Dispatch","CENTRAL STORES DISPATCH",IFNA(IFNA(VLOOKUP(F291,'Raw Platform Nov 4-6 2025'!C:C,1,FALSE),VLOOKUP(F291,'Raw Platform Nov 4-6 2025'!D:D,1,FALSE)),IFNA(VLOOKUP(F291,'Glovo Raw Nov 4-6 2025'!B:B,1,FALSE),"Not Matched"))))))</f>
      </c>
      <c r="H291">
        <f>COUNTIF(F:F,F291)</f>
      </c>
      <c r="I291" t="s">
        <v>6442</v>
      </c>
      <c r="J291" t="s">
        <v>4915</v>
      </c>
      <c r="K291" t="s">
        <v>4927</v>
      </c>
      <c r="L291" t="s">
        <v>6443</v>
      </c>
      <c r="M291" t="s">
        <v>5434</v>
      </c>
      <c r="N291" t="s">
        <v>5435</v>
      </c>
      <c r="O291" t="s">
        <v>9</v>
      </c>
      <c r="P291" t="s">
        <v>5436</v>
      </c>
      <c r="Q291">
        <v>0</v>
      </c>
      <c r="R291" t="s">
        <v>5118</v>
      </c>
      <c r="S291" t="s">
        <v>29</v>
      </c>
      <c r="T291" t="s">
        <v>4923</v>
      </c>
      <c r="U291" t="s">
        <v>4924</v>
      </c>
      <c r="V291" t="s">
        <v>6444</v>
      </c>
      <c r="W291" t="s">
        <v>3667</v>
      </c>
      <c r="X291">
        <v>164.4</v>
      </c>
    </row>
    <row r="292" spans="1:24" x14ac:dyDescent="0.25">
      <c r="A292" t="s">
        <v>4932</v>
      </c>
      <c r="B292" t="s">
        <v>6390</v>
      </c>
      <c r="C292" t="s">
        <v>6391</v>
      </c>
      <c r="D292" t="s">
        <v>13</v>
      </c>
      <c r="E292" t="s">
        <v>4913</v>
      </c>
      <c r="F292" t="s">
        <v>1291</v>
      </c>
      <c r="G292">
        <f>IF(K292="Pick-up","PICKUPS",IF(K292="Staff drop-off","STAFF_DROPOFF",IF(K292="Replacements","REPLACEMENT",IF(K292="Central Stores Dispatch","CENTRAL STORES DISPATCH",IFNA(IFNA(VLOOKUP(F292,'Raw Platform Nov 4-6 2025'!C:C,1,FALSE),VLOOKUP(F292,'Raw Platform Nov 4-6 2025'!D:D,1,FALSE)),IFNA(VLOOKUP(F292,'Glovo Raw Nov 4-6 2025'!B:B,1,FALSE),"Not Matched"))))))</f>
      </c>
      <c r="H292">
        <f>COUNTIF(F:F,F292)</f>
      </c>
      <c r="I292" t="s">
        <v>6445</v>
      </c>
      <c r="J292" t="s">
        <v>4915</v>
      </c>
      <c r="K292" t="s">
        <v>4916</v>
      </c>
      <c r="L292" t="s">
        <v>6446</v>
      </c>
      <c r="M292" t="s">
        <v>6447</v>
      </c>
      <c r="N292" t="s">
        <v>6448</v>
      </c>
      <c r="O292" t="s">
        <v>37</v>
      </c>
      <c r="P292" t="s">
        <v>5142</v>
      </c>
      <c r="Q292">
        <v>1365</v>
      </c>
      <c r="R292" t="s">
        <v>5118</v>
      </c>
      <c r="S292" t="s">
        <v>29</v>
      </c>
      <c r="T292" t="s">
        <v>4923</v>
      </c>
      <c r="U292" t="s">
        <v>4924</v>
      </c>
      <c r="V292" t="s">
        <v>6449</v>
      </c>
      <c r="W292" t="s">
        <v>3667</v>
      </c>
      <c r="X292">
        <v>281.7</v>
      </c>
    </row>
    <row r="293" spans="1:24" x14ac:dyDescent="0.25">
      <c r="A293" t="s">
        <v>4932</v>
      </c>
      <c r="B293" t="s">
        <v>6390</v>
      </c>
      <c r="C293" t="s">
        <v>6391</v>
      </c>
      <c r="D293" t="s">
        <v>13</v>
      </c>
      <c r="E293" t="s">
        <v>4913</v>
      </c>
      <c r="F293" t="s">
        <v>1145</v>
      </c>
      <c r="G293">
        <f>IF(K293="Pick-up","PICKUPS",IF(K293="Staff drop-off","STAFF_DROPOFF",IF(K293="Replacements","REPLACEMENT",IF(K293="Central Stores Dispatch","CENTRAL STORES DISPATCH",IFNA(IFNA(VLOOKUP(F293,'Raw Platform Nov 4-6 2025'!C:C,1,FALSE),VLOOKUP(F293,'Raw Platform Nov 4-6 2025'!D:D,1,FALSE)),IFNA(VLOOKUP(F293,'Glovo Raw Nov 4-6 2025'!B:B,1,FALSE),"Not Matched"))))))</f>
      </c>
      <c r="H293">
        <f>COUNTIF(F:F,F293)</f>
      </c>
      <c r="I293" t="s">
        <v>6450</v>
      </c>
      <c r="J293" t="s">
        <v>4915</v>
      </c>
      <c r="K293" t="s">
        <v>4927</v>
      </c>
      <c r="L293" t="s">
        <v>6451</v>
      </c>
      <c r="M293" t="s">
        <v>6452</v>
      </c>
      <c r="N293" t="s">
        <v>6453</v>
      </c>
      <c r="O293" t="s">
        <v>5469</v>
      </c>
      <c r="P293" t="s">
        <v>5206</v>
      </c>
      <c r="Q293">
        <v>0</v>
      </c>
      <c r="R293" t="s">
        <v>5118</v>
      </c>
      <c r="S293" t="s">
        <v>29</v>
      </c>
      <c r="T293" t="s">
        <v>4923</v>
      </c>
      <c r="U293" t="s">
        <v>4924</v>
      </c>
      <c r="V293" t="s">
        <v>6454</v>
      </c>
      <c r="W293" t="s">
        <v>3667</v>
      </c>
      <c r="X293">
        <v>311.6</v>
      </c>
    </row>
    <row r="294" spans="1:24" x14ac:dyDescent="0.25">
      <c r="A294" t="s">
        <v>5130</v>
      </c>
      <c r="B294" t="s">
        <v>6390</v>
      </c>
      <c r="C294" t="s">
        <v>6391</v>
      </c>
      <c r="D294" t="s">
        <v>24</v>
      </c>
      <c r="E294" t="s">
        <v>4913</v>
      </c>
      <c r="F294" t="s">
        <v>6455</v>
      </c>
      <c r="G294">
        <f>IF(K294="Pick-up","PICKUPS",IF(K294="Staff drop-off","STAFF_DROPOFF",IF(K294="Replacements","REPLACEMENT",IF(K294="Central Stores Dispatch","CENTRAL STORES DISPATCH",IFNA(IFNA(VLOOKUP(F294,'Raw Platform Nov 4-6 2025'!C:C,1,FALSE),VLOOKUP(F294,'Raw Platform Nov 4-6 2025'!D:D,1,FALSE)),IFNA(VLOOKUP(F294,'Glovo Raw Nov 4-6 2025'!B:B,1,FALSE),"Not Matched"))))))</f>
      </c>
      <c r="H294">
        <f>COUNTIF(F:F,F294)</f>
      </c>
      <c r="I294" t="s">
        <v>6456</v>
      </c>
      <c r="J294" t="s">
        <v>5289</v>
      </c>
      <c r="K294" t="s">
        <v>4927</v>
      </c>
      <c r="L294" t="s">
        <v>6457</v>
      </c>
      <c r="M294" t="s">
        <v>5217</v>
      </c>
      <c r="N294" t="s">
        <v>6458</v>
      </c>
      <c r="O294" t="s">
        <v>5013</v>
      </c>
      <c r="P294" t="s">
        <v>6459</v>
      </c>
      <c r="Q294">
        <v>0</v>
      </c>
      <c r="R294" t="s">
        <v>5118</v>
      </c>
      <c r="S294" t="s">
        <v>5293</v>
      </c>
      <c r="T294" t="s">
        <v>4923</v>
      </c>
      <c r="U294" t="s">
        <v>4924</v>
      </c>
      <c r="V294" t="s">
        <v>6460</v>
      </c>
      <c r="W294" t="s">
        <v>3667</v>
      </c>
      <c r="X294">
        <v>100</v>
      </c>
    </row>
    <row r="295" spans="1:24" x14ac:dyDescent="0.25">
      <c r="A295" t="s">
        <v>5130</v>
      </c>
      <c r="B295" t="s">
        <v>6390</v>
      </c>
      <c r="C295" t="s">
        <v>6391</v>
      </c>
      <c r="D295" t="s">
        <v>24</v>
      </c>
      <c r="E295" t="s">
        <v>4913</v>
      </c>
      <c r="F295" t="s">
        <v>2470</v>
      </c>
      <c r="G295">
        <f>IF(K295="Pick-up","PICKUPS",IF(K295="Staff drop-off","STAFF_DROPOFF",IF(K295="Replacements","REPLACEMENT",IF(K295="Central Stores Dispatch","CENTRAL STORES DISPATCH",IFNA(IFNA(VLOOKUP(F295,'Raw Platform Nov 4-6 2025'!C:C,1,FALSE),VLOOKUP(F295,'Raw Platform Nov 4-6 2025'!D:D,1,FALSE)),IFNA(VLOOKUP(F295,'Glovo Raw Nov 4-6 2025'!B:B,1,FALSE),"Not Matched"))))))</f>
      </c>
      <c r="H295">
        <f>COUNTIF(F:F,F295)</f>
      </c>
      <c r="I295" t="s">
        <v>6461</v>
      </c>
      <c r="J295" t="s">
        <v>5341</v>
      </c>
      <c r="K295" t="s">
        <v>4927</v>
      </c>
      <c r="L295" t="s">
        <v>6462</v>
      </c>
      <c r="M295" t="s">
        <v>6463</v>
      </c>
      <c r="N295" t="s">
        <v>6464</v>
      </c>
      <c r="O295" t="s">
        <v>37</v>
      </c>
      <c r="P295" t="s">
        <v>5190</v>
      </c>
      <c r="Q295">
        <v>0</v>
      </c>
      <c r="R295" t="s">
        <v>5118</v>
      </c>
      <c r="S295" t="s">
        <v>5136</v>
      </c>
      <c r="T295" t="s">
        <v>4923</v>
      </c>
      <c r="U295" t="s">
        <v>4924</v>
      </c>
      <c r="V295" t="s">
        <v>6465</v>
      </c>
      <c r="W295" t="s">
        <v>3667</v>
      </c>
      <c r="X295">
        <v>270.2</v>
      </c>
    </row>
    <row r="296" spans="1:24" x14ac:dyDescent="0.25">
      <c r="A296" t="s">
        <v>5130</v>
      </c>
      <c r="B296" t="s">
        <v>6390</v>
      </c>
      <c r="C296" t="s">
        <v>6391</v>
      </c>
      <c r="D296" t="s">
        <v>24</v>
      </c>
      <c r="E296" t="s">
        <v>4913</v>
      </c>
      <c r="F296" t="s">
        <v>6466</v>
      </c>
      <c r="G296">
        <f>IF(K296="Pick-up","PICKUPS",IF(K296="Staff drop-off","STAFF_DROPOFF",IF(K296="Replacements","REPLACEMENT",IF(K296="Central Stores Dispatch","CENTRAL STORES DISPATCH",IFNA(IFNA(VLOOKUP(F296,'Raw Platform Nov 4-6 2025'!C:C,1,FALSE),VLOOKUP(F296,'Raw Platform Nov 4-6 2025'!D:D,1,FALSE)),IFNA(VLOOKUP(F296,'Glovo Raw Nov 4-6 2025'!B:B,1,FALSE),"Not Matched"))))))</f>
      </c>
      <c r="H296">
        <f>COUNTIF(F:F,F296)</f>
      </c>
      <c r="I296" t="s">
        <v>6467</v>
      </c>
      <c r="J296" t="s">
        <v>5289</v>
      </c>
      <c r="K296" t="s">
        <v>4927</v>
      </c>
      <c r="L296" t="s">
        <v>6468</v>
      </c>
      <c r="M296" t="s">
        <v>5217</v>
      </c>
      <c r="N296" t="s">
        <v>6458</v>
      </c>
      <c r="O296" t="s">
        <v>5013</v>
      </c>
      <c r="P296" t="s">
        <v>6459</v>
      </c>
      <c r="Q296">
        <v>0</v>
      </c>
      <c r="R296" t="s">
        <v>5118</v>
      </c>
      <c r="S296" t="s">
        <v>5293</v>
      </c>
      <c r="T296" t="s">
        <v>4923</v>
      </c>
      <c r="U296" t="s">
        <v>4924</v>
      </c>
      <c r="V296" t="s">
        <v>6469</v>
      </c>
      <c r="W296" t="s">
        <v>3667</v>
      </c>
      <c r="X296">
        <v>100</v>
      </c>
    </row>
    <row r="297" spans="1:24" x14ac:dyDescent="0.25">
      <c r="A297" t="s">
        <v>4932</v>
      </c>
      <c r="B297" t="s">
        <v>6390</v>
      </c>
      <c r="C297" t="s">
        <v>6391</v>
      </c>
      <c r="D297" t="s">
        <v>13</v>
      </c>
      <c r="E297" t="s">
        <v>4913</v>
      </c>
      <c r="F297" t="s">
        <v>1907</v>
      </c>
      <c r="G297">
        <f>IF(K297="Pick-up","PICKUPS",IF(K297="Staff drop-off","STAFF_DROPOFF",IF(K297="Replacements","REPLACEMENT",IF(K297="Central Stores Dispatch","CENTRAL STORES DISPATCH",IFNA(IFNA(VLOOKUP(F297,'Raw Platform Nov 4-6 2025'!C:C,1,FALSE),VLOOKUP(F297,'Raw Platform Nov 4-6 2025'!D:D,1,FALSE)),IFNA(VLOOKUP(F297,'Glovo Raw Nov 4-6 2025'!B:B,1,FALSE),"Not Matched"))))))</f>
      </c>
      <c r="H297">
        <f>COUNTIF(F:F,F297)</f>
      </c>
      <c r="I297" t="s">
        <v>6470</v>
      </c>
      <c r="J297" t="s">
        <v>4915</v>
      </c>
      <c r="K297" t="s">
        <v>4916</v>
      </c>
      <c r="L297" t="s">
        <v>6471</v>
      </c>
      <c r="M297" t="s">
        <v>6472</v>
      </c>
      <c r="N297" t="s">
        <v>6473</v>
      </c>
      <c r="O297" t="s">
        <v>5469</v>
      </c>
      <c r="P297" t="s">
        <v>6474</v>
      </c>
      <c r="Q297">
        <v>1368</v>
      </c>
      <c r="R297" t="s">
        <v>5118</v>
      </c>
      <c r="S297" t="s">
        <v>29</v>
      </c>
      <c r="T297" t="s">
        <v>4923</v>
      </c>
      <c r="U297" t="s">
        <v>4924</v>
      </c>
      <c r="V297" t="s">
        <v>6475</v>
      </c>
      <c r="W297" t="s">
        <v>3667</v>
      </c>
      <c r="X297">
        <v>369.1</v>
      </c>
    </row>
    <row r="298" spans="1:24" x14ac:dyDescent="0.25">
      <c r="A298" t="s">
        <v>4932</v>
      </c>
      <c r="B298" t="s">
        <v>6390</v>
      </c>
      <c r="C298" t="s">
        <v>6391</v>
      </c>
      <c r="D298" t="s">
        <v>13</v>
      </c>
      <c r="E298" t="s">
        <v>4913</v>
      </c>
      <c r="F298" t="s">
        <v>1470</v>
      </c>
      <c r="G298">
        <f>IF(K298="Pick-up","PICKUPS",IF(K298="Staff drop-off","STAFF_DROPOFF",IF(K298="Replacements","REPLACEMENT",IF(K298="Central Stores Dispatch","CENTRAL STORES DISPATCH",IFNA(IFNA(VLOOKUP(F298,'Raw Platform Nov 4-6 2025'!C:C,1,FALSE),VLOOKUP(F298,'Raw Platform Nov 4-6 2025'!D:D,1,FALSE)),IFNA(VLOOKUP(F298,'Glovo Raw Nov 4-6 2025'!B:B,1,FALSE),"Not Matched"))))))</f>
      </c>
      <c r="H298">
        <f>COUNTIF(F:F,F298)</f>
      </c>
      <c r="I298" t="s">
        <v>6476</v>
      </c>
      <c r="J298" t="s">
        <v>5341</v>
      </c>
      <c r="K298" t="s">
        <v>4927</v>
      </c>
      <c r="L298" t="s">
        <v>6477</v>
      </c>
      <c r="M298" t="s">
        <v>6478</v>
      </c>
      <c r="N298" t="s">
        <v>5587</v>
      </c>
      <c r="O298" t="s">
        <v>2009</v>
      </c>
      <c r="P298" t="s">
        <v>5588</v>
      </c>
      <c r="Q298">
        <v>0</v>
      </c>
      <c r="R298" t="s">
        <v>5118</v>
      </c>
      <c r="S298" t="s">
        <v>29</v>
      </c>
      <c r="T298" t="s">
        <v>4923</v>
      </c>
      <c r="U298" t="s">
        <v>4924</v>
      </c>
      <c r="V298" t="s">
        <v>6479</v>
      </c>
      <c r="W298" t="s">
        <v>3667</v>
      </c>
      <c r="X298">
        <v>109.2</v>
      </c>
    </row>
    <row r="299" spans="1:24" x14ac:dyDescent="0.25">
      <c r="A299" t="s">
        <v>4932</v>
      </c>
      <c r="B299" t="s">
        <v>6390</v>
      </c>
      <c r="C299" t="s">
        <v>6391</v>
      </c>
      <c r="D299" t="s">
        <v>13</v>
      </c>
      <c r="E299" t="s">
        <v>4913</v>
      </c>
      <c r="F299" t="s">
        <v>1731</v>
      </c>
      <c r="G299">
        <f>IF(K299="Pick-up","PICKUPS",IF(K299="Staff drop-off","STAFF_DROPOFF",IF(K299="Replacements","REPLACEMENT",IF(K299="Central Stores Dispatch","CENTRAL STORES DISPATCH",IFNA(IFNA(VLOOKUP(F299,'Raw Platform Nov 4-6 2025'!C:C,1,FALSE),VLOOKUP(F299,'Raw Platform Nov 4-6 2025'!D:D,1,FALSE)),IFNA(VLOOKUP(F299,'Glovo Raw Nov 4-6 2025'!B:B,1,FALSE),"Not Matched"))))))</f>
      </c>
      <c r="H299">
        <f>COUNTIF(F:F,F299)</f>
      </c>
      <c r="I299" t="s">
        <v>6480</v>
      </c>
      <c r="J299" t="s">
        <v>4915</v>
      </c>
      <c r="K299" t="s">
        <v>4927</v>
      </c>
      <c r="L299" t="s">
        <v>6481</v>
      </c>
      <c r="M299" t="s">
        <v>6482</v>
      </c>
      <c r="N299" t="s">
        <v>5520</v>
      </c>
      <c r="O299" t="s">
        <v>47</v>
      </c>
      <c r="P299" t="s">
        <v>5001</v>
      </c>
      <c r="Q299">
        <v>0</v>
      </c>
      <c r="R299" t="s">
        <v>5118</v>
      </c>
      <c r="S299" t="s">
        <v>29</v>
      </c>
      <c r="T299" t="s">
        <v>4923</v>
      </c>
      <c r="U299" t="s">
        <v>4924</v>
      </c>
      <c r="V299" t="s">
        <v>6483</v>
      </c>
      <c r="W299" t="s">
        <v>3667</v>
      </c>
      <c r="X299">
        <v>120.7</v>
      </c>
    </row>
    <row r="300" spans="1:24" x14ac:dyDescent="0.25">
      <c r="A300" t="s">
        <v>4910</v>
      </c>
      <c r="B300" t="s">
        <v>6390</v>
      </c>
      <c r="C300" t="s">
        <v>6391</v>
      </c>
      <c r="D300" t="s">
        <v>13</v>
      </c>
      <c r="E300" t="s">
        <v>4913</v>
      </c>
      <c r="F300" t="s">
        <v>1842</v>
      </c>
      <c r="G300">
        <f>IF(K300="Pick-up","PICKUPS",IF(K300="Staff drop-off","STAFF_DROPOFF",IF(K300="Replacements","REPLACEMENT",IF(K300="Central Stores Dispatch","CENTRAL STORES DISPATCH",IFNA(IFNA(VLOOKUP(F300,'Raw Platform Nov 4-6 2025'!C:C,1,FALSE),VLOOKUP(F300,'Raw Platform Nov 4-6 2025'!D:D,1,FALSE)),IFNA(VLOOKUP(F300,'Glovo Raw Nov 4-6 2025'!B:B,1,FALSE),"Not Matched"))))))</f>
      </c>
      <c r="H300">
        <f>COUNTIF(F:F,F300)</f>
      </c>
      <c r="I300" t="s">
        <v>6484</v>
      </c>
      <c r="J300" t="s">
        <v>63</v>
      </c>
      <c r="K300" t="s">
        <v>4927</v>
      </c>
      <c r="L300" t="s">
        <v>6485</v>
      </c>
      <c r="M300" t="s">
        <v>6486</v>
      </c>
      <c r="N300" t="s">
        <v>5355</v>
      </c>
      <c r="O300" t="s">
        <v>53</v>
      </c>
      <c r="P300" t="s">
        <v>5001</v>
      </c>
      <c r="Q300">
        <v>0</v>
      </c>
      <c r="R300" t="s">
        <v>5118</v>
      </c>
      <c r="S300" t="s">
        <v>12</v>
      </c>
      <c r="T300" t="s">
        <v>4923</v>
      </c>
      <c r="U300" t="s">
        <v>4924</v>
      </c>
      <c r="V300" t="s">
        <v>6487</v>
      </c>
      <c r="W300" t="s">
        <v>3667</v>
      </c>
      <c r="X300">
        <v>120.7</v>
      </c>
    </row>
    <row r="301" spans="1:24" x14ac:dyDescent="0.25">
      <c r="A301" t="s">
        <v>4932</v>
      </c>
      <c r="B301" t="s">
        <v>6390</v>
      </c>
      <c r="C301" t="s">
        <v>6391</v>
      </c>
      <c r="D301" t="s">
        <v>13</v>
      </c>
      <c r="E301" t="s">
        <v>4913</v>
      </c>
      <c r="F301" t="s">
        <v>2417</v>
      </c>
      <c r="G301">
        <f>IF(K301="Pick-up","PICKUPS",IF(K301="Staff drop-off","STAFF_DROPOFF",IF(K301="Replacements","REPLACEMENT",IF(K301="Central Stores Dispatch","CENTRAL STORES DISPATCH",IFNA(IFNA(VLOOKUP(F301,'Raw Platform Nov 4-6 2025'!C:C,1,FALSE),VLOOKUP(F301,'Raw Platform Nov 4-6 2025'!D:D,1,FALSE)),IFNA(VLOOKUP(F301,'Glovo Raw Nov 4-6 2025'!B:B,1,FALSE),"Not Matched"))))))</f>
      </c>
      <c r="H301">
        <f>COUNTIF(F:F,F301)</f>
      </c>
      <c r="I301" t="s">
        <v>6488</v>
      </c>
      <c r="J301" t="s">
        <v>4915</v>
      </c>
      <c r="K301" t="s">
        <v>4916</v>
      </c>
      <c r="L301" t="s">
        <v>6489</v>
      </c>
      <c r="M301" t="s">
        <v>6490</v>
      </c>
      <c r="N301" t="s">
        <v>6491</v>
      </c>
      <c r="O301" t="s">
        <v>42</v>
      </c>
      <c r="P301" t="s">
        <v>6133</v>
      </c>
      <c r="Q301">
        <v>3481</v>
      </c>
      <c r="R301" t="s">
        <v>5118</v>
      </c>
      <c r="S301" t="s">
        <v>29</v>
      </c>
      <c r="T301" t="s">
        <v>4923</v>
      </c>
      <c r="U301" t="s">
        <v>4924</v>
      </c>
      <c r="V301" t="s">
        <v>6492</v>
      </c>
      <c r="W301" t="s">
        <v>3667</v>
      </c>
      <c r="X301">
        <v>293.2</v>
      </c>
    </row>
    <row r="302" spans="1:24" x14ac:dyDescent="0.25">
      <c r="A302" t="s">
        <v>4932</v>
      </c>
      <c r="B302" t="s">
        <v>6390</v>
      </c>
      <c r="C302" t="s">
        <v>6391</v>
      </c>
      <c r="D302" t="s">
        <v>13</v>
      </c>
      <c r="E302" t="s">
        <v>4913</v>
      </c>
      <c r="F302" t="s">
        <v>6493</v>
      </c>
      <c r="G302">
        <f>IF(K302="Pick-up","PICKUPS",IF(K302="Staff drop-off","STAFF_DROPOFF",IF(K302="Replacements","REPLACEMENT",IF(K302="Central Stores Dispatch","CENTRAL STORES DISPATCH",IFNA(IFNA(VLOOKUP(F302,'Raw Platform Nov 4-6 2025'!C:C,1,FALSE),VLOOKUP(F302,'Raw Platform Nov 4-6 2025'!D:D,1,FALSE)),IFNA(VLOOKUP(F302,'Glovo Raw Nov 4-6 2025'!B:B,1,FALSE),"Not Matched"))))))</f>
      </c>
      <c r="H302">
        <f>COUNTIF(F:F,F302)</f>
      </c>
      <c r="I302" t="s">
        <v>6494</v>
      </c>
      <c r="J302" t="s">
        <v>5289</v>
      </c>
      <c r="K302" t="s">
        <v>4927</v>
      </c>
      <c r="L302" t="s">
        <v>5290</v>
      </c>
      <c r="M302" t="s">
        <v>5291</v>
      </c>
      <c r="N302" t="s">
        <v>5321</v>
      </c>
      <c r="O302" t="s">
        <v>77</v>
      </c>
      <c r="P302" t="s">
        <v>5914</v>
      </c>
      <c r="Q302">
        <v>0</v>
      </c>
      <c r="R302" t="s">
        <v>5118</v>
      </c>
      <c r="S302" t="s">
        <v>29</v>
      </c>
      <c r="T302" t="s">
        <v>4923</v>
      </c>
      <c r="U302" t="s">
        <v>4924</v>
      </c>
      <c r="V302" t="s">
        <v>6495</v>
      </c>
      <c r="W302" t="s">
        <v>3667</v>
      </c>
      <c r="X302">
        <v>192</v>
      </c>
    </row>
    <row r="303" spans="1:24" x14ac:dyDescent="0.25">
      <c r="A303" t="s">
        <v>5130</v>
      </c>
      <c r="B303" t="s">
        <v>6390</v>
      </c>
      <c r="C303" t="s">
        <v>6391</v>
      </c>
      <c r="D303" t="s">
        <v>24</v>
      </c>
      <c r="E303" t="s">
        <v>4913</v>
      </c>
      <c r="F303" t="s">
        <v>6496</v>
      </c>
      <c r="G303">
        <f>IF(K303="Pick-up","PICKUPS",IF(K303="Staff drop-off","STAFF_DROPOFF",IF(K303="Replacements","REPLACEMENT",IF(K303="Central Stores Dispatch","CENTRAL STORES DISPATCH",IFNA(IFNA(VLOOKUP(F303,'Raw Platform Nov 4-6 2025'!C:C,1,FALSE),VLOOKUP(F303,'Raw Platform Nov 4-6 2025'!D:D,1,FALSE)),IFNA(VLOOKUP(F303,'Glovo Raw Nov 4-6 2025'!B:B,1,FALSE),"Not Matched"))))))</f>
      </c>
      <c r="H303">
        <f>COUNTIF(F:F,F303)</f>
      </c>
      <c r="I303" t="s">
        <v>6497</v>
      </c>
      <c r="J303" t="s">
        <v>6498</v>
      </c>
      <c r="K303" t="s">
        <v>4927</v>
      </c>
      <c r="L303" t="s">
        <v>6499</v>
      </c>
      <c r="M303" t="s">
        <v>5217</v>
      </c>
      <c r="N303" t="s">
        <v>6500</v>
      </c>
      <c r="O303" t="s">
        <v>42</v>
      </c>
      <c r="P303" t="s">
        <v>5724</v>
      </c>
      <c r="Q303">
        <v>0</v>
      </c>
      <c r="R303" t="s">
        <v>5118</v>
      </c>
      <c r="S303" t="s">
        <v>5293</v>
      </c>
      <c r="T303" t="s">
        <v>4923</v>
      </c>
      <c r="U303" t="s">
        <v>4924</v>
      </c>
      <c r="V303" t="s">
        <v>6501</v>
      </c>
      <c r="W303" t="s">
        <v>3667</v>
      </c>
      <c r="X303">
        <v>258.7</v>
      </c>
    </row>
    <row r="304" spans="1:24" x14ac:dyDescent="0.25">
      <c r="A304" t="s">
        <v>5130</v>
      </c>
      <c r="B304" t="s">
        <v>6390</v>
      </c>
      <c r="C304" t="s">
        <v>6391</v>
      </c>
      <c r="D304" t="s">
        <v>24</v>
      </c>
      <c r="E304" t="s">
        <v>4913</v>
      </c>
      <c r="F304" t="s">
        <v>2468</v>
      </c>
      <c r="G304">
        <f>IF(K304="Pick-up","PICKUPS",IF(K304="Staff drop-off","STAFF_DROPOFF",IF(K304="Replacements","REPLACEMENT",IF(K304="Central Stores Dispatch","CENTRAL STORES DISPATCH",IFNA(IFNA(VLOOKUP(F304,'Raw Platform Nov 4-6 2025'!C:C,1,FALSE),VLOOKUP(F304,'Raw Platform Nov 4-6 2025'!D:D,1,FALSE)),IFNA(VLOOKUP(F304,'Glovo Raw Nov 4-6 2025'!B:B,1,FALSE),"Not Matched"))))))</f>
      </c>
      <c r="H304">
        <f>COUNTIF(F:F,F304)</f>
      </c>
      <c r="I304" t="s">
        <v>6502</v>
      </c>
      <c r="J304" t="s">
        <v>5341</v>
      </c>
      <c r="K304" t="s">
        <v>4916</v>
      </c>
      <c r="L304" t="s">
        <v>6503</v>
      </c>
      <c r="M304" t="s">
        <v>6504</v>
      </c>
      <c r="N304" t="s">
        <v>4919</v>
      </c>
      <c r="O304" t="s">
        <v>4920</v>
      </c>
      <c r="P304" t="s">
        <v>4921</v>
      </c>
      <c r="Q304">
        <v>1600</v>
      </c>
      <c r="R304" t="s">
        <v>5118</v>
      </c>
      <c r="S304" t="s">
        <v>116</v>
      </c>
      <c r="T304" t="s">
        <v>4923</v>
      </c>
      <c r="U304" t="s">
        <v>4924</v>
      </c>
      <c r="V304" t="s">
        <v>6505</v>
      </c>
      <c r="W304" t="s">
        <v>3667</v>
      </c>
      <c r="X304">
        <v>100</v>
      </c>
    </row>
    <row r="305" spans="1:24" x14ac:dyDescent="0.25">
      <c r="A305" t="s">
        <v>5231</v>
      </c>
      <c r="B305" t="s">
        <v>6390</v>
      </c>
      <c r="C305" t="s">
        <v>6391</v>
      </c>
      <c r="D305" t="s">
        <v>191</v>
      </c>
      <c r="E305" t="s">
        <v>4913</v>
      </c>
      <c r="F305" t="s">
        <v>2355</v>
      </c>
      <c r="G305">
        <f>IF(K305="Pick-up","PICKUPS",IF(K305="Staff drop-off","STAFF_DROPOFF",IF(K305="Replacements","REPLACEMENT",IF(K305="Central Stores Dispatch","CENTRAL STORES DISPATCH",IFNA(IFNA(VLOOKUP(F305,'Raw Platform Nov 4-6 2025'!C:C,1,FALSE),VLOOKUP(F305,'Raw Platform Nov 4-6 2025'!D:D,1,FALSE)),IFNA(VLOOKUP(F305,'Glovo Raw Nov 4-6 2025'!B:B,1,FALSE),"Not Matched"))))))</f>
      </c>
      <c r="H305">
        <f>COUNTIF(F:F,F305)</f>
      </c>
      <c r="I305" t="s">
        <v>6506</v>
      </c>
      <c r="J305" t="s">
        <v>4915</v>
      </c>
      <c r="K305" t="s">
        <v>4916</v>
      </c>
      <c r="L305" t="s">
        <v>6507</v>
      </c>
      <c r="M305" t="s">
        <v>6508</v>
      </c>
      <c r="N305" t="s">
        <v>6509</v>
      </c>
      <c r="O305" t="s">
        <v>4962</v>
      </c>
      <c r="P305" t="s">
        <v>4990</v>
      </c>
      <c r="Q305">
        <v>50</v>
      </c>
      <c r="R305" t="s">
        <v>5118</v>
      </c>
      <c r="S305" t="s">
        <v>467</v>
      </c>
      <c r="T305" t="s">
        <v>4923</v>
      </c>
      <c r="U305" t="s">
        <v>4924</v>
      </c>
      <c r="V305" t="s">
        <v>6510</v>
      </c>
      <c r="W305" t="s">
        <v>3667</v>
      </c>
      <c r="X305">
        <v>111.5</v>
      </c>
    </row>
    <row r="306" spans="1:24" x14ac:dyDescent="0.25">
      <c r="A306" t="s">
        <v>4910</v>
      </c>
      <c r="B306" t="s">
        <v>6390</v>
      </c>
      <c r="C306" t="s">
        <v>6391</v>
      </c>
      <c r="D306" t="s">
        <v>13</v>
      </c>
      <c r="E306" t="s">
        <v>4913</v>
      </c>
      <c r="F306" t="s">
        <v>6511</v>
      </c>
      <c r="G306">
        <f>IF(K306="Pick-up","PICKUPS",IF(K306="Staff drop-off","STAFF_DROPOFF",IF(K306="Replacements","REPLACEMENT",IF(K306="Central Stores Dispatch","CENTRAL STORES DISPATCH",IFNA(IFNA(VLOOKUP(F306,'Raw Platform Nov 4-6 2025'!C:C,1,FALSE),VLOOKUP(F306,'Raw Platform Nov 4-6 2025'!D:D,1,FALSE)),IFNA(VLOOKUP(F306,'Glovo Raw Nov 4-6 2025'!B:B,1,FALSE),"Not Matched"))))))</f>
      </c>
      <c r="H306">
        <f>COUNTIF(F:F,F306)</f>
      </c>
      <c r="I306" t="s">
        <v>6512</v>
      </c>
      <c r="J306" t="s">
        <v>5289</v>
      </c>
      <c r="K306" t="s">
        <v>4927</v>
      </c>
      <c r="L306" t="s">
        <v>6513</v>
      </c>
      <c r="M306" t="s">
        <v>4918</v>
      </c>
      <c r="N306" t="s">
        <v>6514</v>
      </c>
      <c r="O306" t="s">
        <v>47</v>
      </c>
      <c r="P306" t="s">
        <v>5953</v>
      </c>
      <c r="Q306">
        <v>0</v>
      </c>
      <c r="R306" t="s">
        <v>5118</v>
      </c>
      <c r="S306" t="s">
        <v>116</v>
      </c>
      <c r="T306" t="s">
        <v>4923</v>
      </c>
      <c r="U306" t="s">
        <v>4924</v>
      </c>
      <c r="V306" t="s">
        <v>6515</v>
      </c>
      <c r="W306" t="s">
        <v>3667</v>
      </c>
      <c r="X306">
        <v>118.4</v>
      </c>
    </row>
    <row r="307" spans="1:24" x14ac:dyDescent="0.25">
      <c r="A307" t="s">
        <v>4932</v>
      </c>
      <c r="B307" t="s">
        <v>6390</v>
      </c>
      <c r="C307" t="s">
        <v>6391</v>
      </c>
      <c r="D307" t="s">
        <v>13</v>
      </c>
      <c r="E307" t="s">
        <v>4913</v>
      </c>
      <c r="F307" t="s">
        <v>2432</v>
      </c>
      <c r="G307">
        <f>IF(K307="Pick-up","PICKUPS",IF(K307="Staff drop-off","STAFF_DROPOFF",IF(K307="Replacements","REPLACEMENT",IF(K307="Central Stores Dispatch","CENTRAL STORES DISPATCH",IFNA(IFNA(VLOOKUP(F307,'Raw Platform Nov 4-6 2025'!C:C,1,FALSE),VLOOKUP(F307,'Raw Platform Nov 4-6 2025'!D:D,1,FALSE)),IFNA(VLOOKUP(F307,'Glovo Raw Nov 4-6 2025'!B:B,1,FALSE),"Not Matched"))))))</f>
      </c>
      <c r="H307">
        <f>COUNTIF(F:F,F307)</f>
      </c>
      <c r="I307" t="s">
        <v>6516</v>
      </c>
      <c r="J307" t="s">
        <v>4915</v>
      </c>
      <c r="K307" t="s">
        <v>4927</v>
      </c>
      <c r="L307" t="s">
        <v>6517</v>
      </c>
      <c r="M307" t="s">
        <v>6518</v>
      </c>
      <c r="N307" t="s">
        <v>6519</v>
      </c>
      <c r="O307" t="s">
        <v>73</v>
      </c>
      <c r="P307" t="s">
        <v>5436</v>
      </c>
      <c r="Q307">
        <v>0</v>
      </c>
      <c r="R307" t="s">
        <v>5118</v>
      </c>
      <c r="S307" t="s">
        <v>29</v>
      </c>
      <c r="T307" t="s">
        <v>4923</v>
      </c>
      <c r="U307" t="s">
        <v>4924</v>
      </c>
      <c r="V307" t="s">
        <v>6520</v>
      </c>
      <c r="W307" t="s">
        <v>3667</v>
      </c>
      <c r="X307">
        <v>164.4</v>
      </c>
    </row>
    <row r="308" spans="1:24" x14ac:dyDescent="0.25">
      <c r="A308" t="s">
        <v>5176</v>
      </c>
      <c r="B308" t="s">
        <v>6521</v>
      </c>
      <c r="C308" t="s">
        <v>6522</v>
      </c>
      <c r="D308" t="s">
        <v>30</v>
      </c>
      <c r="E308" t="s">
        <v>4913</v>
      </c>
      <c r="F308" t="s">
        <v>6523</v>
      </c>
      <c r="G308">
        <f>IF(K308="Pick-up","PICKUPS",IF(K308="Staff drop-off","STAFF_DROPOFF",IF(K308="Replacements","REPLACEMENT",IF(K308="Central Stores Dispatch","CENTRAL STORES DISPATCH",IFNA(IFNA(VLOOKUP(F308,'Raw Platform Nov 4-6 2025'!C:C,1,FALSE),VLOOKUP(F308,'Raw Platform Nov 4-6 2025'!D:D,1,FALSE)),IFNA(VLOOKUP(F308,'Glovo Raw Nov 4-6 2025'!B:B,1,FALSE),"Not Matched"))))))</f>
      </c>
      <c r="H308">
        <f>COUNTIF(F:F,F308)</f>
      </c>
      <c r="I308" t="s">
        <v>6524</v>
      </c>
      <c r="J308" t="s">
        <v>5289</v>
      </c>
      <c r="K308" t="s">
        <v>4927</v>
      </c>
      <c r="L308" t="s">
        <v>5326</v>
      </c>
      <c r="M308" t="s">
        <v>5327</v>
      </c>
      <c r="N308" t="s">
        <v>5292</v>
      </c>
      <c r="O308" t="s">
        <v>100</v>
      </c>
      <c r="P308" t="s">
        <v>5328</v>
      </c>
      <c r="Q308">
        <v>0</v>
      </c>
      <c r="R308" t="s">
        <v>5118</v>
      </c>
      <c r="S308" t="s">
        <v>5293</v>
      </c>
      <c r="T308" t="s">
        <v>4923</v>
      </c>
      <c r="U308" t="s">
        <v>4924</v>
      </c>
      <c r="V308" t="s">
        <v>6525</v>
      </c>
      <c r="W308" t="s">
        <v>3667</v>
      </c>
      <c r="X308">
        <v>205.8</v>
      </c>
    </row>
    <row r="309" spans="1:24" x14ac:dyDescent="0.25">
      <c r="A309" t="s">
        <v>5176</v>
      </c>
      <c r="B309" t="s">
        <v>6521</v>
      </c>
      <c r="C309" t="s">
        <v>6522</v>
      </c>
      <c r="D309" t="s">
        <v>30</v>
      </c>
      <c r="E309" t="s">
        <v>4913</v>
      </c>
      <c r="F309" t="s">
        <v>1073</v>
      </c>
      <c r="G309">
        <f>IF(K309="Pick-up","PICKUPS",IF(K309="Staff drop-off","STAFF_DROPOFF",IF(K309="Replacements","REPLACEMENT",IF(K309="Central Stores Dispatch","CENTRAL STORES DISPATCH",IFNA(IFNA(VLOOKUP(F309,'Raw Platform Nov 4-6 2025'!C:C,1,FALSE),VLOOKUP(F309,'Raw Platform Nov 4-6 2025'!D:D,1,FALSE)),IFNA(VLOOKUP(F309,'Glovo Raw Nov 4-6 2025'!B:B,1,FALSE),"Not Matched"))))))</f>
      </c>
      <c r="H309">
        <f>COUNTIF(F:F,F309)</f>
      </c>
      <c r="I309" t="s">
        <v>6526</v>
      </c>
      <c r="J309" t="s">
        <v>4915</v>
      </c>
      <c r="K309" t="s">
        <v>4927</v>
      </c>
      <c r="L309" t="s">
        <v>6527</v>
      </c>
      <c r="M309" t="s">
        <v>5327</v>
      </c>
      <c r="N309" t="s">
        <v>6528</v>
      </c>
      <c r="O309" t="s">
        <v>183</v>
      </c>
      <c r="P309" t="s">
        <v>6529</v>
      </c>
      <c r="Q309">
        <v>0</v>
      </c>
      <c r="R309" t="s">
        <v>5118</v>
      </c>
      <c r="S309" t="s">
        <v>29</v>
      </c>
      <c r="T309" t="s">
        <v>4923</v>
      </c>
      <c r="U309" t="s">
        <v>4924</v>
      </c>
      <c r="V309" t="s">
        <v>6530</v>
      </c>
      <c r="W309" t="s">
        <v>3667</v>
      </c>
      <c r="X309">
        <v>336.9</v>
      </c>
    </row>
    <row r="310" spans="1:24" x14ac:dyDescent="0.25">
      <c r="A310" t="s">
        <v>5176</v>
      </c>
      <c r="B310" t="s">
        <v>6521</v>
      </c>
      <c r="C310" t="s">
        <v>6522</v>
      </c>
      <c r="D310" t="s">
        <v>30</v>
      </c>
      <c r="E310" t="s">
        <v>4913</v>
      </c>
      <c r="F310" t="s">
        <v>6531</v>
      </c>
      <c r="G310">
        <f>IF(K310="Pick-up","PICKUPS",IF(K310="Staff drop-off","STAFF_DROPOFF",IF(K310="Replacements","REPLACEMENT",IF(K310="Central Stores Dispatch","CENTRAL STORES DISPATCH",IFNA(IFNA(VLOOKUP(F310,'Raw Platform Nov 4-6 2025'!C:C,1,FALSE),VLOOKUP(F310,'Raw Platform Nov 4-6 2025'!D:D,1,FALSE)),IFNA(VLOOKUP(F310,'Glovo Raw Nov 4-6 2025'!B:B,1,FALSE),"Not Matched"))))))</f>
      </c>
      <c r="H310">
        <f>COUNTIF(F:F,F310)</f>
      </c>
      <c r="I310" t="s">
        <v>6532</v>
      </c>
      <c r="J310" t="s">
        <v>4915</v>
      </c>
      <c r="K310" t="s">
        <v>4927</v>
      </c>
      <c r="L310" t="s">
        <v>6533</v>
      </c>
      <c r="M310" t="s">
        <v>5327</v>
      </c>
      <c r="N310" t="s">
        <v>6534</v>
      </c>
      <c r="O310" t="s">
        <v>100</v>
      </c>
      <c r="P310" t="s">
        <v>47</v>
      </c>
      <c r="Q310">
        <v>0</v>
      </c>
      <c r="R310" t="s">
        <v>5118</v>
      </c>
      <c r="S310" t="s">
        <v>12</v>
      </c>
      <c r="T310" t="s">
        <v>4923</v>
      </c>
      <c r="U310" t="s">
        <v>4924</v>
      </c>
      <c r="V310" t="s">
        <v>6535</v>
      </c>
      <c r="W310" t="s">
        <v>3667</v>
      </c>
      <c r="X310">
        <v>226.5</v>
      </c>
    </row>
    <row r="311" spans="1:24" x14ac:dyDescent="0.25">
      <c r="A311" t="s">
        <v>5176</v>
      </c>
      <c r="B311" t="s">
        <v>6521</v>
      </c>
      <c r="C311" t="s">
        <v>6522</v>
      </c>
      <c r="D311" t="s">
        <v>191</v>
      </c>
      <c r="E311" t="s">
        <v>4913</v>
      </c>
      <c r="F311" t="s">
        <v>394</v>
      </c>
      <c r="G311">
        <f>IF(K311="Pick-up","PICKUPS",IF(K311="Staff drop-off","STAFF_DROPOFF",IF(K311="Replacements","REPLACEMENT",IF(K311="Central Stores Dispatch","CENTRAL STORES DISPATCH",IFNA(IFNA(VLOOKUP(F311,'Raw Platform Nov 4-6 2025'!C:C,1,FALSE),VLOOKUP(F311,'Raw Platform Nov 4-6 2025'!D:D,1,FALSE)),IFNA(VLOOKUP(F311,'Glovo Raw Nov 4-6 2025'!B:B,1,FALSE),"Not Matched"))))))</f>
      </c>
      <c r="H311">
        <f>COUNTIF(F:F,F311)</f>
      </c>
      <c r="I311" t="s">
        <v>6536</v>
      </c>
      <c r="J311" t="s">
        <v>4915</v>
      </c>
      <c r="K311" t="s">
        <v>4927</v>
      </c>
      <c r="L311" t="s">
        <v>6537</v>
      </c>
      <c r="M311" t="s">
        <v>6538</v>
      </c>
      <c r="N311" t="s">
        <v>6539</v>
      </c>
      <c r="O311" t="s">
        <v>6540</v>
      </c>
      <c r="P311" t="s">
        <v>5678</v>
      </c>
      <c r="Q311">
        <v>0</v>
      </c>
      <c r="R311" t="s">
        <v>5118</v>
      </c>
      <c r="S311" t="s">
        <v>5184</v>
      </c>
      <c r="T311" t="s">
        <v>4923</v>
      </c>
      <c r="U311" t="s">
        <v>4924</v>
      </c>
      <c r="V311" t="s">
        <v>6541</v>
      </c>
      <c r="W311" t="s">
        <v>3667</v>
      </c>
      <c r="X311">
        <v>732.5</v>
      </c>
    </row>
    <row r="312" spans="1:24" x14ac:dyDescent="0.25">
      <c r="A312" t="s">
        <v>5176</v>
      </c>
      <c r="B312" t="s">
        <v>6521</v>
      </c>
      <c r="C312" t="s">
        <v>6522</v>
      </c>
      <c r="D312" t="s">
        <v>30</v>
      </c>
      <c r="E312" t="s">
        <v>4913</v>
      </c>
      <c r="F312" t="s">
        <v>4853</v>
      </c>
      <c r="G312">
        <f>IF(K312="Pick-up","PICKUPS",IF(K312="Staff drop-off","STAFF_DROPOFF",IF(K312="Replacements","REPLACEMENT",IF(K312="Central Stores Dispatch","CENTRAL STORES DISPATCH",IFNA(IFNA(VLOOKUP(F312,'Raw Platform Nov 4-6 2025'!C:C,1,FALSE),VLOOKUP(F312,'Raw Platform Nov 4-6 2025'!D:D,1,FALSE)),IFNA(VLOOKUP(F312,'Glovo Raw Nov 4-6 2025'!B:B,1,FALSE),"Not Matched"))))))</f>
      </c>
      <c r="H312">
        <f>COUNTIF(F:F,F312)</f>
      </c>
      <c r="I312" t="s">
        <v>6542</v>
      </c>
      <c r="J312" t="s">
        <v>63</v>
      </c>
      <c r="K312" t="s">
        <v>4927</v>
      </c>
      <c r="L312" t="s">
        <v>6543</v>
      </c>
      <c r="M312" t="s">
        <v>6544</v>
      </c>
      <c r="N312" t="s">
        <v>6545</v>
      </c>
      <c r="O312" t="s">
        <v>100</v>
      </c>
      <c r="P312" t="s">
        <v>2009</v>
      </c>
      <c r="Q312">
        <v>0</v>
      </c>
      <c r="R312" t="s">
        <v>5118</v>
      </c>
      <c r="S312" t="s">
        <v>5437</v>
      </c>
      <c r="T312" t="s">
        <v>4923</v>
      </c>
      <c r="U312" t="s">
        <v>4924</v>
      </c>
      <c r="V312" t="s">
        <v>6546</v>
      </c>
      <c r="W312" t="s">
        <v>3667</v>
      </c>
      <c r="X312">
        <v>203.5</v>
      </c>
    </row>
    <row r="313" spans="1:24" x14ac:dyDescent="0.25">
      <c r="A313" t="s">
        <v>5176</v>
      </c>
      <c r="B313" t="s">
        <v>6521</v>
      </c>
      <c r="C313" t="s">
        <v>6522</v>
      </c>
      <c r="D313" t="s">
        <v>30</v>
      </c>
      <c r="E313" t="s">
        <v>4913</v>
      </c>
      <c r="F313" t="s">
        <v>6547</v>
      </c>
      <c r="G313">
        <f>IF(K313="Pick-up","PICKUPS",IF(K313="Staff drop-off","STAFF_DROPOFF",IF(K313="Replacements","REPLACEMENT",IF(K313="Central Stores Dispatch","CENTRAL STORES DISPATCH",IFNA(IFNA(VLOOKUP(F313,'Raw Platform Nov 4-6 2025'!C:C,1,FALSE),VLOOKUP(F313,'Raw Platform Nov 4-6 2025'!D:D,1,FALSE)),IFNA(VLOOKUP(F313,'Glovo Raw Nov 4-6 2025'!B:B,1,FALSE),"Not Matched"))))))</f>
      </c>
      <c r="H313">
        <f>COUNTIF(F:F,F313)</f>
      </c>
      <c r="I313" t="s">
        <v>6548</v>
      </c>
      <c r="J313" t="s">
        <v>6498</v>
      </c>
      <c r="K313" t="s">
        <v>4927</v>
      </c>
      <c r="L313" t="s">
        <v>6549</v>
      </c>
      <c r="M313" t="s">
        <v>5327</v>
      </c>
      <c r="N313" t="s">
        <v>6458</v>
      </c>
      <c r="O313" t="s">
        <v>100</v>
      </c>
      <c r="P313" t="s">
        <v>5328</v>
      </c>
      <c r="Q313">
        <v>0</v>
      </c>
      <c r="R313" t="s">
        <v>5118</v>
      </c>
      <c r="S313" t="s">
        <v>5293</v>
      </c>
      <c r="T313" t="s">
        <v>4923</v>
      </c>
      <c r="U313" t="s">
        <v>4924</v>
      </c>
      <c r="V313" t="s">
        <v>6550</v>
      </c>
      <c r="W313" t="s">
        <v>3667</v>
      </c>
      <c r="X313">
        <v>205.8</v>
      </c>
    </row>
    <row r="314" spans="1:24" x14ac:dyDescent="0.25">
      <c r="A314" t="s">
        <v>5176</v>
      </c>
      <c r="B314" t="s">
        <v>6521</v>
      </c>
      <c r="C314" t="s">
        <v>6522</v>
      </c>
      <c r="D314" t="s">
        <v>30</v>
      </c>
      <c r="E314" t="s">
        <v>4913</v>
      </c>
      <c r="F314" t="s">
        <v>610</v>
      </c>
      <c r="G314">
        <f>IF(K314="Pick-up","PICKUPS",IF(K314="Staff drop-off","STAFF_DROPOFF",IF(K314="Replacements","REPLACEMENT",IF(K314="Central Stores Dispatch","CENTRAL STORES DISPATCH",IFNA(IFNA(VLOOKUP(F314,'Raw Platform Nov 4-6 2025'!C:C,1,FALSE),VLOOKUP(F314,'Raw Platform Nov 4-6 2025'!D:D,1,FALSE)),IFNA(VLOOKUP(F314,'Glovo Raw Nov 4-6 2025'!B:B,1,FALSE),"Not Matched"))))))</f>
      </c>
      <c r="H314">
        <f>COUNTIF(F:F,F314)</f>
      </c>
      <c r="I314" t="s">
        <v>6551</v>
      </c>
      <c r="J314" t="s">
        <v>63</v>
      </c>
      <c r="K314" t="s">
        <v>4916</v>
      </c>
      <c r="L314" t="s">
        <v>5682</v>
      </c>
      <c r="M314" t="s">
        <v>5635</v>
      </c>
      <c r="N314" t="s">
        <v>5195</v>
      </c>
      <c r="O314" t="s">
        <v>4990</v>
      </c>
      <c r="P314" t="s">
        <v>5196</v>
      </c>
      <c r="Q314">
        <v>1460</v>
      </c>
      <c r="R314" t="s">
        <v>5118</v>
      </c>
      <c r="S314" t="s">
        <v>29</v>
      </c>
      <c r="T314" t="s">
        <v>4923</v>
      </c>
      <c r="U314" t="s">
        <v>4924</v>
      </c>
      <c r="V314" t="s">
        <v>6552</v>
      </c>
      <c r="W314" t="s">
        <v>3667</v>
      </c>
      <c r="X314">
        <v>100</v>
      </c>
    </row>
    <row r="315" spans="1:24" x14ac:dyDescent="0.25">
      <c r="A315" t="s">
        <v>5176</v>
      </c>
      <c r="B315" t="s">
        <v>6521</v>
      </c>
      <c r="C315" t="s">
        <v>6522</v>
      </c>
      <c r="D315" t="s">
        <v>30</v>
      </c>
      <c r="E315" t="s">
        <v>4913</v>
      </c>
      <c r="F315" t="s">
        <v>6553</v>
      </c>
      <c r="G315">
        <f>IF(K315="Pick-up","PICKUPS",IF(K315="Staff drop-off","STAFF_DROPOFF",IF(K315="Replacements","REPLACEMENT",IF(K315="Central Stores Dispatch","CENTRAL STORES DISPATCH",IFNA(IFNA(VLOOKUP(F315,'Raw Platform Nov 4-6 2025'!C:C,1,FALSE),VLOOKUP(F315,'Raw Platform Nov 4-6 2025'!D:D,1,FALSE)),IFNA(VLOOKUP(F315,'Glovo Raw Nov 4-6 2025'!B:B,1,FALSE),"Not Matched"))))))</f>
      </c>
      <c r="H315">
        <f>COUNTIF(F:F,F315)</f>
      </c>
      <c r="I315" t="s">
        <v>6554</v>
      </c>
      <c r="J315" t="s">
        <v>4915</v>
      </c>
      <c r="K315" t="s">
        <v>4916</v>
      </c>
      <c r="L315" t="s">
        <v>6555</v>
      </c>
      <c r="M315" t="s">
        <v>6556</v>
      </c>
      <c r="N315" t="s">
        <v>6557</v>
      </c>
      <c r="O315" t="s">
        <v>4962</v>
      </c>
      <c r="P315" t="s">
        <v>6558</v>
      </c>
      <c r="Q315">
        <v>1536</v>
      </c>
      <c r="R315" t="s">
        <v>5118</v>
      </c>
      <c r="S315" t="s">
        <v>116</v>
      </c>
      <c r="T315" t="s">
        <v>4923</v>
      </c>
      <c r="U315" t="s">
        <v>4924</v>
      </c>
      <c r="V315" t="s">
        <v>6559</v>
      </c>
      <c r="W315" t="s">
        <v>3667</v>
      </c>
      <c r="X315">
        <v>100</v>
      </c>
    </row>
    <row r="316" spans="1:24" x14ac:dyDescent="0.25">
      <c r="A316" t="s">
        <v>5176</v>
      </c>
      <c r="B316" t="s">
        <v>6521</v>
      </c>
      <c r="C316" t="s">
        <v>6522</v>
      </c>
      <c r="D316" t="s">
        <v>30</v>
      </c>
      <c r="E316" t="s">
        <v>4913</v>
      </c>
      <c r="F316" t="s">
        <v>580</v>
      </c>
      <c r="G316">
        <f>IF(K316="Pick-up","PICKUPS",IF(K316="Staff drop-off","STAFF_DROPOFF",IF(K316="Replacements","REPLACEMENT",IF(K316="Central Stores Dispatch","CENTRAL STORES DISPATCH",IFNA(IFNA(VLOOKUP(F316,'Raw Platform Nov 4-6 2025'!C:C,1,FALSE),VLOOKUP(F316,'Raw Platform Nov 4-6 2025'!D:D,1,FALSE)),IFNA(VLOOKUP(F316,'Glovo Raw Nov 4-6 2025'!B:B,1,FALSE),"Not Matched"))))))</f>
      </c>
      <c r="H316">
        <f>COUNTIF(F:F,F316)</f>
      </c>
      <c r="I316" t="s">
        <v>6560</v>
      </c>
      <c r="J316" t="s">
        <v>4915</v>
      </c>
      <c r="K316" t="s">
        <v>4916</v>
      </c>
      <c r="L316" t="s">
        <v>6561</v>
      </c>
      <c r="M316" t="s">
        <v>6562</v>
      </c>
      <c r="N316" t="s">
        <v>6563</v>
      </c>
      <c r="O316" t="s">
        <v>113</v>
      </c>
      <c r="P316" t="s">
        <v>5328</v>
      </c>
      <c r="Q316">
        <v>1960</v>
      </c>
      <c r="R316" t="s">
        <v>5118</v>
      </c>
      <c r="S316" t="s">
        <v>29</v>
      </c>
      <c r="T316" t="s">
        <v>4923</v>
      </c>
      <c r="U316" t="s">
        <v>4924</v>
      </c>
      <c r="V316" t="s">
        <v>6564</v>
      </c>
      <c r="W316" t="s">
        <v>3667</v>
      </c>
      <c r="X316">
        <v>205.8</v>
      </c>
    </row>
    <row r="317" spans="1:24" x14ac:dyDescent="0.25">
      <c r="A317" t="s">
        <v>5176</v>
      </c>
      <c r="B317" t="s">
        <v>6521</v>
      </c>
      <c r="C317" t="s">
        <v>6522</v>
      </c>
      <c r="D317" t="s">
        <v>30</v>
      </c>
      <c r="E317" t="s">
        <v>4913</v>
      </c>
      <c r="F317" t="s">
        <v>196</v>
      </c>
      <c r="G317">
        <f>IF(K317="Pick-up","PICKUPS",IF(K317="Staff drop-off","STAFF_DROPOFF",IF(K317="Replacements","REPLACEMENT",IF(K317="Central Stores Dispatch","CENTRAL STORES DISPATCH",IFNA(IFNA(VLOOKUP(F317,'Raw Platform Nov 4-6 2025'!C:C,1,FALSE),VLOOKUP(F317,'Raw Platform Nov 4-6 2025'!D:D,1,FALSE)),IFNA(VLOOKUP(F317,'Glovo Raw Nov 4-6 2025'!B:B,1,FALSE),"Not Matched"))))))</f>
      </c>
      <c r="H317">
        <f>COUNTIF(F:F,F317)</f>
      </c>
      <c r="I317" t="s">
        <v>6565</v>
      </c>
      <c r="J317" t="s">
        <v>63</v>
      </c>
      <c r="K317" t="s">
        <v>4927</v>
      </c>
      <c r="L317" t="s">
        <v>6566</v>
      </c>
      <c r="M317" t="s">
        <v>6567</v>
      </c>
      <c r="N317" t="s">
        <v>6568</v>
      </c>
      <c r="O317" t="s">
        <v>2009</v>
      </c>
      <c r="P317" t="s">
        <v>4920</v>
      </c>
      <c r="Q317">
        <v>0</v>
      </c>
      <c r="R317" t="s">
        <v>5118</v>
      </c>
      <c r="S317" t="s">
        <v>116</v>
      </c>
      <c r="T317" t="s">
        <v>4923</v>
      </c>
      <c r="U317" t="s">
        <v>4924</v>
      </c>
      <c r="V317" t="s">
        <v>6569</v>
      </c>
      <c r="W317" t="s">
        <v>3667</v>
      </c>
      <c r="X317">
        <v>100</v>
      </c>
    </row>
    <row r="318" spans="1:24" x14ac:dyDescent="0.25">
      <c r="A318" t="s">
        <v>5176</v>
      </c>
      <c r="B318" t="s">
        <v>6521</v>
      </c>
      <c r="C318" t="s">
        <v>6522</v>
      </c>
      <c r="D318" t="s">
        <v>30</v>
      </c>
      <c r="E318" t="s">
        <v>4913</v>
      </c>
      <c r="F318" t="s">
        <v>2434</v>
      </c>
      <c r="G318">
        <f>IF(K318="Pick-up","PICKUPS",IF(K318="Staff drop-off","STAFF_DROPOFF",IF(K318="Replacements","REPLACEMENT",IF(K318="Central Stores Dispatch","CENTRAL STORES DISPATCH",IFNA(IFNA(VLOOKUP(F318,'Raw Platform Nov 4-6 2025'!C:C,1,FALSE),VLOOKUP(F318,'Raw Platform Nov 4-6 2025'!D:D,1,FALSE)),IFNA(VLOOKUP(F318,'Glovo Raw Nov 4-6 2025'!B:B,1,FALSE),"Not Matched"))))))</f>
      </c>
      <c r="H318">
        <f>COUNTIF(F:F,F318)</f>
      </c>
      <c r="I318" t="s">
        <v>6570</v>
      </c>
      <c r="J318" t="s">
        <v>4915</v>
      </c>
      <c r="K318" t="s">
        <v>4927</v>
      </c>
      <c r="L318" t="s">
        <v>6571</v>
      </c>
      <c r="M318" t="s">
        <v>6572</v>
      </c>
      <c r="N318" t="s">
        <v>6573</v>
      </c>
      <c r="O318" t="s">
        <v>5534</v>
      </c>
      <c r="P318" t="s">
        <v>6189</v>
      </c>
      <c r="Q318">
        <v>0</v>
      </c>
      <c r="R318" t="s">
        <v>5118</v>
      </c>
      <c r="S318" t="s">
        <v>29</v>
      </c>
      <c r="T318" t="s">
        <v>4923</v>
      </c>
      <c r="U318" t="s">
        <v>4924</v>
      </c>
      <c r="V318" t="s">
        <v>6574</v>
      </c>
      <c r="W318" t="s">
        <v>3667</v>
      </c>
      <c r="X318">
        <v>334.6</v>
      </c>
    </row>
    <row r="319" spans="1:24" x14ac:dyDescent="0.25">
      <c r="A319" t="s">
        <v>5176</v>
      </c>
      <c r="B319" t="s">
        <v>6521</v>
      </c>
      <c r="C319" t="s">
        <v>6522</v>
      </c>
      <c r="D319" t="s">
        <v>30</v>
      </c>
      <c r="E319" t="s">
        <v>4913</v>
      </c>
      <c r="F319" t="s">
        <v>2027</v>
      </c>
      <c r="G319">
        <f>IF(K319="Pick-up","PICKUPS",IF(K319="Staff drop-off","STAFF_DROPOFF",IF(K319="Replacements","REPLACEMENT",IF(K319="Central Stores Dispatch","CENTRAL STORES DISPATCH",IFNA(IFNA(VLOOKUP(F319,'Raw Platform Nov 4-6 2025'!C:C,1,FALSE),VLOOKUP(F319,'Raw Platform Nov 4-6 2025'!D:D,1,FALSE)),IFNA(VLOOKUP(F319,'Glovo Raw Nov 4-6 2025'!B:B,1,FALSE),"Not Matched"))))))</f>
      </c>
      <c r="H319">
        <f>COUNTIF(F:F,F319)</f>
      </c>
      <c r="I319" t="s">
        <v>6575</v>
      </c>
      <c r="J319" t="s">
        <v>4915</v>
      </c>
      <c r="K319" t="s">
        <v>4927</v>
      </c>
      <c r="L319" t="s">
        <v>6576</v>
      </c>
      <c r="M319" t="s">
        <v>5327</v>
      </c>
      <c r="N319" t="s">
        <v>6577</v>
      </c>
      <c r="O319" t="s">
        <v>16</v>
      </c>
      <c r="P319" t="s">
        <v>6241</v>
      </c>
      <c r="Q319">
        <v>0</v>
      </c>
      <c r="R319" t="s">
        <v>5118</v>
      </c>
      <c r="S319" t="s">
        <v>172</v>
      </c>
      <c r="T319" t="s">
        <v>4923</v>
      </c>
      <c r="U319" t="s">
        <v>4924</v>
      </c>
      <c r="V319" t="s">
        <v>6578</v>
      </c>
      <c r="W319" t="s">
        <v>3667</v>
      </c>
      <c r="X319">
        <v>228.8</v>
      </c>
    </row>
    <row r="320" spans="1:24" x14ac:dyDescent="0.25">
      <c r="A320" t="s">
        <v>5176</v>
      </c>
      <c r="B320" t="s">
        <v>6521</v>
      </c>
      <c r="C320" t="s">
        <v>6522</v>
      </c>
      <c r="D320" t="s">
        <v>30</v>
      </c>
      <c r="E320" t="s">
        <v>4913</v>
      </c>
      <c r="F320" t="s">
        <v>2085</v>
      </c>
      <c r="G320">
        <f>IF(K320="Pick-up","PICKUPS",IF(K320="Staff drop-off","STAFF_DROPOFF",IF(K320="Replacements","REPLACEMENT",IF(K320="Central Stores Dispatch","CENTRAL STORES DISPATCH",IFNA(IFNA(VLOOKUP(F320,'Raw Platform Nov 4-6 2025'!C:C,1,FALSE),VLOOKUP(F320,'Raw Platform Nov 4-6 2025'!D:D,1,FALSE)),IFNA(VLOOKUP(F320,'Glovo Raw Nov 4-6 2025'!B:B,1,FALSE),"Not Matched"))))))</f>
      </c>
      <c r="H320">
        <f>COUNTIF(F:F,F320)</f>
      </c>
      <c r="I320" t="s">
        <v>6579</v>
      </c>
      <c r="J320" t="s">
        <v>4915</v>
      </c>
      <c r="K320" t="s">
        <v>4916</v>
      </c>
      <c r="L320" t="s">
        <v>6580</v>
      </c>
      <c r="M320" t="s">
        <v>6581</v>
      </c>
      <c r="N320" t="s">
        <v>6582</v>
      </c>
      <c r="O320" t="s">
        <v>5183</v>
      </c>
      <c r="P320" t="s">
        <v>6583</v>
      </c>
      <c r="Q320">
        <v>1000</v>
      </c>
      <c r="R320" t="s">
        <v>5118</v>
      </c>
      <c r="S320" t="s">
        <v>50</v>
      </c>
      <c r="T320" t="s">
        <v>4923</v>
      </c>
      <c r="U320" t="s">
        <v>4924</v>
      </c>
      <c r="V320" t="s">
        <v>6584</v>
      </c>
      <c r="W320" t="s">
        <v>3667</v>
      </c>
      <c r="X320">
        <v>442.7</v>
      </c>
    </row>
    <row r="321" spans="1:24" x14ac:dyDescent="0.25">
      <c r="A321" t="s">
        <v>5176</v>
      </c>
      <c r="B321" t="s">
        <v>6521</v>
      </c>
      <c r="C321" t="s">
        <v>6522</v>
      </c>
      <c r="D321" t="s">
        <v>30</v>
      </c>
      <c r="E321" t="s">
        <v>4913</v>
      </c>
      <c r="F321" t="s">
        <v>1757</v>
      </c>
      <c r="G321">
        <f>IF(K321="Pick-up","PICKUPS",IF(K321="Staff drop-off","STAFF_DROPOFF",IF(K321="Replacements","REPLACEMENT",IF(K321="Central Stores Dispatch","CENTRAL STORES DISPATCH",IFNA(IFNA(VLOOKUP(F321,'Raw Platform Nov 4-6 2025'!C:C,1,FALSE),VLOOKUP(F321,'Raw Platform Nov 4-6 2025'!D:D,1,FALSE)),IFNA(VLOOKUP(F321,'Glovo Raw Nov 4-6 2025'!B:B,1,FALSE),"Not Matched"))))))</f>
      </c>
      <c r="H321">
        <f>COUNTIF(F:F,F321)</f>
      </c>
      <c r="I321" t="s">
        <v>6585</v>
      </c>
      <c r="J321" t="s">
        <v>4915</v>
      </c>
      <c r="K321" t="s">
        <v>4927</v>
      </c>
      <c r="L321" t="s">
        <v>6586</v>
      </c>
      <c r="M321" t="s">
        <v>5327</v>
      </c>
      <c r="N321" t="s">
        <v>5195</v>
      </c>
      <c r="O321" t="s">
        <v>4990</v>
      </c>
      <c r="P321" t="s">
        <v>5196</v>
      </c>
      <c r="Q321">
        <v>0</v>
      </c>
      <c r="R321" t="s">
        <v>5118</v>
      </c>
      <c r="S321" t="s">
        <v>116</v>
      </c>
      <c r="T321" t="s">
        <v>4923</v>
      </c>
      <c r="U321" t="s">
        <v>4924</v>
      </c>
      <c r="V321" t="s">
        <v>6587</v>
      </c>
      <c r="W321" t="s">
        <v>3667</v>
      </c>
      <c r="X321">
        <v>100</v>
      </c>
    </row>
    <row r="322" spans="1:24" x14ac:dyDescent="0.25">
      <c r="A322" t="s">
        <v>5176</v>
      </c>
      <c r="B322" t="s">
        <v>6521</v>
      </c>
      <c r="C322" t="s">
        <v>6522</v>
      </c>
      <c r="D322" t="s">
        <v>191</v>
      </c>
      <c r="E322" t="s">
        <v>4913</v>
      </c>
      <c r="F322" t="s">
        <v>2298</v>
      </c>
      <c r="G322">
        <f>IF(K322="Pick-up","PICKUPS",IF(K322="Staff drop-off","STAFF_DROPOFF",IF(K322="Replacements","REPLACEMENT",IF(K322="Central Stores Dispatch","CENTRAL STORES DISPATCH",IFNA(IFNA(VLOOKUP(F322,'Raw Platform Nov 4-6 2025'!C:C,1,FALSE),VLOOKUP(F322,'Raw Platform Nov 4-6 2025'!D:D,1,FALSE)),IFNA(VLOOKUP(F322,'Glovo Raw Nov 4-6 2025'!B:B,1,FALSE),"Not Matched"))))))</f>
      </c>
      <c r="H322">
        <f>COUNTIF(F:F,F322)</f>
      </c>
      <c r="I322" t="s">
        <v>6588</v>
      </c>
      <c r="J322" t="s">
        <v>63</v>
      </c>
      <c r="K322" t="s">
        <v>4927</v>
      </c>
      <c r="L322" t="s">
        <v>6589</v>
      </c>
      <c r="M322" t="s">
        <v>6590</v>
      </c>
      <c r="N322" t="s">
        <v>6591</v>
      </c>
      <c r="O322" t="s">
        <v>26</v>
      </c>
      <c r="P322" t="s">
        <v>6592</v>
      </c>
      <c r="Q322">
        <v>0</v>
      </c>
      <c r="R322" t="s">
        <v>5118</v>
      </c>
      <c r="S322" t="s">
        <v>5184</v>
      </c>
      <c r="T322" t="s">
        <v>4923</v>
      </c>
      <c r="U322" t="s">
        <v>4924</v>
      </c>
      <c r="V322" t="s">
        <v>6593</v>
      </c>
      <c r="W322" t="s">
        <v>3667</v>
      </c>
      <c r="X322">
        <v>155.2</v>
      </c>
    </row>
    <row r="323" spans="1:24" x14ac:dyDescent="0.25">
      <c r="A323" t="s">
        <v>5176</v>
      </c>
      <c r="B323" t="s">
        <v>6521</v>
      </c>
      <c r="C323" t="s">
        <v>6522</v>
      </c>
      <c r="D323" t="s">
        <v>30</v>
      </c>
      <c r="E323" t="s">
        <v>4913</v>
      </c>
      <c r="F323" t="s">
        <v>6594</v>
      </c>
      <c r="G323">
        <f>IF(K323="Pick-up","PICKUPS",IF(K323="Staff drop-off","STAFF_DROPOFF",IF(K323="Replacements","REPLACEMENT",IF(K323="Central Stores Dispatch","CENTRAL STORES DISPATCH",IFNA(IFNA(VLOOKUP(F323,'Raw Platform Nov 4-6 2025'!C:C,1,FALSE),VLOOKUP(F323,'Raw Platform Nov 4-6 2025'!D:D,1,FALSE)),IFNA(VLOOKUP(F323,'Glovo Raw Nov 4-6 2025'!B:B,1,FALSE),"Not Matched"))))))</f>
      </c>
      <c r="H323">
        <f>COUNTIF(F:F,F323)</f>
      </c>
      <c r="I323" t="s">
        <v>6595</v>
      </c>
      <c r="J323" t="s">
        <v>5289</v>
      </c>
      <c r="K323" t="s">
        <v>4927</v>
      </c>
      <c r="L323" t="s">
        <v>5326</v>
      </c>
      <c r="M323" t="s">
        <v>5327</v>
      </c>
      <c r="N323" t="s">
        <v>5292</v>
      </c>
      <c r="O323" t="s">
        <v>100</v>
      </c>
      <c r="P323" t="s">
        <v>5328</v>
      </c>
      <c r="Q323">
        <v>0</v>
      </c>
      <c r="R323" t="s">
        <v>5118</v>
      </c>
      <c r="S323" t="s">
        <v>5293</v>
      </c>
      <c r="T323" t="s">
        <v>4923</v>
      </c>
      <c r="U323" t="s">
        <v>4924</v>
      </c>
      <c r="V323" t="s">
        <v>6596</v>
      </c>
      <c r="W323" t="s">
        <v>3667</v>
      </c>
      <c r="X323">
        <v>205.8</v>
      </c>
    </row>
    <row r="324" spans="1:24" x14ac:dyDescent="0.25">
      <c r="A324" t="s">
        <v>5176</v>
      </c>
      <c r="B324" t="s">
        <v>6521</v>
      </c>
      <c r="C324" t="s">
        <v>6522</v>
      </c>
      <c r="D324" t="s">
        <v>30</v>
      </c>
      <c r="E324" t="s">
        <v>4913</v>
      </c>
      <c r="F324" t="s">
        <v>2075</v>
      </c>
      <c r="G324">
        <f>IF(K324="Pick-up","PICKUPS",IF(K324="Staff drop-off","STAFF_DROPOFF",IF(K324="Replacements","REPLACEMENT",IF(K324="Central Stores Dispatch","CENTRAL STORES DISPATCH",IFNA(IFNA(VLOOKUP(F324,'Raw Platform Nov 4-6 2025'!C:C,1,FALSE),VLOOKUP(F324,'Raw Platform Nov 4-6 2025'!D:D,1,FALSE)),IFNA(VLOOKUP(F324,'Glovo Raw Nov 4-6 2025'!B:B,1,FALSE),"Not Matched"))))))</f>
      </c>
      <c r="H324">
        <f>COUNTIF(F:F,F324)</f>
      </c>
      <c r="I324" t="s">
        <v>6597</v>
      </c>
      <c r="J324" t="s">
        <v>4915</v>
      </c>
      <c r="K324" t="s">
        <v>4927</v>
      </c>
      <c r="L324" t="s">
        <v>6598</v>
      </c>
      <c r="M324" t="s">
        <v>6599</v>
      </c>
      <c r="N324" t="s">
        <v>6600</v>
      </c>
      <c r="O324" t="s">
        <v>2009</v>
      </c>
      <c r="P324" t="s">
        <v>4920</v>
      </c>
      <c r="Q324">
        <v>0</v>
      </c>
      <c r="R324" t="s">
        <v>5118</v>
      </c>
      <c r="S324" t="s">
        <v>45</v>
      </c>
      <c r="T324" t="s">
        <v>4923</v>
      </c>
      <c r="U324" t="s">
        <v>4924</v>
      </c>
      <c r="V324" t="s">
        <v>6601</v>
      </c>
      <c r="W324" t="s">
        <v>3667</v>
      </c>
      <c r="X324">
        <v>100</v>
      </c>
    </row>
    <row r="325" spans="1:24" x14ac:dyDescent="0.25">
      <c r="A325" t="s">
        <v>5176</v>
      </c>
      <c r="B325" t="s">
        <v>6521</v>
      </c>
      <c r="C325" t="s">
        <v>6522</v>
      </c>
      <c r="D325" t="s">
        <v>30</v>
      </c>
      <c r="E325" t="s">
        <v>4913</v>
      </c>
      <c r="F325" t="s">
        <v>2453</v>
      </c>
      <c r="G325">
        <f>IF(K325="Pick-up","PICKUPS",IF(K325="Staff drop-off","STAFF_DROPOFF",IF(K325="Replacements","REPLACEMENT",IF(K325="Central Stores Dispatch","CENTRAL STORES DISPATCH",IFNA(IFNA(VLOOKUP(F325,'Raw Platform Nov 4-6 2025'!C:C,1,FALSE),VLOOKUP(F325,'Raw Platform Nov 4-6 2025'!D:D,1,FALSE)),IFNA(VLOOKUP(F325,'Glovo Raw Nov 4-6 2025'!B:B,1,FALSE),"Not Matched"))))))</f>
      </c>
      <c r="H325">
        <f>COUNTIF(F:F,F325)</f>
      </c>
      <c r="I325" t="s">
        <v>6602</v>
      </c>
      <c r="J325" t="s">
        <v>4915</v>
      </c>
      <c r="K325" t="s">
        <v>4927</v>
      </c>
      <c r="L325" t="s">
        <v>6603</v>
      </c>
      <c r="M325" t="s">
        <v>6604</v>
      </c>
      <c r="N325" t="s">
        <v>4973</v>
      </c>
      <c r="O325" t="s">
        <v>123</v>
      </c>
      <c r="P325" t="s">
        <v>5820</v>
      </c>
      <c r="Q325">
        <v>0</v>
      </c>
      <c r="R325" t="s">
        <v>5118</v>
      </c>
      <c r="S325" t="s">
        <v>116</v>
      </c>
      <c r="T325" t="s">
        <v>4923</v>
      </c>
      <c r="U325" t="s">
        <v>4924</v>
      </c>
      <c r="V325" t="s">
        <v>6605</v>
      </c>
      <c r="W325" t="s">
        <v>3667</v>
      </c>
      <c r="X325">
        <v>139.1</v>
      </c>
    </row>
    <row r="326" spans="1:24" x14ac:dyDescent="0.25">
      <c r="A326" t="s">
        <v>5176</v>
      </c>
      <c r="B326" t="s">
        <v>6521</v>
      </c>
      <c r="C326" t="s">
        <v>6522</v>
      </c>
      <c r="D326" t="s">
        <v>30</v>
      </c>
      <c r="E326" t="s">
        <v>4913</v>
      </c>
      <c r="F326" t="s">
        <v>2902</v>
      </c>
      <c r="G326">
        <f>IF(K326="Pick-up","PICKUPS",IF(K326="Staff drop-off","STAFF_DROPOFF",IF(K326="Replacements","REPLACEMENT",IF(K326="Central Stores Dispatch","CENTRAL STORES DISPATCH",IFNA(IFNA(VLOOKUP(F326,'Raw Platform Nov 4-6 2025'!C:C,1,FALSE),VLOOKUP(F326,'Raw Platform Nov 4-6 2025'!D:D,1,FALSE)),IFNA(VLOOKUP(F326,'Glovo Raw Nov 4-6 2025'!B:B,1,FALSE),"Not Matched"))))))</f>
      </c>
      <c r="H326">
        <f>COUNTIF(F:F,F326)</f>
      </c>
      <c r="I326" t="s">
        <v>6606</v>
      </c>
      <c r="J326" t="s">
        <v>4915</v>
      </c>
      <c r="K326" t="s">
        <v>4916</v>
      </c>
      <c r="L326" t="s">
        <v>6607</v>
      </c>
      <c r="M326" t="s">
        <v>6608</v>
      </c>
      <c r="N326" t="s">
        <v>6609</v>
      </c>
      <c r="O326" t="s">
        <v>42</v>
      </c>
      <c r="P326" t="s">
        <v>5410</v>
      </c>
      <c r="Q326">
        <v>1531</v>
      </c>
      <c r="R326" t="s">
        <v>5118</v>
      </c>
      <c r="S326" t="s">
        <v>12</v>
      </c>
      <c r="T326" t="s">
        <v>4923</v>
      </c>
      <c r="U326" t="s">
        <v>4924</v>
      </c>
      <c r="V326" t="s">
        <v>6610</v>
      </c>
      <c r="W326" t="s">
        <v>3667</v>
      </c>
      <c r="X326">
        <v>277.1</v>
      </c>
    </row>
    <row r="327" spans="1:24" x14ac:dyDescent="0.25">
      <c r="A327" t="s">
        <v>5176</v>
      </c>
      <c r="B327" t="s">
        <v>6521</v>
      </c>
      <c r="C327" t="s">
        <v>6522</v>
      </c>
      <c r="D327" t="s">
        <v>30</v>
      </c>
      <c r="E327" t="s">
        <v>4913</v>
      </c>
      <c r="F327" t="s">
        <v>2721</v>
      </c>
      <c r="G327">
        <f>IF(K327="Pick-up","PICKUPS",IF(K327="Staff drop-off","STAFF_DROPOFF",IF(K327="Replacements","REPLACEMENT",IF(K327="Central Stores Dispatch","CENTRAL STORES DISPATCH",IFNA(IFNA(VLOOKUP(F327,'Raw Platform Nov 4-6 2025'!C:C,1,FALSE),VLOOKUP(F327,'Raw Platform Nov 4-6 2025'!D:D,1,FALSE)),IFNA(VLOOKUP(F327,'Glovo Raw Nov 4-6 2025'!B:B,1,FALSE),"Not Matched"))))))</f>
      </c>
      <c r="H327">
        <f>COUNTIF(F:F,F327)</f>
      </c>
      <c r="I327" t="s">
        <v>6611</v>
      </c>
      <c r="J327" t="s">
        <v>63</v>
      </c>
      <c r="K327" t="s">
        <v>4927</v>
      </c>
      <c r="L327" t="s">
        <v>6612</v>
      </c>
      <c r="M327" t="s">
        <v>5327</v>
      </c>
      <c r="N327" t="s">
        <v>6613</v>
      </c>
      <c r="O327" t="s">
        <v>16</v>
      </c>
      <c r="P327" t="s">
        <v>4962</v>
      </c>
      <c r="Q327">
        <v>0</v>
      </c>
      <c r="R327" t="s">
        <v>5118</v>
      </c>
      <c r="S327" t="s">
        <v>172</v>
      </c>
      <c r="T327" t="s">
        <v>4923</v>
      </c>
      <c r="U327" t="s">
        <v>4924</v>
      </c>
      <c r="V327" t="s">
        <v>6614</v>
      </c>
      <c r="W327" t="s">
        <v>3667</v>
      </c>
      <c r="X327">
        <v>180.5</v>
      </c>
    </row>
    <row r="328" spans="1:24" x14ac:dyDescent="0.25">
      <c r="A328" t="s">
        <v>5176</v>
      </c>
      <c r="B328" t="s">
        <v>6521</v>
      </c>
      <c r="C328" t="s">
        <v>6522</v>
      </c>
      <c r="D328" t="s">
        <v>30</v>
      </c>
      <c r="E328" t="s">
        <v>4913</v>
      </c>
      <c r="F328" t="s">
        <v>3280</v>
      </c>
      <c r="G328">
        <f>IF(K328="Pick-up","PICKUPS",IF(K328="Staff drop-off","STAFF_DROPOFF",IF(K328="Replacements","REPLACEMENT",IF(K328="Central Stores Dispatch","CENTRAL STORES DISPATCH",IFNA(IFNA(VLOOKUP(F328,'Raw Platform Nov 4-6 2025'!C:C,1,FALSE),VLOOKUP(F328,'Raw Platform Nov 4-6 2025'!D:D,1,FALSE)),IFNA(VLOOKUP(F328,'Glovo Raw Nov 4-6 2025'!B:B,1,FALSE),"Not Matched"))))))</f>
      </c>
      <c r="H328">
        <f>COUNTIF(F:F,F328)</f>
      </c>
      <c r="I328" t="s">
        <v>6615</v>
      </c>
      <c r="J328" t="s">
        <v>4915</v>
      </c>
      <c r="K328" t="s">
        <v>4927</v>
      </c>
      <c r="L328" t="s">
        <v>6616</v>
      </c>
      <c r="M328" t="s">
        <v>5327</v>
      </c>
      <c r="N328" t="s">
        <v>6617</v>
      </c>
      <c r="O328" t="s">
        <v>4962</v>
      </c>
      <c r="P328" t="s">
        <v>5097</v>
      </c>
      <c r="Q328">
        <v>0</v>
      </c>
      <c r="R328" t="s">
        <v>5118</v>
      </c>
      <c r="S328" t="s">
        <v>172</v>
      </c>
      <c r="T328" t="s">
        <v>4923</v>
      </c>
      <c r="U328" t="s">
        <v>4924</v>
      </c>
      <c r="V328" t="s">
        <v>6618</v>
      </c>
      <c r="W328" t="s">
        <v>3667</v>
      </c>
      <c r="X328">
        <v>100</v>
      </c>
    </row>
    <row r="329" spans="1:24" x14ac:dyDescent="0.25">
      <c r="A329" t="s">
        <v>5176</v>
      </c>
      <c r="B329" t="s">
        <v>6521</v>
      </c>
      <c r="C329" t="s">
        <v>6522</v>
      </c>
      <c r="D329" t="s">
        <v>30</v>
      </c>
      <c r="E329" t="s">
        <v>4913</v>
      </c>
      <c r="F329" t="s">
        <v>3023</v>
      </c>
      <c r="G329">
        <f>IF(K329="Pick-up","PICKUPS",IF(K329="Staff drop-off","STAFF_DROPOFF",IF(K329="Replacements","REPLACEMENT",IF(K329="Central Stores Dispatch","CENTRAL STORES DISPATCH",IFNA(IFNA(VLOOKUP(F329,'Raw Platform Nov 4-6 2025'!C:C,1,FALSE),VLOOKUP(F329,'Raw Platform Nov 4-6 2025'!D:D,1,FALSE)),IFNA(VLOOKUP(F329,'Glovo Raw Nov 4-6 2025'!B:B,1,FALSE),"Not Matched"))))))</f>
      </c>
      <c r="H329">
        <f>COUNTIF(F:F,F329)</f>
      </c>
      <c r="I329" t="s">
        <v>6619</v>
      </c>
      <c r="J329" t="s">
        <v>5028</v>
      </c>
      <c r="K329" t="s">
        <v>4916</v>
      </c>
      <c r="L329" t="s">
        <v>6620</v>
      </c>
      <c r="M329" t="s">
        <v>6621</v>
      </c>
      <c r="N329" t="s">
        <v>6622</v>
      </c>
      <c r="O329" t="s">
        <v>5469</v>
      </c>
      <c r="P329" t="s">
        <v>5558</v>
      </c>
      <c r="Q329">
        <v>1520</v>
      </c>
      <c r="R329" t="s">
        <v>5118</v>
      </c>
      <c r="S329" t="s">
        <v>45</v>
      </c>
      <c r="T329" t="s">
        <v>4923</v>
      </c>
      <c r="U329" t="s">
        <v>4924</v>
      </c>
      <c r="V329" t="s">
        <v>6623</v>
      </c>
      <c r="W329" t="s">
        <v>3667</v>
      </c>
      <c r="X329">
        <v>357.6</v>
      </c>
    </row>
    <row r="330" spans="1:24" x14ac:dyDescent="0.25">
      <c r="A330" t="s">
        <v>5176</v>
      </c>
      <c r="B330" t="s">
        <v>6521</v>
      </c>
      <c r="C330" t="s">
        <v>6522</v>
      </c>
      <c r="D330" t="s">
        <v>30</v>
      </c>
      <c r="E330" t="s">
        <v>4913</v>
      </c>
      <c r="F330" t="s">
        <v>2880</v>
      </c>
      <c r="G330">
        <f>IF(K330="Pick-up","PICKUPS",IF(K330="Staff drop-off","STAFF_DROPOFF",IF(K330="Replacements","REPLACEMENT",IF(K330="Central Stores Dispatch","CENTRAL STORES DISPATCH",IFNA(IFNA(VLOOKUP(F330,'Raw Platform Nov 4-6 2025'!C:C,1,FALSE),VLOOKUP(F330,'Raw Platform Nov 4-6 2025'!D:D,1,FALSE)),IFNA(VLOOKUP(F330,'Glovo Raw Nov 4-6 2025'!B:B,1,FALSE),"Not Matched"))))))</f>
      </c>
      <c r="H330">
        <f>COUNTIF(F:F,F330)</f>
      </c>
      <c r="I330" t="s">
        <v>6624</v>
      </c>
      <c r="J330" t="s">
        <v>4915</v>
      </c>
      <c r="K330" t="s">
        <v>4927</v>
      </c>
      <c r="L330" t="s">
        <v>6625</v>
      </c>
      <c r="M330" t="s">
        <v>6626</v>
      </c>
      <c r="N330" t="s">
        <v>6627</v>
      </c>
      <c r="O330" t="s">
        <v>91</v>
      </c>
      <c r="P330" t="s">
        <v>6628</v>
      </c>
      <c r="Q330">
        <v>0</v>
      </c>
      <c r="R330" t="s">
        <v>5118</v>
      </c>
      <c r="S330" t="s">
        <v>172</v>
      </c>
      <c r="T330" t="s">
        <v>4923</v>
      </c>
      <c r="U330" t="s">
        <v>4924</v>
      </c>
      <c r="V330" t="s">
        <v>6629</v>
      </c>
      <c r="W330" t="s">
        <v>3667</v>
      </c>
      <c r="X330">
        <v>231.1</v>
      </c>
    </row>
    <row r="331" spans="1:24" x14ac:dyDescent="0.25">
      <c r="A331" t="s">
        <v>5176</v>
      </c>
      <c r="B331" t="s">
        <v>6521</v>
      </c>
      <c r="C331" t="s">
        <v>6522</v>
      </c>
      <c r="D331" t="s">
        <v>30</v>
      </c>
      <c r="E331" t="s">
        <v>4913</v>
      </c>
      <c r="F331" t="s">
        <v>6630</v>
      </c>
      <c r="G331">
        <f>IF(K331="Pick-up","PICKUPS",IF(K331="Staff drop-off","STAFF_DROPOFF",IF(K331="Replacements","REPLACEMENT",IF(K331="Central Stores Dispatch","CENTRAL STORES DISPATCH",IFNA(IFNA(VLOOKUP(F331,'Raw Platform Nov 4-6 2025'!C:C,1,FALSE),VLOOKUP(F331,'Raw Platform Nov 4-6 2025'!D:D,1,FALSE)),IFNA(VLOOKUP(F331,'Glovo Raw Nov 4-6 2025'!B:B,1,FALSE),"Not Matched"))))))</f>
      </c>
      <c r="H331">
        <f>COUNTIF(F:F,F331)</f>
      </c>
      <c r="I331" t="s">
        <v>6631</v>
      </c>
      <c r="J331" t="s">
        <v>5289</v>
      </c>
      <c r="K331" t="s">
        <v>4927</v>
      </c>
      <c r="L331" t="s">
        <v>5326</v>
      </c>
      <c r="M331" t="s">
        <v>5327</v>
      </c>
      <c r="N331" t="s">
        <v>5292</v>
      </c>
      <c r="O331" t="s">
        <v>100</v>
      </c>
      <c r="P331" t="s">
        <v>5328</v>
      </c>
      <c r="Q331">
        <v>0</v>
      </c>
      <c r="R331" t="s">
        <v>5118</v>
      </c>
      <c r="S331" t="s">
        <v>116</v>
      </c>
      <c r="T331" t="s">
        <v>4923</v>
      </c>
      <c r="U331" t="s">
        <v>4924</v>
      </c>
      <c r="V331" t="s">
        <v>6632</v>
      </c>
      <c r="W331" t="s">
        <v>3667</v>
      </c>
      <c r="X331">
        <v>205.8</v>
      </c>
    </row>
    <row r="332" spans="1:24" x14ac:dyDescent="0.25">
      <c r="A332" t="s">
        <v>5176</v>
      </c>
      <c r="B332" t="s">
        <v>6521</v>
      </c>
      <c r="C332" t="s">
        <v>6522</v>
      </c>
      <c r="D332" t="s">
        <v>30</v>
      </c>
      <c r="E332" t="s">
        <v>4913</v>
      </c>
      <c r="F332" t="s">
        <v>2599</v>
      </c>
      <c r="G332">
        <f>IF(K332="Pick-up","PICKUPS",IF(K332="Staff drop-off","STAFF_DROPOFF",IF(K332="Replacements","REPLACEMENT",IF(K332="Central Stores Dispatch","CENTRAL STORES DISPATCH",IFNA(IFNA(VLOOKUP(F332,'Raw Platform Nov 4-6 2025'!C:C,1,FALSE),VLOOKUP(F332,'Raw Platform Nov 4-6 2025'!D:D,1,FALSE)),IFNA(VLOOKUP(F332,'Glovo Raw Nov 4-6 2025'!B:B,1,FALSE),"Not Matched"))))))</f>
      </c>
      <c r="H332">
        <f>COUNTIF(F:F,F332)</f>
      </c>
      <c r="I332" t="s">
        <v>6633</v>
      </c>
      <c r="J332" t="s">
        <v>4915</v>
      </c>
      <c r="K332" t="s">
        <v>4916</v>
      </c>
      <c r="L332" t="s">
        <v>6634</v>
      </c>
      <c r="M332" t="s">
        <v>6635</v>
      </c>
      <c r="N332" t="s">
        <v>6636</v>
      </c>
      <c r="O332" t="s">
        <v>6079</v>
      </c>
      <c r="P332" t="s">
        <v>6637</v>
      </c>
      <c r="Q332">
        <v>1403</v>
      </c>
      <c r="R332" t="s">
        <v>5118</v>
      </c>
      <c r="S332" t="s">
        <v>172</v>
      </c>
      <c r="T332" t="s">
        <v>4923</v>
      </c>
      <c r="U332" t="s">
        <v>4924</v>
      </c>
      <c r="V332" t="s">
        <v>6638</v>
      </c>
      <c r="W332" t="s">
        <v>3667</v>
      </c>
      <c r="X332">
        <v>376</v>
      </c>
    </row>
    <row r="333" spans="1:24" x14ac:dyDescent="0.25">
      <c r="A333" t="s">
        <v>5130</v>
      </c>
      <c r="B333" t="s">
        <v>6521</v>
      </c>
      <c r="C333" t="s">
        <v>6522</v>
      </c>
      <c r="D333" t="s">
        <v>24</v>
      </c>
      <c r="E333" t="s">
        <v>4913</v>
      </c>
      <c r="F333" t="s">
        <v>3271</v>
      </c>
      <c r="G333">
        <f>IF(K333="Pick-up","PICKUPS",IF(K333="Staff drop-off","STAFF_DROPOFF",IF(K333="Replacements","REPLACEMENT",IF(K333="Central Stores Dispatch","CENTRAL STORES DISPATCH",IFNA(IFNA(VLOOKUP(F333,'Raw Platform Nov 4-6 2025'!C:C,1,FALSE),VLOOKUP(F333,'Raw Platform Nov 4-6 2025'!D:D,1,FALSE)),IFNA(VLOOKUP(F333,'Glovo Raw Nov 4-6 2025'!B:B,1,FALSE),"Not Matched"))))))</f>
      </c>
      <c r="H333">
        <f>COUNTIF(F:F,F333)</f>
      </c>
      <c r="I333" t="s">
        <v>6639</v>
      </c>
      <c r="J333" t="s">
        <v>63</v>
      </c>
      <c r="K333" t="s">
        <v>4916</v>
      </c>
      <c r="L333" t="s">
        <v>6640</v>
      </c>
      <c r="M333" t="s">
        <v>5217</v>
      </c>
      <c r="N333" t="s">
        <v>6641</v>
      </c>
      <c r="O333" t="s">
        <v>4962</v>
      </c>
      <c r="P333" t="s">
        <v>6235</v>
      </c>
      <c r="Q333">
        <v>1229.6</v>
      </c>
      <c r="R333" t="s">
        <v>5118</v>
      </c>
      <c r="S333" t="s">
        <v>35</v>
      </c>
      <c r="T333" t="s">
        <v>4923</v>
      </c>
      <c r="U333" t="s">
        <v>4924</v>
      </c>
      <c r="V333" t="s">
        <v>6642</v>
      </c>
      <c r="W333" t="s">
        <v>3667</v>
      </c>
      <c r="X333">
        <v>104.6</v>
      </c>
    </row>
    <row r="334" spans="1:24" x14ac:dyDescent="0.25">
      <c r="A334" t="s">
        <v>5176</v>
      </c>
      <c r="B334" t="s">
        <v>6521</v>
      </c>
      <c r="C334" t="s">
        <v>6522</v>
      </c>
      <c r="D334" t="s">
        <v>30</v>
      </c>
      <c r="E334" t="s">
        <v>4913</v>
      </c>
      <c r="F334" t="s">
        <v>6643</v>
      </c>
      <c r="G334">
        <f>IF(K334="Pick-up","PICKUPS",IF(K334="Staff drop-off","STAFF_DROPOFF",IF(K334="Replacements","REPLACEMENT",IF(K334="Central Stores Dispatch","CENTRAL STORES DISPATCH",IFNA(IFNA(VLOOKUP(F334,'Raw Platform Nov 4-6 2025'!C:C,1,FALSE),VLOOKUP(F334,'Raw Platform Nov 4-6 2025'!D:D,1,FALSE)),IFNA(VLOOKUP(F334,'Glovo Raw Nov 4-6 2025'!B:B,1,FALSE),"Not Matched"))))))</f>
      </c>
      <c r="H334">
        <f>COUNTIF(F:F,F334)</f>
      </c>
      <c r="I334" t="s">
        <v>6644</v>
      </c>
      <c r="J334" t="s">
        <v>5289</v>
      </c>
      <c r="K334" t="s">
        <v>4927</v>
      </c>
      <c r="L334" t="s">
        <v>5326</v>
      </c>
      <c r="M334" t="s">
        <v>5327</v>
      </c>
      <c r="N334" t="s">
        <v>5292</v>
      </c>
      <c r="O334" t="s">
        <v>100</v>
      </c>
      <c r="P334" t="s">
        <v>5328</v>
      </c>
      <c r="Q334">
        <v>0</v>
      </c>
      <c r="R334" t="s">
        <v>5118</v>
      </c>
      <c r="S334" t="s">
        <v>116</v>
      </c>
      <c r="T334" t="s">
        <v>4923</v>
      </c>
      <c r="U334" t="s">
        <v>4924</v>
      </c>
      <c r="V334" t="s">
        <v>6645</v>
      </c>
      <c r="W334" t="s">
        <v>3667</v>
      </c>
      <c r="X334">
        <v>205.8</v>
      </c>
    </row>
    <row r="335" spans="1:24" x14ac:dyDescent="0.25">
      <c r="A335" t="s">
        <v>5176</v>
      </c>
      <c r="B335" t="s">
        <v>6521</v>
      </c>
      <c r="C335" t="s">
        <v>6522</v>
      </c>
      <c r="D335" t="s">
        <v>30</v>
      </c>
      <c r="E335" t="s">
        <v>4913</v>
      </c>
      <c r="F335" t="s">
        <v>2759</v>
      </c>
      <c r="G335">
        <f>IF(K335="Pick-up","PICKUPS",IF(K335="Staff drop-off","STAFF_DROPOFF",IF(K335="Replacements","REPLACEMENT",IF(K335="Central Stores Dispatch","CENTRAL STORES DISPATCH",IFNA(IFNA(VLOOKUP(F335,'Raw Platform Nov 4-6 2025'!C:C,1,FALSE),VLOOKUP(F335,'Raw Platform Nov 4-6 2025'!D:D,1,FALSE)),IFNA(VLOOKUP(F335,'Glovo Raw Nov 4-6 2025'!B:B,1,FALSE),"Not Matched"))))))</f>
      </c>
      <c r="H335">
        <f>COUNTIF(F:F,F335)</f>
      </c>
      <c r="I335" t="s">
        <v>6646</v>
      </c>
      <c r="J335" t="s">
        <v>4915</v>
      </c>
      <c r="K335" t="s">
        <v>4927</v>
      </c>
      <c r="L335" t="s">
        <v>6647</v>
      </c>
      <c r="M335" t="s">
        <v>5327</v>
      </c>
      <c r="N335" t="s">
        <v>4973</v>
      </c>
      <c r="O335" t="s">
        <v>123</v>
      </c>
      <c r="P335" t="s">
        <v>5820</v>
      </c>
      <c r="Q335">
        <v>0</v>
      </c>
      <c r="R335" t="s">
        <v>5118</v>
      </c>
      <c r="S335" t="s">
        <v>12</v>
      </c>
      <c r="T335" t="s">
        <v>4923</v>
      </c>
      <c r="U335" t="s">
        <v>4924</v>
      </c>
      <c r="V335" t="s">
        <v>6648</v>
      </c>
      <c r="W335" t="s">
        <v>3667</v>
      </c>
      <c r="X335">
        <v>139.1</v>
      </c>
    </row>
    <row r="336" spans="1:24" x14ac:dyDescent="0.25">
      <c r="A336" t="s">
        <v>5176</v>
      </c>
      <c r="B336" t="s">
        <v>6649</v>
      </c>
      <c r="C336" t="s">
        <v>6650</v>
      </c>
      <c r="D336" t="s">
        <v>30</v>
      </c>
      <c r="E336" t="s">
        <v>4913</v>
      </c>
      <c r="F336" t="s">
        <v>472</v>
      </c>
      <c r="G336">
        <f>IF(K336="Pick-up","PICKUPS",IF(K336="Staff drop-off","STAFF_DROPOFF",IF(K336="Replacements","REPLACEMENT",IF(K336="Central Stores Dispatch","CENTRAL STORES DISPATCH",IFNA(IFNA(VLOOKUP(F336,'Raw Platform Nov 4-6 2025'!C:C,1,FALSE),VLOOKUP(F336,'Raw Platform Nov 4-6 2025'!D:D,1,FALSE)),IFNA(VLOOKUP(F336,'Glovo Raw Nov 4-6 2025'!B:B,1,FALSE),"Not Matched"))))))</f>
      </c>
      <c r="H336">
        <f>COUNTIF(F:F,F336)</f>
      </c>
      <c r="I336" t="s">
        <v>6651</v>
      </c>
      <c r="J336" t="s">
        <v>63</v>
      </c>
      <c r="K336" t="s">
        <v>4927</v>
      </c>
      <c r="L336" t="s">
        <v>6652</v>
      </c>
      <c r="M336" t="s">
        <v>6653</v>
      </c>
      <c r="N336" t="s">
        <v>6654</v>
      </c>
      <c r="O336" t="s">
        <v>2009</v>
      </c>
      <c r="P336" t="s">
        <v>5019</v>
      </c>
      <c r="Q336">
        <v>0</v>
      </c>
      <c r="R336" t="s">
        <v>4922</v>
      </c>
      <c r="S336" t="s">
        <v>45</v>
      </c>
      <c r="T336" t="s">
        <v>4923</v>
      </c>
      <c r="U336" t="s">
        <v>4924</v>
      </c>
      <c r="V336" t="s">
        <v>6655</v>
      </c>
      <c r="W336" t="s">
        <v>3667</v>
      </c>
      <c r="X336">
        <v>100</v>
      </c>
    </row>
    <row r="337" spans="1:24" x14ac:dyDescent="0.25">
      <c r="A337" t="s">
        <v>5176</v>
      </c>
      <c r="B337" t="s">
        <v>6649</v>
      </c>
      <c r="C337" t="s">
        <v>6650</v>
      </c>
      <c r="D337" t="s">
        <v>30</v>
      </c>
      <c r="E337" t="s">
        <v>4913</v>
      </c>
      <c r="F337" t="s">
        <v>1323</v>
      </c>
      <c r="G337">
        <f>IF(K337="Pick-up","PICKUPS",IF(K337="Staff drop-off","STAFF_DROPOFF",IF(K337="Replacements","REPLACEMENT",IF(K337="Central Stores Dispatch","CENTRAL STORES DISPATCH",IFNA(IFNA(VLOOKUP(F337,'Raw Platform Nov 4-6 2025'!C:C,1,FALSE),VLOOKUP(F337,'Raw Platform Nov 4-6 2025'!D:D,1,FALSE)),IFNA(VLOOKUP(F337,'Glovo Raw Nov 4-6 2025'!B:B,1,FALSE),"Not Matched"))))))</f>
      </c>
      <c r="H337">
        <f>COUNTIF(F:F,F337)</f>
      </c>
      <c r="I337" t="s">
        <v>6656</v>
      </c>
      <c r="J337" t="s">
        <v>4915</v>
      </c>
      <c r="K337" t="s">
        <v>4927</v>
      </c>
      <c r="L337" t="s">
        <v>6657</v>
      </c>
      <c r="M337" t="s">
        <v>6658</v>
      </c>
      <c r="N337" t="s">
        <v>6024</v>
      </c>
      <c r="O337" t="s">
        <v>73</v>
      </c>
      <c r="P337" t="s">
        <v>5128</v>
      </c>
      <c r="Q337">
        <v>0</v>
      </c>
      <c r="R337" t="s">
        <v>4922</v>
      </c>
      <c r="S337" t="s">
        <v>12</v>
      </c>
      <c r="T337" t="s">
        <v>4923</v>
      </c>
      <c r="U337" t="s">
        <v>4924</v>
      </c>
      <c r="V337" t="s">
        <v>6659</v>
      </c>
      <c r="W337" t="s">
        <v>3667</v>
      </c>
      <c r="X337">
        <v>116.1</v>
      </c>
    </row>
    <row r="338" spans="1:24" x14ac:dyDescent="0.25">
      <c r="A338" t="s">
        <v>5176</v>
      </c>
      <c r="B338" t="s">
        <v>6649</v>
      </c>
      <c r="C338" t="s">
        <v>6650</v>
      </c>
      <c r="D338" t="s">
        <v>30</v>
      </c>
      <c r="E338" t="s">
        <v>4913</v>
      </c>
      <c r="F338" t="s">
        <v>619</v>
      </c>
      <c r="G338">
        <f>IF(K338="Pick-up","PICKUPS",IF(K338="Staff drop-off","STAFF_DROPOFF",IF(K338="Replacements","REPLACEMENT",IF(K338="Central Stores Dispatch","CENTRAL STORES DISPATCH",IFNA(IFNA(VLOOKUP(F338,'Raw Platform Nov 4-6 2025'!C:C,1,FALSE),VLOOKUP(F338,'Raw Platform Nov 4-6 2025'!D:D,1,FALSE)),IFNA(VLOOKUP(F338,'Glovo Raw Nov 4-6 2025'!B:B,1,FALSE),"Not Matched"))))))</f>
      </c>
      <c r="H338">
        <f>COUNTIF(F:F,F338)</f>
      </c>
      <c r="I338" t="s">
        <v>6660</v>
      </c>
      <c r="J338" t="s">
        <v>63</v>
      </c>
      <c r="K338" t="s">
        <v>4916</v>
      </c>
      <c r="L338" t="s">
        <v>6661</v>
      </c>
      <c r="M338" t="s">
        <v>6662</v>
      </c>
      <c r="N338" t="s">
        <v>6663</v>
      </c>
      <c r="O338" t="s">
        <v>113</v>
      </c>
      <c r="P338" t="s">
        <v>6305</v>
      </c>
      <c r="Q338">
        <v>2248</v>
      </c>
      <c r="R338" t="s">
        <v>4922</v>
      </c>
      <c r="S338" t="s">
        <v>172</v>
      </c>
      <c r="T338" t="s">
        <v>4923</v>
      </c>
      <c r="U338" t="s">
        <v>4924</v>
      </c>
      <c r="V338" t="s">
        <v>6664</v>
      </c>
      <c r="W338" t="s">
        <v>3667</v>
      </c>
      <c r="X338">
        <v>143.7</v>
      </c>
    </row>
    <row r="339" spans="1:24" x14ac:dyDescent="0.25">
      <c r="A339" t="s">
        <v>5176</v>
      </c>
      <c r="B339" t="s">
        <v>6649</v>
      </c>
      <c r="C339" t="s">
        <v>6650</v>
      </c>
      <c r="D339" t="s">
        <v>30</v>
      </c>
      <c r="E339" t="s">
        <v>4913</v>
      </c>
      <c r="F339" t="s">
        <v>489</v>
      </c>
      <c r="G339">
        <f>IF(K339="Pick-up","PICKUPS",IF(K339="Staff drop-off","STAFF_DROPOFF",IF(K339="Replacements","REPLACEMENT",IF(K339="Central Stores Dispatch","CENTRAL STORES DISPATCH",IFNA(IFNA(VLOOKUP(F339,'Raw Platform Nov 4-6 2025'!C:C,1,FALSE),VLOOKUP(F339,'Raw Platform Nov 4-6 2025'!D:D,1,FALSE)),IFNA(VLOOKUP(F339,'Glovo Raw Nov 4-6 2025'!B:B,1,FALSE),"Not Matched"))))))</f>
      </c>
      <c r="H339">
        <f>COUNTIF(F:F,F339)</f>
      </c>
      <c r="I339" t="s">
        <v>6665</v>
      </c>
      <c r="J339" t="s">
        <v>4915</v>
      </c>
      <c r="K339" t="s">
        <v>4927</v>
      </c>
      <c r="L339" t="s">
        <v>6666</v>
      </c>
      <c r="M339" t="s">
        <v>6667</v>
      </c>
      <c r="N339" t="s">
        <v>4973</v>
      </c>
      <c r="O339" t="s">
        <v>123</v>
      </c>
      <c r="P339" t="s">
        <v>5820</v>
      </c>
      <c r="Q339">
        <v>0</v>
      </c>
      <c r="R339" t="s">
        <v>4922</v>
      </c>
      <c r="S339" t="s">
        <v>29</v>
      </c>
      <c r="T339" t="s">
        <v>4923</v>
      </c>
      <c r="U339" t="s">
        <v>4924</v>
      </c>
      <c r="V339" t="s">
        <v>6668</v>
      </c>
      <c r="W339" t="s">
        <v>3667</v>
      </c>
      <c r="X339">
        <v>139.1</v>
      </c>
    </row>
    <row r="340" spans="1:24" x14ac:dyDescent="0.25">
      <c r="A340" t="s">
        <v>5176</v>
      </c>
      <c r="B340" t="s">
        <v>6649</v>
      </c>
      <c r="C340" t="s">
        <v>6650</v>
      </c>
      <c r="D340" t="s">
        <v>30</v>
      </c>
      <c r="E340" t="s">
        <v>4913</v>
      </c>
      <c r="F340" t="s">
        <v>300</v>
      </c>
      <c r="G340">
        <f>IF(K340="Pick-up","PICKUPS",IF(K340="Staff drop-off","STAFF_DROPOFF",IF(K340="Replacements","REPLACEMENT",IF(K340="Central Stores Dispatch","CENTRAL STORES DISPATCH",IFNA(IFNA(VLOOKUP(F340,'Raw Platform Nov 4-6 2025'!C:C,1,FALSE),VLOOKUP(F340,'Raw Platform Nov 4-6 2025'!D:D,1,FALSE)),IFNA(VLOOKUP(F340,'Glovo Raw Nov 4-6 2025'!B:B,1,FALSE),"Not Matched"))))))</f>
      </c>
      <c r="H340">
        <f>COUNTIF(F:F,F340)</f>
      </c>
      <c r="I340" t="s">
        <v>6669</v>
      </c>
      <c r="J340" t="s">
        <v>63</v>
      </c>
      <c r="K340" t="s">
        <v>4927</v>
      </c>
      <c r="L340" t="s">
        <v>6670</v>
      </c>
      <c r="M340" t="s">
        <v>6671</v>
      </c>
      <c r="N340" t="s">
        <v>6672</v>
      </c>
      <c r="O340" t="s">
        <v>73</v>
      </c>
      <c r="P340" t="s">
        <v>5062</v>
      </c>
      <c r="Q340">
        <v>0</v>
      </c>
      <c r="R340" t="s">
        <v>4922</v>
      </c>
      <c r="S340" t="s">
        <v>29</v>
      </c>
      <c r="T340" t="s">
        <v>4923</v>
      </c>
      <c r="U340" t="s">
        <v>4924</v>
      </c>
      <c r="V340" t="s">
        <v>6673</v>
      </c>
      <c r="W340" t="s">
        <v>3667</v>
      </c>
      <c r="X340">
        <v>127.6</v>
      </c>
    </row>
    <row r="341" spans="1:24" x14ac:dyDescent="0.25">
      <c r="A341" t="s">
        <v>5176</v>
      </c>
      <c r="B341" t="s">
        <v>6649</v>
      </c>
      <c r="C341" t="s">
        <v>6650</v>
      </c>
      <c r="D341" t="s">
        <v>30</v>
      </c>
      <c r="E341" t="s">
        <v>4913</v>
      </c>
      <c r="F341" t="s">
        <v>728</v>
      </c>
      <c r="G341">
        <f>IF(K341="Pick-up","PICKUPS",IF(K341="Staff drop-off","STAFF_DROPOFF",IF(K341="Replacements","REPLACEMENT",IF(K341="Central Stores Dispatch","CENTRAL STORES DISPATCH",IFNA(IFNA(VLOOKUP(F341,'Raw Platform Nov 4-6 2025'!C:C,1,FALSE),VLOOKUP(F341,'Raw Platform Nov 4-6 2025'!D:D,1,FALSE)),IFNA(VLOOKUP(F341,'Glovo Raw Nov 4-6 2025'!B:B,1,FALSE),"Not Matched"))))))</f>
      </c>
      <c r="H341">
        <f>COUNTIF(F:F,F341)</f>
      </c>
      <c r="I341" t="s">
        <v>6674</v>
      </c>
      <c r="J341" t="s">
        <v>5028</v>
      </c>
      <c r="K341" t="s">
        <v>4927</v>
      </c>
      <c r="L341" t="s">
        <v>6675</v>
      </c>
      <c r="M341" t="s">
        <v>6676</v>
      </c>
      <c r="N341" t="s">
        <v>6677</v>
      </c>
      <c r="O341" t="s">
        <v>53</v>
      </c>
      <c r="P341" t="s">
        <v>5953</v>
      </c>
      <c r="Q341">
        <v>2490</v>
      </c>
      <c r="R341" t="s">
        <v>4922</v>
      </c>
      <c r="S341" t="s">
        <v>45</v>
      </c>
      <c r="T341" t="s">
        <v>4923</v>
      </c>
      <c r="U341" t="s">
        <v>4924</v>
      </c>
      <c r="V341" t="s">
        <v>6678</v>
      </c>
      <c r="W341" t="s">
        <v>3667</v>
      </c>
      <c r="X341">
        <v>118.4</v>
      </c>
    </row>
    <row r="342" spans="1:24" x14ac:dyDescent="0.25">
      <c r="A342" t="s">
        <v>5176</v>
      </c>
      <c r="B342" t="s">
        <v>6649</v>
      </c>
      <c r="C342" t="s">
        <v>6650</v>
      </c>
      <c r="D342" t="s">
        <v>30</v>
      </c>
      <c r="E342" t="s">
        <v>4913</v>
      </c>
      <c r="F342" t="s">
        <v>542</v>
      </c>
      <c r="G342">
        <f>IF(K342="Pick-up","PICKUPS",IF(K342="Staff drop-off","STAFF_DROPOFF",IF(K342="Replacements","REPLACEMENT",IF(K342="Central Stores Dispatch","CENTRAL STORES DISPATCH",IFNA(IFNA(VLOOKUP(F342,'Raw Platform Nov 4-6 2025'!C:C,1,FALSE),VLOOKUP(F342,'Raw Platform Nov 4-6 2025'!D:D,1,FALSE)),IFNA(VLOOKUP(F342,'Glovo Raw Nov 4-6 2025'!B:B,1,FALSE),"Not Matched"))))))</f>
      </c>
      <c r="H342">
        <f>COUNTIF(F:F,F342)</f>
      </c>
      <c r="I342" t="s">
        <v>6679</v>
      </c>
      <c r="J342" t="s">
        <v>4915</v>
      </c>
      <c r="K342" t="s">
        <v>4916</v>
      </c>
      <c r="L342" t="s">
        <v>6680</v>
      </c>
      <c r="M342" t="s">
        <v>6681</v>
      </c>
      <c r="N342" t="s">
        <v>6682</v>
      </c>
      <c r="O342" t="s">
        <v>47</v>
      </c>
      <c r="P342" t="s">
        <v>5541</v>
      </c>
      <c r="Q342">
        <v>1478</v>
      </c>
      <c r="R342" t="s">
        <v>4922</v>
      </c>
      <c r="S342" t="s">
        <v>29</v>
      </c>
      <c r="T342" t="s">
        <v>4923</v>
      </c>
      <c r="U342" t="s">
        <v>4924</v>
      </c>
      <c r="V342" t="s">
        <v>6683</v>
      </c>
      <c r="W342" t="s">
        <v>3667</v>
      </c>
      <c r="X342">
        <v>100</v>
      </c>
    </row>
    <row r="343" spans="1:24" x14ac:dyDescent="0.25">
      <c r="A343" t="s">
        <v>5176</v>
      </c>
      <c r="B343" t="s">
        <v>6649</v>
      </c>
      <c r="C343" t="s">
        <v>6650</v>
      </c>
      <c r="D343" t="s">
        <v>30</v>
      </c>
      <c r="E343" t="s">
        <v>4913</v>
      </c>
      <c r="F343" t="s">
        <v>124</v>
      </c>
      <c r="G343">
        <f>IF(K343="Pick-up","PICKUPS",IF(K343="Staff drop-off","STAFF_DROPOFF",IF(K343="Replacements","REPLACEMENT",IF(K343="Central Stores Dispatch","CENTRAL STORES DISPATCH",IFNA(IFNA(VLOOKUP(F343,'Raw Platform Nov 4-6 2025'!C:C,1,FALSE),VLOOKUP(F343,'Raw Platform Nov 4-6 2025'!D:D,1,FALSE)),IFNA(VLOOKUP(F343,'Glovo Raw Nov 4-6 2025'!B:B,1,FALSE),"Not Matched"))))))</f>
      </c>
      <c r="H343">
        <f>COUNTIF(F:F,F343)</f>
      </c>
      <c r="I343" t="s">
        <v>6684</v>
      </c>
      <c r="J343" t="s">
        <v>4915</v>
      </c>
      <c r="K343" t="s">
        <v>4927</v>
      </c>
      <c r="L343" t="s">
        <v>6685</v>
      </c>
      <c r="M343" t="s">
        <v>6686</v>
      </c>
      <c r="N343" t="s">
        <v>6687</v>
      </c>
      <c r="O343" t="s">
        <v>2009</v>
      </c>
      <c r="P343" t="s">
        <v>4950</v>
      </c>
      <c r="Q343">
        <v>0</v>
      </c>
      <c r="R343" t="s">
        <v>4922</v>
      </c>
      <c r="S343" t="s">
        <v>45</v>
      </c>
      <c r="T343" t="s">
        <v>4923</v>
      </c>
      <c r="U343" t="s">
        <v>4924</v>
      </c>
      <c r="V343" t="s">
        <v>6688</v>
      </c>
      <c r="W343" t="s">
        <v>3667</v>
      </c>
      <c r="X343">
        <v>100</v>
      </c>
    </row>
    <row r="344" spans="1:24" x14ac:dyDescent="0.25">
      <c r="A344" t="s">
        <v>5176</v>
      </c>
      <c r="B344" t="s">
        <v>6649</v>
      </c>
      <c r="C344" t="s">
        <v>6650</v>
      </c>
      <c r="D344" t="s">
        <v>191</v>
      </c>
      <c r="E344" t="s">
        <v>4913</v>
      </c>
      <c r="F344" t="s">
        <v>1831</v>
      </c>
      <c r="G344">
        <f>IF(K344="Pick-up","PICKUPS",IF(K344="Staff drop-off","STAFF_DROPOFF",IF(K344="Replacements","REPLACEMENT",IF(K344="Central Stores Dispatch","CENTRAL STORES DISPATCH",IFNA(IFNA(VLOOKUP(F344,'Raw Platform Nov 4-6 2025'!C:C,1,FALSE),VLOOKUP(F344,'Raw Platform Nov 4-6 2025'!D:D,1,FALSE)),IFNA(VLOOKUP(F344,'Glovo Raw Nov 4-6 2025'!B:B,1,FALSE),"Not Matched"))))))</f>
      </c>
      <c r="H344">
        <f>COUNTIF(F:F,F344)</f>
      </c>
      <c r="I344" t="s">
        <v>6689</v>
      </c>
      <c r="J344" t="s">
        <v>4915</v>
      </c>
      <c r="K344" t="s">
        <v>4927</v>
      </c>
      <c r="L344" t="s">
        <v>6690</v>
      </c>
      <c r="M344" t="s">
        <v>6691</v>
      </c>
      <c r="N344" t="s">
        <v>6692</v>
      </c>
      <c r="O344" t="s">
        <v>53</v>
      </c>
      <c r="P344" t="s">
        <v>5588</v>
      </c>
      <c r="Q344">
        <v>0</v>
      </c>
      <c r="R344" t="s">
        <v>4922</v>
      </c>
      <c r="S344" t="s">
        <v>5184</v>
      </c>
      <c r="T344" t="s">
        <v>4923</v>
      </c>
      <c r="U344" t="s">
        <v>4924</v>
      </c>
      <c r="V344" t="s">
        <v>6693</v>
      </c>
      <c r="W344" t="s">
        <v>3667</v>
      </c>
      <c r="X344">
        <v>109.2</v>
      </c>
    </row>
    <row r="345" spans="1:24" x14ac:dyDescent="0.25">
      <c r="A345" t="s">
        <v>5176</v>
      </c>
      <c r="B345" t="s">
        <v>6649</v>
      </c>
      <c r="C345" t="s">
        <v>6650</v>
      </c>
      <c r="D345" t="s">
        <v>191</v>
      </c>
      <c r="E345" t="s">
        <v>4913</v>
      </c>
      <c r="F345" t="s">
        <v>2016</v>
      </c>
      <c r="G345">
        <f>IF(K345="Pick-up","PICKUPS",IF(K345="Staff drop-off","STAFF_DROPOFF",IF(K345="Replacements","REPLACEMENT",IF(K345="Central Stores Dispatch","CENTRAL STORES DISPATCH",IFNA(IFNA(VLOOKUP(F345,'Raw Platform Nov 4-6 2025'!C:C,1,FALSE),VLOOKUP(F345,'Raw Platform Nov 4-6 2025'!D:D,1,FALSE)),IFNA(VLOOKUP(F345,'Glovo Raw Nov 4-6 2025'!B:B,1,FALSE),"Not Matched"))))))</f>
      </c>
      <c r="H345">
        <f>COUNTIF(F:F,F345)</f>
      </c>
      <c r="I345" t="s">
        <v>6694</v>
      </c>
      <c r="J345" t="s">
        <v>4915</v>
      </c>
      <c r="K345" t="s">
        <v>4927</v>
      </c>
      <c r="L345" t="s">
        <v>6695</v>
      </c>
      <c r="M345" t="s">
        <v>6696</v>
      </c>
      <c r="N345" t="s">
        <v>6697</v>
      </c>
      <c r="O345" t="s">
        <v>47</v>
      </c>
      <c r="P345" t="s">
        <v>4950</v>
      </c>
      <c r="Q345">
        <v>0</v>
      </c>
      <c r="R345" t="s">
        <v>4922</v>
      </c>
      <c r="S345" t="s">
        <v>5184</v>
      </c>
      <c r="T345" t="s">
        <v>4923</v>
      </c>
      <c r="U345" t="s">
        <v>4924</v>
      </c>
      <c r="V345" t="s">
        <v>6698</v>
      </c>
      <c r="W345" t="s">
        <v>3667</v>
      </c>
      <c r="X345">
        <v>100</v>
      </c>
    </row>
    <row r="346" spans="1:24" x14ac:dyDescent="0.25">
      <c r="A346" t="s">
        <v>5176</v>
      </c>
      <c r="B346" t="s">
        <v>6649</v>
      </c>
      <c r="C346" t="s">
        <v>6650</v>
      </c>
      <c r="D346" t="s">
        <v>191</v>
      </c>
      <c r="E346" t="s">
        <v>4913</v>
      </c>
      <c r="F346" t="s">
        <v>2092</v>
      </c>
      <c r="G346">
        <f>IF(K346="Pick-up","PICKUPS",IF(K346="Staff drop-off","STAFF_DROPOFF",IF(K346="Replacements","REPLACEMENT",IF(K346="Central Stores Dispatch","CENTRAL STORES DISPATCH",IFNA(IFNA(VLOOKUP(F346,'Raw Platform Nov 4-6 2025'!C:C,1,FALSE),VLOOKUP(F346,'Raw Platform Nov 4-6 2025'!D:D,1,FALSE)),IFNA(VLOOKUP(F346,'Glovo Raw Nov 4-6 2025'!B:B,1,FALSE),"Not Matched"))))))</f>
      </c>
      <c r="H346">
        <f>COUNTIF(F:F,F346)</f>
      </c>
      <c r="I346" t="s">
        <v>6699</v>
      </c>
      <c r="J346" t="s">
        <v>4915</v>
      </c>
      <c r="K346" t="s">
        <v>4927</v>
      </c>
      <c r="L346" t="s">
        <v>6700</v>
      </c>
      <c r="M346" t="s">
        <v>6701</v>
      </c>
      <c r="N346" t="s">
        <v>6702</v>
      </c>
      <c r="O346" t="s">
        <v>47</v>
      </c>
      <c r="P346" t="s">
        <v>4943</v>
      </c>
      <c r="Q346">
        <v>0</v>
      </c>
      <c r="R346" t="s">
        <v>4922</v>
      </c>
      <c r="S346" t="s">
        <v>5184</v>
      </c>
      <c r="T346" t="s">
        <v>4923</v>
      </c>
      <c r="U346" t="s">
        <v>4924</v>
      </c>
      <c r="V346" t="s">
        <v>6703</v>
      </c>
      <c r="W346" t="s">
        <v>3667</v>
      </c>
      <c r="X346">
        <v>106.9</v>
      </c>
    </row>
    <row r="347" spans="1:24" x14ac:dyDescent="0.25">
      <c r="A347" t="s">
        <v>5176</v>
      </c>
      <c r="B347" t="s">
        <v>6649</v>
      </c>
      <c r="C347" t="s">
        <v>6650</v>
      </c>
      <c r="D347" t="s">
        <v>30</v>
      </c>
      <c r="E347" t="s">
        <v>4913</v>
      </c>
      <c r="F347" t="s">
        <v>2405</v>
      </c>
      <c r="G347">
        <f>IF(K347="Pick-up","PICKUPS",IF(K347="Staff drop-off","STAFF_DROPOFF",IF(K347="Replacements","REPLACEMENT",IF(K347="Central Stores Dispatch","CENTRAL STORES DISPATCH",IFNA(IFNA(VLOOKUP(F347,'Raw Platform Nov 4-6 2025'!C:C,1,FALSE),VLOOKUP(F347,'Raw Platform Nov 4-6 2025'!D:D,1,FALSE)),IFNA(VLOOKUP(F347,'Glovo Raw Nov 4-6 2025'!B:B,1,FALSE),"Not Matched"))))))</f>
      </c>
      <c r="H347">
        <f>COUNTIF(F:F,F347)</f>
      </c>
      <c r="I347" t="s">
        <v>6704</v>
      </c>
      <c r="J347" t="s">
        <v>4915</v>
      </c>
      <c r="K347" t="s">
        <v>4916</v>
      </c>
      <c r="L347" t="s">
        <v>6705</v>
      </c>
      <c r="M347" t="s">
        <v>6706</v>
      </c>
      <c r="N347" t="s">
        <v>6707</v>
      </c>
      <c r="O347" t="s">
        <v>2009</v>
      </c>
      <c r="P347" t="s">
        <v>5097</v>
      </c>
      <c r="Q347">
        <v>1142</v>
      </c>
      <c r="R347" t="s">
        <v>4922</v>
      </c>
      <c r="S347" t="s">
        <v>45</v>
      </c>
      <c r="T347" t="s">
        <v>4923</v>
      </c>
      <c r="U347" t="s">
        <v>4924</v>
      </c>
      <c r="V347" t="s">
        <v>6708</v>
      </c>
      <c r="W347" t="s">
        <v>3667</v>
      </c>
      <c r="X347">
        <v>100</v>
      </c>
    </row>
    <row r="348" spans="1:24" x14ac:dyDescent="0.25">
      <c r="A348" t="s">
        <v>5176</v>
      </c>
      <c r="B348" t="s">
        <v>6649</v>
      </c>
      <c r="C348" t="s">
        <v>6650</v>
      </c>
      <c r="D348" t="s">
        <v>30</v>
      </c>
      <c r="E348" t="s">
        <v>4913</v>
      </c>
      <c r="F348" t="s">
        <v>1709</v>
      </c>
      <c r="G348">
        <f>IF(K348="Pick-up","PICKUPS",IF(K348="Staff drop-off","STAFF_DROPOFF",IF(K348="Replacements","REPLACEMENT",IF(K348="Central Stores Dispatch","CENTRAL STORES DISPATCH",IFNA(IFNA(VLOOKUP(F348,'Raw Platform Nov 4-6 2025'!C:C,1,FALSE),VLOOKUP(F348,'Raw Platform Nov 4-6 2025'!D:D,1,FALSE)),IFNA(VLOOKUP(F348,'Glovo Raw Nov 4-6 2025'!B:B,1,FALSE),"Not Matched"))))))</f>
      </c>
      <c r="H348">
        <f>COUNTIF(F:F,F348)</f>
      </c>
      <c r="I348" t="s">
        <v>6709</v>
      </c>
      <c r="J348" t="s">
        <v>4915</v>
      </c>
      <c r="K348" t="s">
        <v>4927</v>
      </c>
      <c r="L348" t="s">
        <v>6710</v>
      </c>
      <c r="M348" t="s">
        <v>6711</v>
      </c>
      <c r="N348" t="s">
        <v>6712</v>
      </c>
      <c r="O348" t="s">
        <v>2009</v>
      </c>
      <c r="P348" t="s">
        <v>6558</v>
      </c>
      <c r="Q348">
        <v>0</v>
      </c>
      <c r="R348" t="s">
        <v>4922</v>
      </c>
      <c r="S348" t="s">
        <v>29</v>
      </c>
      <c r="T348" t="s">
        <v>4923</v>
      </c>
      <c r="U348" t="s">
        <v>4924</v>
      </c>
      <c r="V348" t="s">
        <v>6713</v>
      </c>
      <c r="W348" t="s">
        <v>3667</v>
      </c>
      <c r="X348">
        <v>100</v>
      </c>
    </row>
    <row r="349" spans="1:24" x14ac:dyDescent="0.25">
      <c r="A349" t="s">
        <v>5176</v>
      </c>
      <c r="B349" t="s">
        <v>6649</v>
      </c>
      <c r="C349" t="s">
        <v>6650</v>
      </c>
      <c r="D349" t="s">
        <v>191</v>
      </c>
      <c r="E349" t="s">
        <v>4913</v>
      </c>
      <c r="F349" t="s">
        <v>1796</v>
      </c>
      <c r="G349">
        <f>IF(K349="Pick-up","PICKUPS",IF(K349="Staff drop-off","STAFF_DROPOFF",IF(K349="Replacements","REPLACEMENT",IF(K349="Central Stores Dispatch","CENTRAL STORES DISPATCH",IFNA(IFNA(VLOOKUP(F349,'Raw Platform Nov 4-6 2025'!C:C,1,FALSE),VLOOKUP(F349,'Raw Platform Nov 4-6 2025'!D:D,1,FALSE)),IFNA(VLOOKUP(F349,'Glovo Raw Nov 4-6 2025'!B:B,1,FALSE),"Not Matched"))))))</f>
      </c>
      <c r="H349">
        <f>COUNTIF(F:F,F349)</f>
      </c>
      <c r="I349" t="s">
        <v>6714</v>
      </c>
      <c r="J349" t="s">
        <v>63</v>
      </c>
      <c r="K349" t="s">
        <v>4927</v>
      </c>
      <c r="L349" t="s">
        <v>6715</v>
      </c>
      <c r="M349" t="s">
        <v>6716</v>
      </c>
      <c r="N349" t="s">
        <v>6717</v>
      </c>
      <c r="O349" t="s">
        <v>73</v>
      </c>
      <c r="P349" t="s">
        <v>5953</v>
      </c>
      <c r="Q349">
        <v>0</v>
      </c>
      <c r="R349" t="s">
        <v>4922</v>
      </c>
      <c r="S349" t="s">
        <v>5184</v>
      </c>
      <c r="T349" t="s">
        <v>4923</v>
      </c>
      <c r="U349" t="s">
        <v>4924</v>
      </c>
      <c r="V349" t="s">
        <v>6718</v>
      </c>
      <c r="W349" t="s">
        <v>3667</v>
      </c>
      <c r="X349">
        <v>118.4</v>
      </c>
    </row>
    <row r="350" spans="1:24" x14ac:dyDescent="0.25">
      <c r="A350" t="s">
        <v>5176</v>
      </c>
      <c r="B350" t="s">
        <v>6649</v>
      </c>
      <c r="C350" t="s">
        <v>6650</v>
      </c>
      <c r="D350" t="s">
        <v>191</v>
      </c>
      <c r="E350" t="s">
        <v>4913</v>
      </c>
      <c r="F350" t="s">
        <v>1951</v>
      </c>
      <c r="G350">
        <f>IF(K350="Pick-up","PICKUPS",IF(K350="Staff drop-off","STAFF_DROPOFF",IF(K350="Replacements","REPLACEMENT",IF(K350="Central Stores Dispatch","CENTRAL STORES DISPATCH",IFNA(IFNA(VLOOKUP(F350,'Raw Platform Nov 4-6 2025'!C:C,1,FALSE),VLOOKUP(F350,'Raw Platform Nov 4-6 2025'!D:D,1,FALSE)),IFNA(VLOOKUP(F350,'Glovo Raw Nov 4-6 2025'!B:B,1,FALSE),"Not Matched"))))))</f>
      </c>
      <c r="H350">
        <f>COUNTIF(F:F,F350)</f>
      </c>
      <c r="I350" t="s">
        <v>6719</v>
      </c>
      <c r="J350" t="s">
        <v>4915</v>
      </c>
      <c r="K350" t="s">
        <v>4927</v>
      </c>
      <c r="L350" t="s">
        <v>6720</v>
      </c>
      <c r="M350" t="s">
        <v>6721</v>
      </c>
      <c r="N350" t="s">
        <v>6722</v>
      </c>
      <c r="O350" t="s">
        <v>4956</v>
      </c>
      <c r="P350" t="s">
        <v>5013</v>
      </c>
      <c r="Q350">
        <v>0</v>
      </c>
      <c r="R350" t="s">
        <v>4922</v>
      </c>
      <c r="S350" t="s">
        <v>5184</v>
      </c>
      <c r="T350" t="s">
        <v>4923</v>
      </c>
      <c r="U350" t="s">
        <v>4924</v>
      </c>
      <c r="V350" t="s">
        <v>6723</v>
      </c>
      <c r="W350" t="s">
        <v>3667</v>
      </c>
      <c r="X350">
        <v>100</v>
      </c>
    </row>
    <row r="351" spans="1:24" x14ac:dyDescent="0.25">
      <c r="A351" t="s">
        <v>5176</v>
      </c>
      <c r="B351" t="s">
        <v>6649</v>
      </c>
      <c r="C351" t="s">
        <v>6650</v>
      </c>
      <c r="D351" t="s">
        <v>30</v>
      </c>
      <c r="E351" t="s">
        <v>4913</v>
      </c>
      <c r="F351" t="s">
        <v>1733</v>
      </c>
      <c r="G351">
        <f>IF(K351="Pick-up","PICKUPS",IF(K351="Staff drop-off","STAFF_DROPOFF",IF(K351="Replacements","REPLACEMENT",IF(K351="Central Stores Dispatch","CENTRAL STORES DISPATCH",IFNA(IFNA(VLOOKUP(F351,'Raw Platform Nov 4-6 2025'!C:C,1,FALSE),VLOOKUP(F351,'Raw Platform Nov 4-6 2025'!D:D,1,FALSE)),IFNA(VLOOKUP(F351,'Glovo Raw Nov 4-6 2025'!B:B,1,FALSE),"Not Matched"))))))</f>
      </c>
      <c r="H351">
        <f>COUNTIF(F:F,F351)</f>
      </c>
      <c r="I351" t="s">
        <v>6724</v>
      </c>
      <c r="J351" t="s">
        <v>4915</v>
      </c>
      <c r="K351" t="s">
        <v>4927</v>
      </c>
      <c r="L351" t="s">
        <v>6725</v>
      </c>
      <c r="M351" t="s">
        <v>5327</v>
      </c>
      <c r="N351" t="s">
        <v>6726</v>
      </c>
      <c r="O351" t="s">
        <v>4956</v>
      </c>
      <c r="P351" t="s">
        <v>6214</v>
      </c>
      <c r="Q351">
        <v>0</v>
      </c>
      <c r="R351" t="s">
        <v>4922</v>
      </c>
      <c r="S351" t="s">
        <v>172</v>
      </c>
      <c r="T351" t="s">
        <v>4923</v>
      </c>
      <c r="U351" t="s">
        <v>4924</v>
      </c>
      <c r="V351" t="s">
        <v>6727</v>
      </c>
      <c r="W351" t="s">
        <v>3667</v>
      </c>
      <c r="X351">
        <v>100</v>
      </c>
    </row>
    <row r="352" spans="1:24" x14ac:dyDescent="0.25">
      <c r="A352" t="s">
        <v>5176</v>
      </c>
      <c r="B352" t="s">
        <v>6649</v>
      </c>
      <c r="C352" t="s">
        <v>6650</v>
      </c>
      <c r="D352" t="s">
        <v>30</v>
      </c>
      <c r="E352" t="s">
        <v>4913</v>
      </c>
      <c r="F352" t="s">
        <v>1609</v>
      </c>
      <c r="G352">
        <f>IF(K352="Pick-up","PICKUPS",IF(K352="Staff drop-off","STAFF_DROPOFF",IF(K352="Replacements","REPLACEMENT",IF(K352="Central Stores Dispatch","CENTRAL STORES DISPATCH",IFNA(IFNA(VLOOKUP(F352,'Raw Platform Nov 4-6 2025'!C:C,1,FALSE),VLOOKUP(F352,'Raw Platform Nov 4-6 2025'!D:D,1,FALSE)),IFNA(VLOOKUP(F352,'Glovo Raw Nov 4-6 2025'!B:B,1,FALSE),"Not Matched"))))))</f>
      </c>
      <c r="H352">
        <f>COUNTIF(F:F,F352)</f>
      </c>
      <c r="I352" t="s">
        <v>6728</v>
      </c>
      <c r="J352" t="s">
        <v>4915</v>
      </c>
      <c r="K352" t="s">
        <v>4916</v>
      </c>
      <c r="L352" t="s">
        <v>6729</v>
      </c>
      <c r="M352" t="s">
        <v>5327</v>
      </c>
      <c r="N352" t="s">
        <v>6730</v>
      </c>
      <c r="O352" t="s">
        <v>4990</v>
      </c>
      <c r="P352" t="s">
        <v>6214</v>
      </c>
      <c r="Q352">
        <v>1919</v>
      </c>
      <c r="R352" t="s">
        <v>4922</v>
      </c>
      <c r="S352" t="s">
        <v>12</v>
      </c>
      <c r="T352" t="s">
        <v>4923</v>
      </c>
      <c r="U352" t="s">
        <v>4924</v>
      </c>
      <c r="V352" t="s">
        <v>6731</v>
      </c>
      <c r="W352" t="s">
        <v>3667</v>
      </c>
      <c r="X352">
        <v>100</v>
      </c>
    </row>
    <row r="353" spans="1:24" x14ac:dyDescent="0.25">
      <c r="A353" t="s">
        <v>5176</v>
      </c>
      <c r="B353" t="s">
        <v>6649</v>
      </c>
      <c r="C353" t="s">
        <v>6650</v>
      </c>
      <c r="D353" t="s">
        <v>30</v>
      </c>
      <c r="E353" t="s">
        <v>4913</v>
      </c>
      <c r="F353" t="s">
        <v>2455</v>
      </c>
      <c r="G353">
        <f>IF(K353="Pick-up","PICKUPS",IF(K353="Staff drop-off","STAFF_DROPOFF",IF(K353="Replacements","REPLACEMENT",IF(K353="Central Stores Dispatch","CENTRAL STORES DISPATCH",IFNA(IFNA(VLOOKUP(F353,'Raw Platform Nov 4-6 2025'!C:C,1,FALSE),VLOOKUP(F353,'Raw Platform Nov 4-6 2025'!D:D,1,FALSE)),IFNA(VLOOKUP(F353,'Glovo Raw Nov 4-6 2025'!B:B,1,FALSE),"Not Matched"))))))</f>
      </c>
      <c r="H353">
        <f>COUNTIF(F:F,F353)</f>
      </c>
      <c r="I353" t="s">
        <v>6732</v>
      </c>
      <c r="J353" t="s">
        <v>4915</v>
      </c>
      <c r="K353" t="s">
        <v>4927</v>
      </c>
      <c r="L353" t="s">
        <v>6733</v>
      </c>
      <c r="M353" t="s">
        <v>5327</v>
      </c>
      <c r="N353" t="s">
        <v>6734</v>
      </c>
      <c r="O353" t="s">
        <v>9</v>
      </c>
      <c r="P353" t="s">
        <v>4996</v>
      </c>
      <c r="Q353">
        <v>0</v>
      </c>
      <c r="R353" t="s">
        <v>4922</v>
      </c>
      <c r="S353" t="s">
        <v>12</v>
      </c>
      <c r="T353" t="s">
        <v>4923</v>
      </c>
      <c r="U353" t="s">
        <v>4924</v>
      </c>
      <c r="V353" t="s">
        <v>6735</v>
      </c>
      <c r="W353" t="s">
        <v>3667</v>
      </c>
      <c r="X353">
        <v>129.9</v>
      </c>
    </row>
    <row r="354" spans="1:24" x14ac:dyDescent="0.25">
      <c r="A354" t="s">
        <v>5176</v>
      </c>
      <c r="B354" t="s">
        <v>6649</v>
      </c>
      <c r="C354" t="s">
        <v>6650</v>
      </c>
      <c r="D354" t="s">
        <v>30</v>
      </c>
      <c r="E354" t="s">
        <v>4913</v>
      </c>
      <c r="F354" t="s">
        <v>2358</v>
      </c>
      <c r="G354">
        <f>IF(K354="Pick-up","PICKUPS",IF(K354="Staff drop-off","STAFF_DROPOFF",IF(K354="Replacements","REPLACEMENT",IF(K354="Central Stores Dispatch","CENTRAL STORES DISPATCH",IFNA(IFNA(VLOOKUP(F354,'Raw Platform Nov 4-6 2025'!C:C,1,FALSE),VLOOKUP(F354,'Raw Platform Nov 4-6 2025'!D:D,1,FALSE)),IFNA(VLOOKUP(F354,'Glovo Raw Nov 4-6 2025'!B:B,1,FALSE),"Not Matched"))))))</f>
      </c>
      <c r="H354">
        <f>COUNTIF(F:F,F354)</f>
      </c>
      <c r="I354" t="s">
        <v>6736</v>
      </c>
      <c r="J354" t="s">
        <v>4915</v>
      </c>
      <c r="K354" t="s">
        <v>4927</v>
      </c>
      <c r="L354" t="s">
        <v>6384</v>
      </c>
      <c r="M354" t="s">
        <v>5327</v>
      </c>
      <c r="N354" t="s">
        <v>4973</v>
      </c>
      <c r="O354" t="s">
        <v>123</v>
      </c>
      <c r="P354" t="s">
        <v>5820</v>
      </c>
      <c r="Q354">
        <v>0</v>
      </c>
      <c r="R354" t="s">
        <v>4922</v>
      </c>
      <c r="S354" t="s">
        <v>29</v>
      </c>
      <c r="T354" t="s">
        <v>4923</v>
      </c>
      <c r="U354" t="s">
        <v>4924</v>
      </c>
      <c r="V354" t="s">
        <v>6737</v>
      </c>
      <c r="W354" t="s">
        <v>3667</v>
      </c>
      <c r="X354">
        <v>139.1</v>
      </c>
    </row>
    <row r="355" spans="1:24" x14ac:dyDescent="0.25">
      <c r="A355" t="s">
        <v>5176</v>
      </c>
      <c r="B355" t="s">
        <v>6649</v>
      </c>
      <c r="C355" t="s">
        <v>6650</v>
      </c>
      <c r="D355" t="s">
        <v>30</v>
      </c>
      <c r="E355" t="s">
        <v>4913</v>
      </c>
      <c r="F355" t="s">
        <v>3475</v>
      </c>
      <c r="G355">
        <f>IF(K355="Pick-up","PICKUPS",IF(K355="Staff drop-off","STAFF_DROPOFF",IF(K355="Replacements","REPLACEMENT",IF(K355="Central Stores Dispatch","CENTRAL STORES DISPATCH",IFNA(IFNA(VLOOKUP(F355,'Raw Platform Nov 4-6 2025'!C:C,1,FALSE),VLOOKUP(F355,'Raw Platform Nov 4-6 2025'!D:D,1,FALSE)),IFNA(VLOOKUP(F355,'Glovo Raw Nov 4-6 2025'!B:B,1,FALSE),"Not Matched"))))))</f>
      </c>
      <c r="H355">
        <f>COUNTIF(F:F,F355)</f>
      </c>
      <c r="I355" t="s">
        <v>6738</v>
      </c>
      <c r="J355" t="s">
        <v>4915</v>
      </c>
      <c r="K355" t="s">
        <v>4927</v>
      </c>
      <c r="L355" t="s">
        <v>6710</v>
      </c>
      <c r="M355" t="s">
        <v>6739</v>
      </c>
      <c r="N355" t="s">
        <v>6740</v>
      </c>
      <c r="O355" t="s">
        <v>123</v>
      </c>
      <c r="P355" t="s">
        <v>4943</v>
      </c>
      <c r="Q355">
        <v>0</v>
      </c>
      <c r="R355" t="s">
        <v>4922</v>
      </c>
      <c r="S355" t="s">
        <v>12</v>
      </c>
      <c r="T355" t="s">
        <v>4923</v>
      </c>
      <c r="U355" t="s">
        <v>4924</v>
      </c>
      <c r="V355" t="s">
        <v>6741</v>
      </c>
      <c r="W355" t="s">
        <v>3667</v>
      </c>
      <c r="X355">
        <v>106.9</v>
      </c>
    </row>
    <row r="356" spans="1:24" x14ac:dyDescent="0.25">
      <c r="A356" t="s">
        <v>5176</v>
      </c>
      <c r="B356" t="s">
        <v>6649</v>
      </c>
      <c r="C356" t="s">
        <v>6650</v>
      </c>
      <c r="D356" t="s">
        <v>30</v>
      </c>
      <c r="E356" t="s">
        <v>4913</v>
      </c>
      <c r="F356" t="s">
        <v>2765</v>
      </c>
      <c r="G356">
        <f>IF(K356="Pick-up","PICKUPS",IF(K356="Staff drop-off","STAFF_DROPOFF",IF(K356="Replacements","REPLACEMENT",IF(K356="Central Stores Dispatch","CENTRAL STORES DISPATCH",IFNA(IFNA(VLOOKUP(F356,'Raw Platform Nov 4-6 2025'!C:C,1,FALSE),VLOOKUP(F356,'Raw Platform Nov 4-6 2025'!D:D,1,FALSE)),IFNA(VLOOKUP(F356,'Glovo Raw Nov 4-6 2025'!B:B,1,FALSE),"Not Matched"))))))</f>
      </c>
      <c r="H356">
        <f>COUNTIF(F:F,F356)</f>
      </c>
      <c r="I356" t="s">
        <v>6742</v>
      </c>
      <c r="J356" t="s">
        <v>4915</v>
      </c>
      <c r="K356" t="s">
        <v>4927</v>
      </c>
      <c r="L356" t="s">
        <v>6743</v>
      </c>
      <c r="M356" t="s">
        <v>6744</v>
      </c>
      <c r="N356" t="s">
        <v>4973</v>
      </c>
      <c r="O356" t="s">
        <v>123</v>
      </c>
      <c r="P356" t="s">
        <v>5820</v>
      </c>
      <c r="Q356">
        <v>0</v>
      </c>
      <c r="R356" t="s">
        <v>4922</v>
      </c>
      <c r="S356" t="s">
        <v>12</v>
      </c>
      <c r="T356" t="s">
        <v>4923</v>
      </c>
      <c r="U356" t="s">
        <v>4924</v>
      </c>
      <c r="V356" t="s">
        <v>6745</v>
      </c>
      <c r="W356" t="s">
        <v>3667</v>
      </c>
      <c r="X356">
        <v>139.1</v>
      </c>
    </row>
    <row r="357" spans="1:24" x14ac:dyDescent="0.25">
      <c r="A357" t="s">
        <v>5176</v>
      </c>
      <c r="B357" t="s">
        <v>6649</v>
      </c>
      <c r="C357" t="s">
        <v>6650</v>
      </c>
      <c r="D357" t="s">
        <v>30</v>
      </c>
      <c r="E357" t="s">
        <v>4913</v>
      </c>
      <c r="F357" t="s">
        <v>3381</v>
      </c>
      <c r="G357">
        <f>IF(K357="Pick-up","PICKUPS",IF(K357="Staff drop-off","STAFF_DROPOFF",IF(K357="Replacements","REPLACEMENT",IF(K357="Central Stores Dispatch","CENTRAL STORES DISPATCH",IFNA(IFNA(VLOOKUP(F357,'Raw Platform Nov 4-6 2025'!C:C,1,FALSE),VLOOKUP(F357,'Raw Platform Nov 4-6 2025'!D:D,1,FALSE)),IFNA(VLOOKUP(F357,'Glovo Raw Nov 4-6 2025'!B:B,1,FALSE),"Not Matched"))))))</f>
      </c>
      <c r="H357">
        <f>COUNTIF(F:F,F357)</f>
      </c>
      <c r="I357" t="s">
        <v>6746</v>
      </c>
      <c r="J357" t="s">
        <v>4915</v>
      </c>
      <c r="K357" t="s">
        <v>4927</v>
      </c>
      <c r="L357" t="s">
        <v>6747</v>
      </c>
      <c r="M357" t="s">
        <v>6748</v>
      </c>
      <c r="N357" t="s">
        <v>6749</v>
      </c>
      <c r="O357" t="s">
        <v>4962</v>
      </c>
      <c r="P357" t="s">
        <v>5578</v>
      </c>
      <c r="Q357">
        <v>0</v>
      </c>
      <c r="R357" t="s">
        <v>4922</v>
      </c>
      <c r="S357" t="s">
        <v>116</v>
      </c>
      <c r="T357" t="s">
        <v>4923</v>
      </c>
      <c r="U357" t="s">
        <v>4924</v>
      </c>
      <c r="V357" t="s">
        <v>6750</v>
      </c>
      <c r="W357" t="s">
        <v>3667</v>
      </c>
      <c r="X357">
        <v>100</v>
      </c>
    </row>
    <row r="358" spans="1:24" x14ac:dyDescent="0.25">
      <c r="A358" t="s">
        <v>5176</v>
      </c>
      <c r="B358" t="s">
        <v>6649</v>
      </c>
      <c r="C358" t="s">
        <v>6650</v>
      </c>
      <c r="D358" t="s">
        <v>30</v>
      </c>
      <c r="E358" t="s">
        <v>4913</v>
      </c>
      <c r="F358" t="s">
        <v>2978</v>
      </c>
      <c r="G358">
        <f>IF(K358="Pick-up","PICKUPS",IF(K358="Staff drop-off","STAFF_DROPOFF",IF(K358="Replacements","REPLACEMENT",IF(K358="Central Stores Dispatch","CENTRAL STORES DISPATCH",IFNA(IFNA(VLOOKUP(F358,'Raw Platform Nov 4-6 2025'!C:C,1,FALSE),VLOOKUP(F358,'Raw Platform Nov 4-6 2025'!D:D,1,FALSE)),IFNA(VLOOKUP(F358,'Glovo Raw Nov 4-6 2025'!B:B,1,FALSE),"Not Matched"))))))</f>
      </c>
      <c r="H358">
        <f>COUNTIF(F:F,F358)</f>
      </c>
      <c r="I358" t="s">
        <v>6751</v>
      </c>
      <c r="J358" t="s">
        <v>5028</v>
      </c>
      <c r="K358" t="s">
        <v>4927</v>
      </c>
      <c r="L358" t="s">
        <v>6752</v>
      </c>
      <c r="M358" t="s">
        <v>6753</v>
      </c>
      <c r="N358" t="s">
        <v>6754</v>
      </c>
      <c r="O358" t="s">
        <v>4949</v>
      </c>
      <c r="P358" t="s">
        <v>5007</v>
      </c>
      <c r="Q358">
        <v>1352</v>
      </c>
      <c r="R358" t="s">
        <v>4922</v>
      </c>
      <c r="S358" t="s">
        <v>172</v>
      </c>
      <c r="T358" t="s">
        <v>4923</v>
      </c>
      <c r="U358" t="s">
        <v>4924</v>
      </c>
      <c r="V358" t="s">
        <v>6755</v>
      </c>
      <c r="W358" t="s">
        <v>3667</v>
      </c>
      <c r="X358">
        <v>100</v>
      </c>
    </row>
    <row r="359" spans="1:24" x14ac:dyDescent="0.25">
      <c r="A359" t="s">
        <v>5176</v>
      </c>
      <c r="B359" t="s">
        <v>6649</v>
      </c>
      <c r="C359" t="s">
        <v>6650</v>
      </c>
      <c r="D359" t="s">
        <v>30</v>
      </c>
      <c r="E359" t="s">
        <v>4913</v>
      </c>
      <c r="F359" t="s">
        <v>3493</v>
      </c>
      <c r="G359">
        <f>IF(K359="Pick-up","PICKUPS",IF(K359="Staff drop-off","STAFF_DROPOFF",IF(K359="Replacements","REPLACEMENT",IF(K359="Central Stores Dispatch","CENTRAL STORES DISPATCH",IFNA(IFNA(VLOOKUP(F359,'Raw Platform Nov 4-6 2025'!C:C,1,FALSE),VLOOKUP(F359,'Raw Platform Nov 4-6 2025'!D:D,1,FALSE)),IFNA(VLOOKUP(F359,'Glovo Raw Nov 4-6 2025'!B:B,1,FALSE),"Not Matched"))))))</f>
      </c>
      <c r="H359">
        <f>COUNTIF(F:F,F359)</f>
      </c>
      <c r="I359" t="s">
        <v>6756</v>
      </c>
      <c r="J359" t="s">
        <v>4915</v>
      </c>
      <c r="K359" t="s">
        <v>4916</v>
      </c>
      <c r="L359" t="s">
        <v>6757</v>
      </c>
      <c r="M359" t="s">
        <v>6758</v>
      </c>
      <c r="N359" t="s">
        <v>6759</v>
      </c>
      <c r="O359" t="s">
        <v>26</v>
      </c>
      <c r="P359" t="s">
        <v>5247</v>
      </c>
      <c r="Q359">
        <v>1101</v>
      </c>
      <c r="R359" t="s">
        <v>4922</v>
      </c>
      <c r="S359" t="s">
        <v>12</v>
      </c>
      <c r="T359" t="s">
        <v>4923</v>
      </c>
      <c r="U359" t="s">
        <v>4924</v>
      </c>
      <c r="V359" t="s">
        <v>6760</v>
      </c>
      <c r="W359" t="s">
        <v>3667</v>
      </c>
      <c r="X359">
        <v>148.3</v>
      </c>
    </row>
    <row r="360" spans="1:24" x14ac:dyDescent="0.25">
      <c r="A360" t="s">
        <v>5176</v>
      </c>
      <c r="B360" t="s">
        <v>6649</v>
      </c>
      <c r="C360" t="s">
        <v>6650</v>
      </c>
      <c r="D360" t="s">
        <v>30</v>
      </c>
      <c r="E360" t="s">
        <v>4913</v>
      </c>
      <c r="F360" t="s">
        <v>2824</v>
      </c>
      <c r="G360">
        <f>IF(K360="Pick-up","PICKUPS",IF(K360="Staff drop-off","STAFF_DROPOFF",IF(K360="Replacements","REPLACEMENT",IF(K360="Central Stores Dispatch","CENTRAL STORES DISPATCH",IFNA(IFNA(VLOOKUP(F360,'Raw Platform Nov 4-6 2025'!C:C,1,FALSE),VLOOKUP(F360,'Raw Platform Nov 4-6 2025'!D:D,1,FALSE)),IFNA(VLOOKUP(F360,'Glovo Raw Nov 4-6 2025'!B:B,1,FALSE),"Not Matched"))))))</f>
      </c>
      <c r="H360">
        <f>COUNTIF(F:F,F360)</f>
      </c>
      <c r="I360" t="s">
        <v>6761</v>
      </c>
      <c r="J360" t="s">
        <v>4915</v>
      </c>
      <c r="K360" t="s">
        <v>4916</v>
      </c>
      <c r="L360" t="s">
        <v>6762</v>
      </c>
      <c r="M360" t="s">
        <v>6763</v>
      </c>
      <c r="N360" t="s">
        <v>6764</v>
      </c>
      <c r="O360" t="s">
        <v>123</v>
      </c>
      <c r="P360" t="s">
        <v>5001</v>
      </c>
      <c r="Q360">
        <v>690</v>
      </c>
      <c r="R360" t="s">
        <v>4922</v>
      </c>
      <c r="S360" t="s">
        <v>29</v>
      </c>
      <c r="T360" t="s">
        <v>4923</v>
      </c>
      <c r="U360" t="s">
        <v>4924</v>
      </c>
      <c r="V360" t="s">
        <v>6765</v>
      </c>
      <c r="W360" t="s">
        <v>3667</v>
      </c>
      <c r="X360">
        <v>120.7</v>
      </c>
    </row>
    <row r="361" spans="1:24" x14ac:dyDescent="0.25">
      <c r="A361" t="s">
        <v>5176</v>
      </c>
      <c r="B361" t="s">
        <v>6649</v>
      </c>
      <c r="C361" t="s">
        <v>6650</v>
      </c>
      <c r="D361" t="s">
        <v>30</v>
      </c>
      <c r="E361" t="s">
        <v>4913</v>
      </c>
      <c r="F361" t="s">
        <v>2681</v>
      </c>
      <c r="G361">
        <f>IF(K361="Pick-up","PICKUPS",IF(K361="Staff drop-off","STAFF_DROPOFF",IF(K361="Replacements","REPLACEMENT",IF(K361="Central Stores Dispatch","CENTRAL STORES DISPATCH",IFNA(IFNA(VLOOKUP(F361,'Raw Platform Nov 4-6 2025'!C:C,1,FALSE),VLOOKUP(F361,'Raw Platform Nov 4-6 2025'!D:D,1,FALSE)),IFNA(VLOOKUP(F361,'Glovo Raw Nov 4-6 2025'!B:B,1,FALSE),"Not Matched"))))))</f>
      </c>
      <c r="H361">
        <f>COUNTIF(F:F,F361)</f>
      </c>
      <c r="I361" t="s">
        <v>6766</v>
      </c>
      <c r="J361" t="s">
        <v>4915</v>
      </c>
      <c r="K361" t="s">
        <v>4916</v>
      </c>
      <c r="L361" t="s">
        <v>6767</v>
      </c>
      <c r="M361" t="s">
        <v>6768</v>
      </c>
      <c r="N361" t="s">
        <v>6769</v>
      </c>
      <c r="O361" t="s">
        <v>4949</v>
      </c>
      <c r="P361" t="s">
        <v>5219</v>
      </c>
      <c r="Q361">
        <v>1358</v>
      </c>
      <c r="R361" t="s">
        <v>4922</v>
      </c>
      <c r="S361" t="s">
        <v>29</v>
      </c>
      <c r="T361" t="s">
        <v>4923</v>
      </c>
      <c r="U361" t="s">
        <v>4924</v>
      </c>
      <c r="V361" t="s">
        <v>6770</v>
      </c>
      <c r="W361" t="s">
        <v>3667</v>
      </c>
      <c r="X361">
        <v>100</v>
      </c>
    </row>
    <row r="362" spans="1:24" x14ac:dyDescent="0.25">
      <c r="A362" t="s">
        <v>5176</v>
      </c>
      <c r="B362" t="s">
        <v>6649</v>
      </c>
      <c r="C362" t="s">
        <v>6650</v>
      </c>
      <c r="D362" t="s">
        <v>30</v>
      </c>
      <c r="E362" t="s">
        <v>4913</v>
      </c>
      <c r="F362" t="s">
        <v>6771</v>
      </c>
      <c r="G362">
        <f>IF(K362="Pick-up","PICKUPS",IF(K362="Staff drop-off","STAFF_DROPOFF",IF(K362="Replacements","REPLACEMENT",IF(K362="Central Stores Dispatch","CENTRAL STORES DISPATCH",IFNA(IFNA(VLOOKUP(F362,'Raw Platform Nov 4-6 2025'!C:C,1,FALSE),VLOOKUP(F362,'Raw Platform Nov 4-6 2025'!D:D,1,FALSE)),IFNA(VLOOKUP(F362,'Glovo Raw Nov 4-6 2025'!B:B,1,FALSE),"Not Matched"))))))</f>
      </c>
      <c r="H362">
        <f>COUNTIF(F:F,F362)</f>
      </c>
      <c r="I362" t="s">
        <v>6772</v>
      </c>
      <c r="J362" t="s">
        <v>5289</v>
      </c>
      <c r="K362" t="s">
        <v>4927</v>
      </c>
      <c r="L362" t="s">
        <v>5326</v>
      </c>
      <c r="M362" t="s">
        <v>5327</v>
      </c>
      <c r="N362" t="s">
        <v>5292</v>
      </c>
      <c r="O362" t="s">
        <v>100</v>
      </c>
      <c r="P362" t="s">
        <v>5328</v>
      </c>
      <c r="Q362">
        <v>0</v>
      </c>
      <c r="R362" t="s">
        <v>4922</v>
      </c>
      <c r="S362" t="s">
        <v>5293</v>
      </c>
      <c r="T362" t="s">
        <v>4923</v>
      </c>
      <c r="U362" t="s">
        <v>4924</v>
      </c>
      <c r="V362" t="s">
        <v>6773</v>
      </c>
      <c r="W362" t="s">
        <v>3667</v>
      </c>
      <c r="X362">
        <v>205.8</v>
      </c>
    </row>
    <row r="363" spans="1:24" x14ac:dyDescent="0.25">
      <c r="A363" t="s">
        <v>5176</v>
      </c>
      <c r="B363" t="s">
        <v>6649</v>
      </c>
      <c r="C363" t="s">
        <v>6650</v>
      </c>
      <c r="D363" t="s">
        <v>30</v>
      </c>
      <c r="E363" t="s">
        <v>4913</v>
      </c>
      <c r="F363" t="s">
        <v>3516</v>
      </c>
      <c r="G363">
        <f>IF(K363="Pick-up","PICKUPS",IF(K363="Staff drop-off","STAFF_DROPOFF",IF(K363="Replacements","REPLACEMENT",IF(K363="Central Stores Dispatch","CENTRAL STORES DISPATCH",IFNA(IFNA(VLOOKUP(F363,'Raw Platform Nov 4-6 2025'!C:C,1,FALSE),VLOOKUP(F363,'Raw Platform Nov 4-6 2025'!D:D,1,FALSE)),IFNA(VLOOKUP(F363,'Glovo Raw Nov 4-6 2025'!B:B,1,FALSE),"Not Matched"))))))</f>
      </c>
      <c r="H363">
        <f>COUNTIF(F:F,F363)</f>
      </c>
      <c r="I363" t="s">
        <v>6774</v>
      </c>
      <c r="J363" t="s">
        <v>4915</v>
      </c>
      <c r="K363" t="s">
        <v>4916</v>
      </c>
      <c r="L363" t="s">
        <v>6775</v>
      </c>
      <c r="M363" t="s">
        <v>6776</v>
      </c>
      <c r="N363" t="s">
        <v>6777</v>
      </c>
      <c r="O363" t="s">
        <v>123</v>
      </c>
      <c r="P363" t="s">
        <v>4990</v>
      </c>
      <c r="Q363">
        <v>940</v>
      </c>
      <c r="R363" t="s">
        <v>4922</v>
      </c>
      <c r="S363" t="s">
        <v>29</v>
      </c>
      <c r="T363" t="s">
        <v>4923</v>
      </c>
      <c r="U363" t="s">
        <v>4924</v>
      </c>
      <c r="V363" t="s">
        <v>6778</v>
      </c>
      <c r="W363" t="s">
        <v>3667</v>
      </c>
      <c r="X363">
        <v>111.5</v>
      </c>
    </row>
    <row r="364" spans="1:24" x14ac:dyDescent="0.25">
      <c r="A364" t="s">
        <v>5176</v>
      </c>
      <c r="B364" t="s">
        <v>6649</v>
      </c>
      <c r="C364" t="s">
        <v>6650</v>
      </c>
      <c r="D364" t="s">
        <v>30</v>
      </c>
      <c r="E364" t="s">
        <v>4913</v>
      </c>
      <c r="F364" t="s">
        <v>2771</v>
      </c>
      <c r="G364">
        <f>IF(K364="Pick-up","PICKUPS",IF(K364="Staff drop-off","STAFF_DROPOFF",IF(K364="Replacements","REPLACEMENT",IF(K364="Central Stores Dispatch","CENTRAL STORES DISPATCH",IFNA(IFNA(VLOOKUP(F364,'Raw Platform Nov 4-6 2025'!C:C,1,FALSE),VLOOKUP(F364,'Raw Platform Nov 4-6 2025'!D:D,1,FALSE)),IFNA(VLOOKUP(F364,'Glovo Raw Nov 4-6 2025'!B:B,1,FALSE),"Not Matched"))))))</f>
      </c>
      <c r="H364">
        <f>COUNTIF(F:F,F364)</f>
      </c>
      <c r="I364" t="s">
        <v>6779</v>
      </c>
      <c r="J364" t="s">
        <v>4915</v>
      </c>
      <c r="K364" t="s">
        <v>4927</v>
      </c>
      <c r="L364" t="s">
        <v>6780</v>
      </c>
      <c r="M364" t="s">
        <v>6781</v>
      </c>
      <c r="N364" t="s">
        <v>6782</v>
      </c>
      <c r="O364" t="s">
        <v>100</v>
      </c>
      <c r="P364" t="s">
        <v>5032</v>
      </c>
      <c r="Q364">
        <v>0</v>
      </c>
      <c r="R364" t="s">
        <v>4922</v>
      </c>
      <c r="S364" t="s">
        <v>12</v>
      </c>
      <c r="T364" t="s">
        <v>4923</v>
      </c>
      <c r="U364" t="s">
        <v>4924</v>
      </c>
      <c r="V364" t="s">
        <v>6783</v>
      </c>
      <c r="W364" t="s">
        <v>3667</v>
      </c>
      <c r="X364">
        <v>159.8</v>
      </c>
    </row>
    <row r="365" spans="1:24" x14ac:dyDescent="0.25">
      <c r="A365" t="s">
        <v>5176</v>
      </c>
      <c r="B365" t="s">
        <v>6649</v>
      </c>
      <c r="C365" t="s">
        <v>6650</v>
      </c>
      <c r="D365" t="s">
        <v>30</v>
      </c>
      <c r="E365" t="s">
        <v>4913</v>
      </c>
      <c r="F365" t="s">
        <v>2662</v>
      </c>
      <c r="G365">
        <f>IF(K365="Pick-up","PICKUPS",IF(K365="Staff drop-off","STAFF_DROPOFF",IF(K365="Replacements","REPLACEMENT",IF(K365="Central Stores Dispatch","CENTRAL STORES DISPATCH",IFNA(IFNA(VLOOKUP(F365,'Raw Platform Nov 4-6 2025'!C:C,1,FALSE),VLOOKUP(F365,'Raw Platform Nov 4-6 2025'!D:D,1,FALSE)),IFNA(VLOOKUP(F365,'Glovo Raw Nov 4-6 2025'!B:B,1,FALSE),"Not Matched"))))))</f>
      </c>
      <c r="H365">
        <f>COUNTIF(F:F,F365)</f>
      </c>
      <c r="I365" t="s">
        <v>6784</v>
      </c>
      <c r="J365" t="s">
        <v>4915</v>
      </c>
      <c r="K365" t="s">
        <v>4927</v>
      </c>
      <c r="L365" t="s">
        <v>6785</v>
      </c>
      <c r="M365" t="s">
        <v>6786</v>
      </c>
      <c r="N365" t="s">
        <v>6787</v>
      </c>
      <c r="O365" t="s">
        <v>4962</v>
      </c>
      <c r="P365" t="s">
        <v>5097</v>
      </c>
      <c r="Q365">
        <v>0</v>
      </c>
      <c r="R365" t="s">
        <v>4922</v>
      </c>
      <c r="S365" t="s">
        <v>29</v>
      </c>
      <c r="T365" t="s">
        <v>4923</v>
      </c>
      <c r="U365" t="s">
        <v>4924</v>
      </c>
      <c r="V365" t="s">
        <v>6788</v>
      </c>
      <c r="W365" t="s">
        <v>3667</v>
      </c>
      <c r="X365">
        <v>100</v>
      </c>
    </row>
    <row r="366" spans="1:24" x14ac:dyDescent="0.25">
      <c r="A366" t="s">
        <v>5176</v>
      </c>
      <c r="B366" t="s">
        <v>6649</v>
      </c>
      <c r="C366" t="s">
        <v>6650</v>
      </c>
      <c r="D366" t="s">
        <v>30</v>
      </c>
      <c r="E366" t="s">
        <v>4913</v>
      </c>
      <c r="F366" t="s">
        <v>2812</v>
      </c>
      <c r="G366">
        <f>IF(K366="Pick-up","PICKUPS",IF(K366="Staff drop-off","STAFF_DROPOFF",IF(K366="Replacements","REPLACEMENT",IF(K366="Central Stores Dispatch","CENTRAL STORES DISPATCH",IFNA(IFNA(VLOOKUP(F366,'Raw Platform Nov 4-6 2025'!C:C,1,FALSE),VLOOKUP(F366,'Raw Platform Nov 4-6 2025'!D:D,1,FALSE)),IFNA(VLOOKUP(F366,'Glovo Raw Nov 4-6 2025'!B:B,1,FALSE),"Not Matched"))))))</f>
      </c>
      <c r="H366">
        <f>COUNTIF(F:F,F366)</f>
      </c>
      <c r="I366" t="s">
        <v>6789</v>
      </c>
      <c r="J366" t="s">
        <v>4915</v>
      </c>
      <c r="K366" t="s">
        <v>4927</v>
      </c>
      <c r="L366" t="s">
        <v>6790</v>
      </c>
      <c r="M366" t="s">
        <v>6791</v>
      </c>
      <c r="N366" t="s">
        <v>4973</v>
      </c>
      <c r="O366" t="s">
        <v>123</v>
      </c>
      <c r="P366" t="s">
        <v>5820</v>
      </c>
      <c r="Q366">
        <v>0</v>
      </c>
      <c r="R366" t="s">
        <v>4922</v>
      </c>
      <c r="S366" t="s">
        <v>12</v>
      </c>
      <c r="T366" t="s">
        <v>4923</v>
      </c>
      <c r="U366" t="s">
        <v>4924</v>
      </c>
      <c r="V366" t="s">
        <v>6792</v>
      </c>
      <c r="W366" t="s">
        <v>3667</v>
      </c>
      <c r="X366">
        <v>139.1</v>
      </c>
    </row>
    <row r="367" spans="1:24" x14ac:dyDescent="0.25">
      <c r="A367" t="s">
        <v>6063</v>
      </c>
      <c r="B367" t="s">
        <v>6793</v>
      </c>
      <c r="C367" t="s">
        <v>6794</v>
      </c>
      <c r="D367" t="s">
        <v>19</v>
      </c>
      <c r="E367" t="s">
        <v>4913</v>
      </c>
      <c r="F367" t="s">
        <v>2364</v>
      </c>
      <c r="G367">
        <f>IF(K367="Pick-up","PICKUPS",IF(K367="Staff drop-off","STAFF_DROPOFF",IF(K367="Replacements","REPLACEMENT",IF(K367="Central Stores Dispatch","CENTRAL STORES DISPATCH",IFNA(IFNA(VLOOKUP(F367,'Raw Platform Nov 4-6 2025'!C:C,1,FALSE),VLOOKUP(F367,'Raw Platform Nov 4-6 2025'!D:D,1,FALSE)),IFNA(VLOOKUP(F367,'Glovo Raw Nov 4-6 2025'!B:B,1,FALSE),"Not Matched"))))))</f>
      </c>
      <c r="H367">
        <f>COUNTIF(F:F,F367)</f>
      </c>
      <c r="I367" t="s">
        <v>6795</v>
      </c>
      <c r="J367" t="s">
        <v>4915</v>
      </c>
      <c r="K367" t="s">
        <v>4927</v>
      </c>
      <c r="L367" t="s">
        <v>6796</v>
      </c>
      <c r="M367" t="s">
        <v>6120</v>
      </c>
      <c r="N367" t="s">
        <v>5264</v>
      </c>
      <c r="O367" t="s">
        <v>2009</v>
      </c>
      <c r="P367" t="s">
        <v>6235</v>
      </c>
      <c r="Q367">
        <v>0</v>
      </c>
      <c r="R367" t="s">
        <v>5118</v>
      </c>
      <c r="S367" t="s">
        <v>5437</v>
      </c>
      <c r="T367" t="s">
        <v>4923</v>
      </c>
      <c r="U367" t="s">
        <v>4924</v>
      </c>
      <c r="V367" t="s">
        <v>6797</v>
      </c>
      <c r="W367" t="s">
        <v>3667</v>
      </c>
      <c r="X367">
        <v>104.6</v>
      </c>
    </row>
    <row r="368" spans="1:24" x14ac:dyDescent="0.25">
      <c r="A368" t="s">
        <v>6063</v>
      </c>
      <c r="B368" t="s">
        <v>6793</v>
      </c>
      <c r="C368" t="s">
        <v>6794</v>
      </c>
      <c r="D368" t="s">
        <v>19</v>
      </c>
      <c r="E368" t="s">
        <v>4913</v>
      </c>
      <c r="F368" t="s">
        <v>1487</v>
      </c>
      <c r="G368">
        <f>IF(K368="Pick-up","PICKUPS",IF(K368="Staff drop-off","STAFF_DROPOFF",IF(K368="Replacements","REPLACEMENT",IF(K368="Central Stores Dispatch","CENTRAL STORES DISPATCH",IFNA(IFNA(VLOOKUP(F368,'Raw Platform Nov 4-6 2025'!C:C,1,FALSE),VLOOKUP(F368,'Raw Platform Nov 4-6 2025'!D:D,1,FALSE)),IFNA(VLOOKUP(F368,'Glovo Raw Nov 4-6 2025'!B:B,1,FALSE),"Not Matched"))))))</f>
      </c>
      <c r="H368">
        <f>COUNTIF(F:F,F368)</f>
      </c>
      <c r="I368" t="s">
        <v>6798</v>
      </c>
      <c r="J368" t="s">
        <v>4915</v>
      </c>
      <c r="K368" t="s">
        <v>4927</v>
      </c>
      <c r="L368" t="s">
        <v>6799</v>
      </c>
      <c r="M368" t="s">
        <v>6800</v>
      </c>
      <c r="N368" t="s">
        <v>6801</v>
      </c>
      <c r="O368" t="s">
        <v>16</v>
      </c>
      <c r="P368" t="s">
        <v>6802</v>
      </c>
      <c r="Q368">
        <v>0</v>
      </c>
      <c r="R368" t="s">
        <v>5118</v>
      </c>
      <c r="S368" t="s">
        <v>35</v>
      </c>
      <c r="T368" t="s">
        <v>4923</v>
      </c>
      <c r="U368" t="s">
        <v>4924</v>
      </c>
      <c r="V368" t="s">
        <v>6803</v>
      </c>
      <c r="W368" t="s">
        <v>3667</v>
      </c>
      <c r="X368">
        <v>219.6</v>
      </c>
    </row>
    <row r="369" spans="1:24" x14ac:dyDescent="0.25">
      <c r="A369" t="s">
        <v>6063</v>
      </c>
      <c r="B369" t="s">
        <v>6793</v>
      </c>
      <c r="C369" t="s">
        <v>6794</v>
      </c>
      <c r="D369" t="s">
        <v>19</v>
      </c>
      <c r="E369" t="s">
        <v>4913</v>
      </c>
      <c r="F369" t="s">
        <v>2551</v>
      </c>
      <c r="G369">
        <f>IF(K369="Pick-up","PICKUPS",IF(K369="Staff drop-off","STAFF_DROPOFF",IF(K369="Replacements","REPLACEMENT",IF(K369="Central Stores Dispatch","CENTRAL STORES DISPATCH",IFNA(IFNA(VLOOKUP(F369,'Raw Platform Nov 4-6 2025'!C:C,1,FALSE),VLOOKUP(F369,'Raw Platform Nov 4-6 2025'!D:D,1,FALSE)),IFNA(VLOOKUP(F369,'Glovo Raw Nov 4-6 2025'!B:B,1,FALSE),"Not Matched"))))))</f>
      </c>
      <c r="H369">
        <f>COUNTIF(F:F,F369)</f>
      </c>
      <c r="I369" t="s">
        <v>6804</v>
      </c>
      <c r="J369" t="s">
        <v>4915</v>
      </c>
      <c r="K369" t="s">
        <v>4927</v>
      </c>
      <c r="L369" t="s">
        <v>6805</v>
      </c>
      <c r="M369" t="s">
        <v>6806</v>
      </c>
      <c r="N369" t="s">
        <v>6807</v>
      </c>
      <c r="O369" t="s">
        <v>77</v>
      </c>
      <c r="P369" t="s">
        <v>6808</v>
      </c>
      <c r="Q369">
        <v>0</v>
      </c>
      <c r="R369" t="s">
        <v>5118</v>
      </c>
      <c r="S369" t="s">
        <v>35</v>
      </c>
      <c r="T369" t="s">
        <v>4923</v>
      </c>
      <c r="U369" t="s">
        <v>4924</v>
      </c>
      <c r="V369" t="s">
        <v>6809</v>
      </c>
      <c r="W369" t="s">
        <v>3667</v>
      </c>
      <c r="X369">
        <v>194.3</v>
      </c>
    </row>
    <row r="370" spans="1:24" x14ac:dyDescent="0.25">
      <c r="A370" t="s">
        <v>6063</v>
      </c>
      <c r="B370" t="s">
        <v>6793</v>
      </c>
      <c r="C370" t="s">
        <v>6794</v>
      </c>
      <c r="D370" t="s">
        <v>19</v>
      </c>
      <c r="E370" t="s">
        <v>4913</v>
      </c>
      <c r="F370" t="s">
        <v>3130</v>
      </c>
      <c r="G370">
        <f>IF(K370="Pick-up","PICKUPS",IF(K370="Staff drop-off","STAFF_DROPOFF",IF(K370="Replacements","REPLACEMENT",IF(K370="Central Stores Dispatch","CENTRAL STORES DISPATCH",IFNA(IFNA(VLOOKUP(F370,'Raw Platform Nov 4-6 2025'!C:C,1,FALSE),VLOOKUP(F370,'Raw Platform Nov 4-6 2025'!D:D,1,FALSE)),IFNA(VLOOKUP(F370,'Glovo Raw Nov 4-6 2025'!B:B,1,FALSE),"Not Matched"))))))</f>
      </c>
      <c r="H370">
        <f>COUNTIF(F:F,F370)</f>
      </c>
      <c r="I370" t="s">
        <v>6810</v>
      </c>
      <c r="J370" t="s">
        <v>4915</v>
      </c>
      <c r="K370" t="s">
        <v>4927</v>
      </c>
      <c r="L370" t="s">
        <v>6811</v>
      </c>
      <c r="M370" t="s">
        <v>6120</v>
      </c>
      <c r="N370" t="s">
        <v>6812</v>
      </c>
      <c r="O370" t="s">
        <v>183</v>
      </c>
      <c r="P370" t="s">
        <v>6813</v>
      </c>
      <c r="Q370">
        <v>0</v>
      </c>
      <c r="R370" t="s">
        <v>5118</v>
      </c>
      <c r="S370" t="s">
        <v>12</v>
      </c>
      <c r="T370" t="s">
        <v>4923</v>
      </c>
      <c r="U370" t="s">
        <v>4924</v>
      </c>
      <c r="V370" t="s">
        <v>6814</v>
      </c>
      <c r="W370" t="s">
        <v>3667</v>
      </c>
      <c r="X370">
        <v>242.6</v>
      </c>
    </row>
    <row r="371" spans="1:24" x14ac:dyDescent="0.25">
      <c r="A371" t="s">
        <v>5176</v>
      </c>
      <c r="B371" t="s">
        <v>6815</v>
      </c>
      <c r="C371" t="s">
        <v>6816</v>
      </c>
      <c r="D371" t="s">
        <v>30</v>
      </c>
      <c r="E371" t="s">
        <v>4913</v>
      </c>
      <c r="F371" t="s">
        <v>6817</v>
      </c>
      <c r="G371">
        <f>IF(K371="Pick-up","PICKUPS",IF(K371="Staff drop-off","STAFF_DROPOFF",IF(K371="Replacements","REPLACEMENT",IF(K371="Central Stores Dispatch","CENTRAL STORES DISPATCH",IFNA(IFNA(VLOOKUP(F371,'Raw Platform Nov 4-6 2025'!C:C,1,FALSE),VLOOKUP(F371,'Raw Platform Nov 4-6 2025'!D:D,1,FALSE)),IFNA(VLOOKUP(F371,'Glovo Raw Nov 4-6 2025'!B:B,1,FALSE),"Not Matched"))))))</f>
      </c>
      <c r="H371">
        <f>COUNTIF(F:F,F371)</f>
      </c>
      <c r="I371" t="s">
        <v>6818</v>
      </c>
      <c r="J371" t="s">
        <v>5289</v>
      </c>
      <c r="K371" t="s">
        <v>4927</v>
      </c>
      <c r="L371" t="s">
        <v>5326</v>
      </c>
      <c r="M371" t="s">
        <v>5327</v>
      </c>
      <c r="N371" t="s">
        <v>5292</v>
      </c>
      <c r="O371" t="s">
        <v>100</v>
      </c>
      <c r="P371" t="s">
        <v>5328</v>
      </c>
      <c r="Q371">
        <v>0</v>
      </c>
      <c r="R371" t="s">
        <v>4922</v>
      </c>
      <c r="S371" t="s">
        <v>5293</v>
      </c>
      <c r="T371" t="s">
        <v>4923</v>
      </c>
      <c r="U371" t="s">
        <v>4924</v>
      </c>
      <c r="V371" t="s">
        <v>6819</v>
      </c>
      <c r="W371" t="s">
        <v>3667</v>
      </c>
      <c r="X371">
        <v>205.8</v>
      </c>
    </row>
    <row r="372" spans="1:24" x14ac:dyDescent="0.25">
      <c r="A372" t="s">
        <v>5176</v>
      </c>
      <c r="B372" t="s">
        <v>6815</v>
      </c>
      <c r="C372" t="s">
        <v>6816</v>
      </c>
      <c r="D372" t="s">
        <v>30</v>
      </c>
      <c r="E372" t="s">
        <v>4913</v>
      </c>
      <c r="F372" t="s">
        <v>1005</v>
      </c>
      <c r="G372">
        <f>IF(K372="Pick-up","PICKUPS",IF(K372="Staff drop-off","STAFF_DROPOFF",IF(K372="Replacements","REPLACEMENT",IF(K372="Central Stores Dispatch","CENTRAL STORES DISPATCH",IFNA(IFNA(VLOOKUP(F372,'Raw Platform Nov 4-6 2025'!C:C,1,FALSE),VLOOKUP(F372,'Raw Platform Nov 4-6 2025'!D:D,1,FALSE)),IFNA(VLOOKUP(F372,'Glovo Raw Nov 4-6 2025'!B:B,1,FALSE),"Not Matched"))))))</f>
      </c>
      <c r="H372">
        <f>COUNTIF(F:F,F372)</f>
      </c>
      <c r="I372" t="s">
        <v>6820</v>
      </c>
      <c r="J372" t="s">
        <v>4915</v>
      </c>
      <c r="K372" t="s">
        <v>4916</v>
      </c>
      <c r="L372" t="s">
        <v>6821</v>
      </c>
      <c r="M372" t="s">
        <v>6822</v>
      </c>
      <c r="N372" t="s">
        <v>6823</v>
      </c>
      <c r="O372" t="s">
        <v>4962</v>
      </c>
      <c r="P372" t="s">
        <v>5025</v>
      </c>
      <c r="Q372">
        <v>1522</v>
      </c>
      <c r="R372" t="s">
        <v>4922</v>
      </c>
      <c r="S372" t="s">
        <v>12</v>
      </c>
      <c r="T372" t="s">
        <v>4923</v>
      </c>
      <c r="U372" t="s">
        <v>4924</v>
      </c>
      <c r="V372" t="s">
        <v>6824</v>
      </c>
      <c r="W372" t="s">
        <v>3667</v>
      </c>
      <c r="X372">
        <v>100</v>
      </c>
    </row>
    <row r="373" spans="1:24" x14ac:dyDescent="0.25">
      <c r="A373" t="s">
        <v>5176</v>
      </c>
      <c r="B373" t="s">
        <v>6815</v>
      </c>
      <c r="C373" t="s">
        <v>6816</v>
      </c>
      <c r="D373" t="s">
        <v>30</v>
      </c>
      <c r="E373" t="s">
        <v>4913</v>
      </c>
      <c r="F373" t="s">
        <v>414</v>
      </c>
      <c r="G373">
        <f>IF(K373="Pick-up","PICKUPS",IF(K373="Staff drop-off","STAFF_DROPOFF",IF(K373="Replacements","REPLACEMENT",IF(K373="Central Stores Dispatch","CENTRAL STORES DISPATCH",IFNA(IFNA(VLOOKUP(F373,'Raw Platform Nov 4-6 2025'!C:C,1,FALSE),VLOOKUP(F373,'Raw Platform Nov 4-6 2025'!D:D,1,FALSE)),IFNA(VLOOKUP(F373,'Glovo Raw Nov 4-6 2025'!B:B,1,FALSE),"Not Matched"))))))</f>
      </c>
      <c r="H373">
        <f>COUNTIF(F:F,F373)</f>
      </c>
      <c r="I373" t="s">
        <v>6825</v>
      </c>
      <c r="J373" t="s">
        <v>4915</v>
      </c>
      <c r="K373" t="s">
        <v>4916</v>
      </c>
      <c r="L373" t="s">
        <v>6826</v>
      </c>
      <c r="M373" t="s">
        <v>6827</v>
      </c>
      <c r="N373" t="s">
        <v>6828</v>
      </c>
      <c r="O373" t="s">
        <v>26</v>
      </c>
      <c r="P373" t="s">
        <v>6829</v>
      </c>
      <c r="Q373">
        <v>1118</v>
      </c>
      <c r="R373" t="s">
        <v>4922</v>
      </c>
      <c r="S373" t="s">
        <v>29</v>
      </c>
      <c r="T373" t="s">
        <v>4923</v>
      </c>
      <c r="U373" t="s">
        <v>4924</v>
      </c>
      <c r="V373" t="s">
        <v>6830</v>
      </c>
      <c r="W373" t="s">
        <v>3667</v>
      </c>
      <c r="X373">
        <v>171.3</v>
      </c>
    </row>
    <row r="374" spans="1:24" x14ac:dyDescent="0.25">
      <c r="A374" t="s">
        <v>5176</v>
      </c>
      <c r="B374" t="s">
        <v>6815</v>
      </c>
      <c r="C374" t="s">
        <v>6816</v>
      </c>
      <c r="D374" t="s">
        <v>30</v>
      </c>
      <c r="E374" t="s">
        <v>4913</v>
      </c>
      <c r="F374" t="s">
        <v>485</v>
      </c>
      <c r="G374">
        <f>IF(K374="Pick-up","PICKUPS",IF(K374="Staff drop-off","STAFF_DROPOFF",IF(K374="Replacements","REPLACEMENT",IF(K374="Central Stores Dispatch","CENTRAL STORES DISPATCH",IFNA(IFNA(VLOOKUP(F374,'Raw Platform Nov 4-6 2025'!C:C,1,FALSE),VLOOKUP(F374,'Raw Platform Nov 4-6 2025'!D:D,1,FALSE)),IFNA(VLOOKUP(F374,'Glovo Raw Nov 4-6 2025'!B:B,1,FALSE),"Not Matched"))))))</f>
      </c>
      <c r="H374">
        <f>COUNTIF(F:F,F374)</f>
      </c>
      <c r="I374" t="s">
        <v>6831</v>
      </c>
      <c r="J374" t="s">
        <v>4915</v>
      </c>
      <c r="K374" t="s">
        <v>4927</v>
      </c>
      <c r="L374" t="s">
        <v>6832</v>
      </c>
      <c r="M374" t="s">
        <v>6833</v>
      </c>
      <c r="N374" t="s">
        <v>5804</v>
      </c>
      <c r="O374" t="s">
        <v>73</v>
      </c>
      <c r="P374" t="s">
        <v>5001</v>
      </c>
      <c r="Q374">
        <v>0</v>
      </c>
      <c r="R374" t="s">
        <v>4922</v>
      </c>
      <c r="S374" t="s">
        <v>12</v>
      </c>
      <c r="T374" t="s">
        <v>4923</v>
      </c>
      <c r="U374" t="s">
        <v>4924</v>
      </c>
      <c r="V374" t="s">
        <v>6834</v>
      </c>
      <c r="W374" t="s">
        <v>3667</v>
      </c>
      <c r="X374">
        <v>120.7</v>
      </c>
    </row>
    <row r="375" spans="1:24" x14ac:dyDescent="0.25">
      <c r="A375" t="s">
        <v>5176</v>
      </c>
      <c r="B375" t="s">
        <v>6815</v>
      </c>
      <c r="C375" t="s">
        <v>6816</v>
      </c>
      <c r="D375" t="s">
        <v>30</v>
      </c>
      <c r="E375" t="s">
        <v>4913</v>
      </c>
      <c r="F375" t="s">
        <v>156</v>
      </c>
      <c r="G375">
        <f>IF(K375="Pick-up","PICKUPS",IF(K375="Staff drop-off","STAFF_DROPOFF",IF(K375="Replacements","REPLACEMENT",IF(K375="Central Stores Dispatch","CENTRAL STORES DISPATCH",IFNA(IFNA(VLOOKUP(F375,'Raw Platform Nov 4-6 2025'!C:C,1,FALSE),VLOOKUP(F375,'Raw Platform Nov 4-6 2025'!D:D,1,FALSE)),IFNA(VLOOKUP(F375,'Glovo Raw Nov 4-6 2025'!B:B,1,FALSE),"Not Matched"))))))</f>
      </c>
      <c r="H375">
        <f>COUNTIF(F:F,F375)</f>
      </c>
      <c r="I375" t="s">
        <v>6835</v>
      </c>
      <c r="J375" t="s">
        <v>63</v>
      </c>
      <c r="K375" t="s">
        <v>4927</v>
      </c>
      <c r="L375" t="s">
        <v>6836</v>
      </c>
      <c r="M375" t="s">
        <v>6837</v>
      </c>
      <c r="N375" t="s">
        <v>6838</v>
      </c>
      <c r="O375" t="s">
        <v>73</v>
      </c>
      <c r="P375" t="s">
        <v>4990</v>
      </c>
      <c r="Q375">
        <v>0</v>
      </c>
      <c r="R375" t="s">
        <v>4922</v>
      </c>
      <c r="S375" t="s">
        <v>12</v>
      </c>
      <c r="T375" t="s">
        <v>4923</v>
      </c>
      <c r="U375" t="s">
        <v>4924</v>
      </c>
      <c r="V375" t="s">
        <v>6839</v>
      </c>
      <c r="W375" t="s">
        <v>3667</v>
      </c>
      <c r="X375">
        <v>111.5</v>
      </c>
    </row>
    <row r="376" spans="1:24" x14ac:dyDescent="0.25">
      <c r="A376" t="s">
        <v>5176</v>
      </c>
      <c r="B376" t="s">
        <v>6815</v>
      </c>
      <c r="C376" t="s">
        <v>6816</v>
      </c>
      <c r="D376" t="s">
        <v>30</v>
      </c>
      <c r="E376" t="s">
        <v>4913</v>
      </c>
      <c r="F376" t="s">
        <v>245</v>
      </c>
      <c r="G376">
        <f>IF(K376="Pick-up","PICKUPS",IF(K376="Staff drop-off","STAFF_DROPOFF",IF(K376="Replacements","REPLACEMENT",IF(K376="Central Stores Dispatch","CENTRAL STORES DISPATCH",IFNA(IFNA(VLOOKUP(F376,'Raw Platform Nov 4-6 2025'!C:C,1,FALSE),VLOOKUP(F376,'Raw Platform Nov 4-6 2025'!D:D,1,FALSE)),IFNA(VLOOKUP(F376,'Glovo Raw Nov 4-6 2025'!B:B,1,FALSE),"Not Matched"))))))</f>
      </c>
      <c r="H376">
        <f>COUNTIF(F:F,F376)</f>
      </c>
      <c r="I376" t="s">
        <v>6840</v>
      </c>
      <c r="J376" t="s">
        <v>4915</v>
      </c>
      <c r="K376" t="s">
        <v>4927</v>
      </c>
      <c r="L376" t="s">
        <v>6841</v>
      </c>
      <c r="M376" t="s">
        <v>6842</v>
      </c>
      <c r="N376" t="s">
        <v>6843</v>
      </c>
      <c r="O376" t="s">
        <v>5469</v>
      </c>
      <c r="P376" t="s">
        <v>5679</v>
      </c>
      <c r="Q376">
        <v>0</v>
      </c>
      <c r="R376" t="s">
        <v>4922</v>
      </c>
      <c r="S376" t="s">
        <v>172</v>
      </c>
      <c r="T376" t="s">
        <v>4923</v>
      </c>
      <c r="U376" t="s">
        <v>4924</v>
      </c>
      <c r="V376" t="s">
        <v>6844</v>
      </c>
      <c r="W376" t="s">
        <v>3667</v>
      </c>
      <c r="X376">
        <v>445</v>
      </c>
    </row>
    <row r="377" spans="1:24" x14ac:dyDescent="0.25">
      <c r="A377" t="s">
        <v>5130</v>
      </c>
      <c r="B377" t="s">
        <v>6815</v>
      </c>
      <c r="C377" t="s">
        <v>6816</v>
      </c>
      <c r="D377" t="s">
        <v>24</v>
      </c>
      <c r="E377" t="s">
        <v>4913</v>
      </c>
      <c r="F377" t="s">
        <v>6845</v>
      </c>
      <c r="G377">
        <f>IF(K377="Pick-up","PICKUPS",IF(K377="Staff drop-off","STAFF_DROPOFF",IF(K377="Replacements","REPLACEMENT",IF(K377="Central Stores Dispatch","CENTRAL STORES DISPATCH",IFNA(IFNA(VLOOKUP(F377,'Raw Platform Nov 4-6 2025'!C:C,1,FALSE),VLOOKUP(F377,'Raw Platform Nov 4-6 2025'!D:D,1,FALSE)),IFNA(VLOOKUP(F377,'Glovo Raw Nov 4-6 2025'!B:B,1,FALSE),"Not Matched"))))))</f>
      </c>
      <c r="H377">
        <f>COUNTIF(F:F,F377)</f>
      </c>
      <c r="I377" t="s">
        <v>6846</v>
      </c>
      <c r="J377" t="s">
        <v>4915</v>
      </c>
      <c r="K377" t="s">
        <v>4927</v>
      </c>
      <c r="L377" t="s">
        <v>6845</v>
      </c>
      <c r="M377" t="s">
        <v>5419</v>
      </c>
      <c r="N377" t="s">
        <v>5321</v>
      </c>
      <c r="O377" t="s">
        <v>9</v>
      </c>
      <c r="P377" t="s">
        <v>5322</v>
      </c>
      <c r="Q377">
        <v>0</v>
      </c>
      <c r="R377" t="s">
        <v>4922</v>
      </c>
      <c r="S377" t="s">
        <v>5293</v>
      </c>
      <c r="T377" t="s">
        <v>4923</v>
      </c>
      <c r="U377" t="s">
        <v>4924</v>
      </c>
      <c r="V377" t="s">
        <v>6847</v>
      </c>
      <c r="W377" t="s">
        <v>3667</v>
      </c>
      <c r="X377">
        <v>189.7</v>
      </c>
    </row>
    <row r="378" spans="1:24" x14ac:dyDescent="0.25">
      <c r="A378" t="s">
        <v>5176</v>
      </c>
      <c r="B378" t="s">
        <v>6815</v>
      </c>
      <c r="C378" t="s">
        <v>6816</v>
      </c>
      <c r="D378" t="s">
        <v>30</v>
      </c>
      <c r="E378" t="s">
        <v>4913</v>
      </c>
      <c r="F378" t="s">
        <v>6848</v>
      </c>
      <c r="G378">
        <f>IF(K378="Pick-up","PICKUPS",IF(K378="Staff drop-off","STAFF_DROPOFF",IF(K378="Replacements","REPLACEMENT",IF(K378="Central Stores Dispatch","CENTRAL STORES DISPATCH",IFNA(IFNA(VLOOKUP(F378,'Raw Platform Nov 4-6 2025'!C:C,1,FALSE),VLOOKUP(F378,'Raw Platform Nov 4-6 2025'!D:D,1,FALSE)),IFNA(VLOOKUP(F378,'Glovo Raw Nov 4-6 2025'!B:B,1,FALSE),"Not Matched"))))))</f>
      </c>
      <c r="H378">
        <f>COUNTIF(F:F,F378)</f>
      </c>
      <c r="I378" t="s">
        <v>6849</v>
      </c>
      <c r="J378" t="s">
        <v>5289</v>
      </c>
      <c r="K378" t="s">
        <v>4927</v>
      </c>
      <c r="L378" t="s">
        <v>5326</v>
      </c>
      <c r="M378" t="s">
        <v>5327</v>
      </c>
      <c r="N378" t="s">
        <v>5292</v>
      </c>
      <c r="O378" t="s">
        <v>100</v>
      </c>
      <c r="P378" t="s">
        <v>5328</v>
      </c>
      <c r="Q378">
        <v>0</v>
      </c>
      <c r="R378" t="s">
        <v>4922</v>
      </c>
      <c r="S378" t="s">
        <v>5293</v>
      </c>
      <c r="T378" t="s">
        <v>4923</v>
      </c>
      <c r="U378" t="s">
        <v>4924</v>
      </c>
      <c r="V378" t="s">
        <v>6850</v>
      </c>
      <c r="W378" t="s">
        <v>3667</v>
      </c>
      <c r="X378">
        <v>205.8</v>
      </c>
    </row>
    <row r="379" spans="1:24" x14ac:dyDescent="0.25">
      <c r="A379" t="s">
        <v>5176</v>
      </c>
      <c r="B379" t="s">
        <v>6815</v>
      </c>
      <c r="C379" t="s">
        <v>6816</v>
      </c>
      <c r="D379" t="s">
        <v>30</v>
      </c>
      <c r="E379" t="s">
        <v>4913</v>
      </c>
      <c r="F379" t="s">
        <v>6851</v>
      </c>
      <c r="G379">
        <f>IF(K379="Pick-up","PICKUPS",IF(K379="Staff drop-off","STAFF_DROPOFF",IF(K379="Replacements","REPLACEMENT",IF(K379="Central Stores Dispatch","CENTRAL STORES DISPATCH",IFNA(IFNA(VLOOKUP(F379,'Raw Platform Nov 4-6 2025'!C:C,1,FALSE),VLOOKUP(F379,'Raw Platform Nov 4-6 2025'!D:D,1,FALSE)),IFNA(VLOOKUP(F379,'Glovo Raw Nov 4-6 2025'!B:B,1,FALSE),"Not Matched"))))))</f>
      </c>
      <c r="H379">
        <f>COUNTIF(F:F,F379)</f>
      </c>
      <c r="I379" t="s">
        <v>6852</v>
      </c>
      <c r="J379" t="s">
        <v>5289</v>
      </c>
      <c r="K379" t="s">
        <v>4927</v>
      </c>
      <c r="L379" t="s">
        <v>5326</v>
      </c>
      <c r="M379" t="s">
        <v>5327</v>
      </c>
      <c r="N379" t="s">
        <v>5292</v>
      </c>
      <c r="O379" t="s">
        <v>100</v>
      </c>
      <c r="P379" t="s">
        <v>5328</v>
      </c>
      <c r="Q379">
        <v>0</v>
      </c>
      <c r="R379" t="s">
        <v>4922</v>
      </c>
      <c r="S379" t="s">
        <v>5293</v>
      </c>
      <c r="T379" t="s">
        <v>4923</v>
      </c>
      <c r="U379" t="s">
        <v>4924</v>
      </c>
      <c r="V379" t="s">
        <v>6853</v>
      </c>
      <c r="W379" t="s">
        <v>3667</v>
      </c>
      <c r="X379">
        <v>205.8</v>
      </c>
    </row>
    <row r="380" spans="1:24" x14ac:dyDescent="0.25">
      <c r="A380" t="s">
        <v>5176</v>
      </c>
      <c r="B380" t="s">
        <v>6815</v>
      </c>
      <c r="C380" t="s">
        <v>6816</v>
      </c>
      <c r="D380" t="s">
        <v>30</v>
      </c>
      <c r="E380" t="s">
        <v>4913</v>
      </c>
      <c r="F380" t="s">
        <v>1384</v>
      </c>
      <c r="G380">
        <f>IF(K380="Pick-up","PICKUPS",IF(K380="Staff drop-off","STAFF_DROPOFF",IF(K380="Replacements","REPLACEMENT",IF(K380="Central Stores Dispatch","CENTRAL STORES DISPATCH",IFNA(IFNA(VLOOKUP(F380,'Raw Platform Nov 4-6 2025'!C:C,1,FALSE),VLOOKUP(F380,'Raw Platform Nov 4-6 2025'!D:D,1,FALSE)),IFNA(VLOOKUP(F380,'Glovo Raw Nov 4-6 2025'!B:B,1,FALSE),"Not Matched"))))))</f>
      </c>
      <c r="H380">
        <f>COUNTIF(F:F,F380)</f>
      </c>
      <c r="I380" t="s">
        <v>6854</v>
      </c>
      <c r="J380" t="s">
        <v>4915</v>
      </c>
      <c r="K380" t="s">
        <v>4927</v>
      </c>
      <c r="L380" t="s">
        <v>6855</v>
      </c>
      <c r="M380" t="s">
        <v>6856</v>
      </c>
      <c r="N380" t="s">
        <v>6857</v>
      </c>
      <c r="O380" t="s">
        <v>4956</v>
      </c>
      <c r="P380" t="s">
        <v>5613</v>
      </c>
      <c r="Q380">
        <v>0</v>
      </c>
      <c r="R380" t="s">
        <v>4922</v>
      </c>
      <c r="S380" t="s">
        <v>116</v>
      </c>
      <c r="T380" t="s">
        <v>4923</v>
      </c>
      <c r="U380" t="s">
        <v>4924</v>
      </c>
      <c r="V380" t="s">
        <v>6858</v>
      </c>
      <c r="W380" t="s">
        <v>3667</v>
      </c>
      <c r="X380">
        <v>100</v>
      </c>
    </row>
    <row r="381" spans="1:24" x14ac:dyDescent="0.25">
      <c r="A381" t="s">
        <v>5176</v>
      </c>
      <c r="B381" t="s">
        <v>6815</v>
      </c>
      <c r="C381" t="s">
        <v>6816</v>
      </c>
      <c r="D381" t="s">
        <v>30</v>
      </c>
      <c r="E381" t="s">
        <v>4913</v>
      </c>
      <c r="F381" t="s">
        <v>949</v>
      </c>
      <c r="G381">
        <f>IF(K381="Pick-up","PICKUPS",IF(K381="Staff drop-off","STAFF_DROPOFF",IF(K381="Replacements","REPLACEMENT",IF(K381="Central Stores Dispatch","CENTRAL STORES DISPATCH",IFNA(IFNA(VLOOKUP(F381,'Raw Platform Nov 4-6 2025'!C:C,1,FALSE),VLOOKUP(F381,'Raw Platform Nov 4-6 2025'!D:D,1,FALSE)),IFNA(VLOOKUP(F381,'Glovo Raw Nov 4-6 2025'!B:B,1,FALSE),"Not Matched"))))))</f>
      </c>
      <c r="H381">
        <f>COUNTIF(F:F,F381)</f>
      </c>
      <c r="I381" t="s">
        <v>6859</v>
      </c>
      <c r="J381" t="s">
        <v>63</v>
      </c>
      <c r="K381" t="s">
        <v>4927</v>
      </c>
      <c r="L381" t="s">
        <v>6387</v>
      </c>
      <c r="M381" t="s">
        <v>6860</v>
      </c>
      <c r="N381" t="s">
        <v>6861</v>
      </c>
      <c r="O381" t="s">
        <v>4949</v>
      </c>
      <c r="P381" t="s">
        <v>5219</v>
      </c>
      <c r="Q381">
        <v>0</v>
      </c>
      <c r="R381" t="s">
        <v>4922</v>
      </c>
      <c r="S381" t="s">
        <v>172</v>
      </c>
      <c r="T381" t="s">
        <v>4923</v>
      </c>
      <c r="U381" t="s">
        <v>4924</v>
      </c>
      <c r="V381" t="s">
        <v>6862</v>
      </c>
      <c r="W381" t="s">
        <v>3667</v>
      </c>
      <c r="X381">
        <v>100</v>
      </c>
    </row>
    <row r="382" spans="1:24" x14ac:dyDescent="0.25">
      <c r="A382" t="s">
        <v>5176</v>
      </c>
      <c r="B382" t="s">
        <v>6815</v>
      </c>
      <c r="C382" t="s">
        <v>6816</v>
      </c>
      <c r="D382" t="s">
        <v>30</v>
      </c>
      <c r="E382" t="s">
        <v>4913</v>
      </c>
      <c r="F382" t="s">
        <v>6863</v>
      </c>
      <c r="G382">
        <f>IF(K382="Pick-up","PICKUPS",IF(K382="Staff drop-off","STAFF_DROPOFF",IF(K382="Replacements","REPLACEMENT",IF(K382="Central Stores Dispatch","CENTRAL STORES DISPATCH",IFNA(IFNA(VLOOKUP(F382,'Raw Platform Nov 4-6 2025'!C:C,1,FALSE),VLOOKUP(F382,'Raw Platform Nov 4-6 2025'!D:D,1,FALSE)),IFNA(VLOOKUP(F382,'Glovo Raw Nov 4-6 2025'!B:B,1,FALSE),"Not Matched"))))))</f>
      </c>
      <c r="H382">
        <f>COUNTIF(F:F,F382)</f>
      </c>
      <c r="I382" t="s">
        <v>6864</v>
      </c>
      <c r="J382" t="s">
        <v>5289</v>
      </c>
      <c r="K382" t="s">
        <v>4927</v>
      </c>
      <c r="L382" t="s">
        <v>5326</v>
      </c>
      <c r="M382" t="s">
        <v>5327</v>
      </c>
      <c r="N382" t="s">
        <v>5292</v>
      </c>
      <c r="O382" t="s">
        <v>100</v>
      </c>
      <c r="P382" t="s">
        <v>5328</v>
      </c>
      <c r="Q382">
        <v>0</v>
      </c>
      <c r="R382" t="s">
        <v>4922</v>
      </c>
      <c r="S382" t="s">
        <v>5293</v>
      </c>
      <c r="T382" t="s">
        <v>4923</v>
      </c>
      <c r="U382" t="s">
        <v>4924</v>
      </c>
      <c r="V382" t="s">
        <v>6865</v>
      </c>
      <c r="W382" t="s">
        <v>3667</v>
      </c>
      <c r="X382">
        <v>205.8</v>
      </c>
    </row>
    <row r="383" spans="1:24" x14ac:dyDescent="0.25">
      <c r="A383" t="s">
        <v>5176</v>
      </c>
      <c r="B383" t="s">
        <v>6815</v>
      </c>
      <c r="C383" t="s">
        <v>6816</v>
      </c>
      <c r="D383" t="s">
        <v>30</v>
      </c>
      <c r="E383" t="s">
        <v>4913</v>
      </c>
      <c r="F383" t="s">
        <v>2472</v>
      </c>
      <c r="G383">
        <f>IF(K383="Pick-up","PICKUPS",IF(K383="Staff drop-off","STAFF_DROPOFF",IF(K383="Replacements","REPLACEMENT",IF(K383="Central Stores Dispatch","CENTRAL STORES DISPATCH",IFNA(IFNA(VLOOKUP(F383,'Raw Platform Nov 4-6 2025'!C:C,1,FALSE),VLOOKUP(F383,'Raw Platform Nov 4-6 2025'!D:D,1,FALSE)),IFNA(VLOOKUP(F383,'Glovo Raw Nov 4-6 2025'!B:B,1,FALSE),"Not Matched"))))))</f>
      </c>
      <c r="H383">
        <f>COUNTIF(F:F,F383)</f>
      </c>
      <c r="I383" t="s">
        <v>6866</v>
      </c>
      <c r="J383" t="s">
        <v>4915</v>
      </c>
      <c r="K383" t="s">
        <v>4927</v>
      </c>
      <c r="L383" t="s">
        <v>6867</v>
      </c>
      <c r="M383" t="s">
        <v>6868</v>
      </c>
      <c r="N383" t="s">
        <v>6869</v>
      </c>
      <c r="O383" t="s">
        <v>5534</v>
      </c>
      <c r="P383" t="s">
        <v>6870</v>
      </c>
      <c r="Q383">
        <v>0</v>
      </c>
      <c r="R383" t="s">
        <v>4922</v>
      </c>
      <c r="S383" t="s">
        <v>172</v>
      </c>
      <c r="T383" t="s">
        <v>4923</v>
      </c>
      <c r="U383" t="s">
        <v>4924</v>
      </c>
      <c r="V383" t="s">
        <v>6871</v>
      </c>
      <c r="W383" t="s">
        <v>3667</v>
      </c>
      <c r="X383">
        <v>396.7</v>
      </c>
    </row>
    <row r="384" spans="1:24" x14ac:dyDescent="0.25">
      <c r="A384" t="s">
        <v>5176</v>
      </c>
      <c r="B384" t="s">
        <v>6815</v>
      </c>
      <c r="C384" t="s">
        <v>6816</v>
      </c>
      <c r="D384" t="s">
        <v>30</v>
      </c>
      <c r="E384" t="s">
        <v>4913</v>
      </c>
      <c r="F384" t="s">
        <v>2200</v>
      </c>
      <c r="G384">
        <f>IF(K384="Pick-up","PICKUPS",IF(K384="Staff drop-off","STAFF_DROPOFF",IF(K384="Replacements","REPLACEMENT",IF(K384="Central Stores Dispatch","CENTRAL STORES DISPATCH",IFNA(IFNA(VLOOKUP(F384,'Raw Platform Nov 4-6 2025'!C:C,1,FALSE),VLOOKUP(F384,'Raw Platform Nov 4-6 2025'!D:D,1,FALSE)),IFNA(VLOOKUP(F384,'Glovo Raw Nov 4-6 2025'!B:B,1,FALSE),"Not Matched"))))))</f>
      </c>
      <c r="H384">
        <f>COUNTIF(F:F,F384)</f>
      </c>
      <c r="I384" t="s">
        <v>6872</v>
      </c>
      <c r="J384" t="s">
        <v>4915</v>
      </c>
      <c r="K384" t="s">
        <v>4927</v>
      </c>
      <c r="L384" t="s">
        <v>6873</v>
      </c>
      <c r="M384" t="s">
        <v>5327</v>
      </c>
      <c r="N384" t="s">
        <v>6874</v>
      </c>
      <c r="O384" t="s">
        <v>6086</v>
      </c>
      <c r="P384" t="s">
        <v>6069</v>
      </c>
      <c r="Q384">
        <v>0</v>
      </c>
      <c r="R384" t="s">
        <v>4922</v>
      </c>
      <c r="S384" t="s">
        <v>12</v>
      </c>
      <c r="T384" t="s">
        <v>4923</v>
      </c>
      <c r="U384" t="s">
        <v>4924</v>
      </c>
      <c r="V384" t="s">
        <v>6875</v>
      </c>
      <c r="W384" t="s">
        <v>3667</v>
      </c>
      <c r="X384">
        <v>385.2</v>
      </c>
    </row>
    <row r="385" spans="1:24" x14ac:dyDescent="0.25">
      <c r="A385" t="s">
        <v>5176</v>
      </c>
      <c r="B385" t="s">
        <v>6815</v>
      </c>
      <c r="C385" t="s">
        <v>6816</v>
      </c>
      <c r="D385" t="s">
        <v>30</v>
      </c>
      <c r="E385" t="s">
        <v>4913</v>
      </c>
      <c r="F385" t="s">
        <v>1703</v>
      </c>
      <c r="G385">
        <f>IF(K385="Pick-up","PICKUPS",IF(K385="Staff drop-off","STAFF_DROPOFF",IF(K385="Replacements","REPLACEMENT",IF(K385="Central Stores Dispatch","CENTRAL STORES DISPATCH",IFNA(IFNA(VLOOKUP(F385,'Raw Platform Nov 4-6 2025'!C:C,1,FALSE),VLOOKUP(F385,'Raw Platform Nov 4-6 2025'!D:D,1,FALSE)),IFNA(VLOOKUP(F385,'Glovo Raw Nov 4-6 2025'!B:B,1,FALSE),"Not Matched"))))))</f>
      </c>
      <c r="H385">
        <f>COUNTIF(F:F,F385)</f>
      </c>
      <c r="I385" t="s">
        <v>6876</v>
      </c>
      <c r="J385" t="s">
        <v>4915</v>
      </c>
      <c r="K385" t="s">
        <v>4927</v>
      </c>
      <c r="L385" t="s">
        <v>6877</v>
      </c>
      <c r="M385" t="s">
        <v>6878</v>
      </c>
      <c r="N385" t="s">
        <v>6879</v>
      </c>
      <c r="O385" t="s">
        <v>2009</v>
      </c>
      <c r="P385" t="s">
        <v>4984</v>
      </c>
      <c r="Q385">
        <v>0</v>
      </c>
      <c r="R385" t="s">
        <v>4922</v>
      </c>
      <c r="S385" t="s">
        <v>45</v>
      </c>
      <c r="T385" t="s">
        <v>4923</v>
      </c>
      <c r="U385" t="s">
        <v>4924</v>
      </c>
      <c r="V385" t="s">
        <v>6570</v>
      </c>
      <c r="W385" t="s">
        <v>3667</v>
      </c>
      <c r="X385">
        <v>100</v>
      </c>
    </row>
    <row r="386" spans="1:24" x14ac:dyDescent="0.25">
      <c r="A386" t="s">
        <v>5176</v>
      </c>
      <c r="B386" t="s">
        <v>6815</v>
      </c>
      <c r="C386" t="s">
        <v>6816</v>
      </c>
      <c r="D386" t="s">
        <v>30</v>
      </c>
      <c r="E386" t="s">
        <v>4913</v>
      </c>
      <c r="F386" t="s">
        <v>2043</v>
      </c>
      <c r="G386">
        <f>IF(K386="Pick-up","PICKUPS",IF(K386="Staff drop-off","STAFF_DROPOFF",IF(K386="Replacements","REPLACEMENT",IF(K386="Central Stores Dispatch","CENTRAL STORES DISPATCH",IFNA(IFNA(VLOOKUP(F386,'Raw Platform Nov 4-6 2025'!C:C,1,FALSE),VLOOKUP(F386,'Raw Platform Nov 4-6 2025'!D:D,1,FALSE)),IFNA(VLOOKUP(F386,'Glovo Raw Nov 4-6 2025'!B:B,1,FALSE),"Not Matched"))))))</f>
      </c>
      <c r="H386">
        <f>COUNTIF(F:F,F386)</f>
      </c>
      <c r="I386" t="s">
        <v>6880</v>
      </c>
      <c r="J386" t="s">
        <v>5028</v>
      </c>
      <c r="K386" t="s">
        <v>4927</v>
      </c>
      <c r="L386" t="s">
        <v>6752</v>
      </c>
      <c r="M386" t="s">
        <v>6881</v>
      </c>
      <c r="N386" t="s">
        <v>6882</v>
      </c>
      <c r="O386" t="s">
        <v>5183</v>
      </c>
      <c r="P386" t="s">
        <v>6883</v>
      </c>
      <c r="Q386">
        <v>2630</v>
      </c>
      <c r="R386" t="s">
        <v>4922</v>
      </c>
      <c r="S386" t="s">
        <v>29</v>
      </c>
      <c r="T386" t="s">
        <v>4923</v>
      </c>
      <c r="U386" t="s">
        <v>4924</v>
      </c>
      <c r="V386" t="s">
        <v>6884</v>
      </c>
      <c r="W386" t="s">
        <v>3667</v>
      </c>
      <c r="X386">
        <v>504.8</v>
      </c>
    </row>
    <row r="387" spans="1:24" x14ac:dyDescent="0.25">
      <c r="A387" t="s">
        <v>5176</v>
      </c>
      <c r="B387" t="s">
        <v>6815</v>
      </c>
      <c r="C387" t="s">
        <v>6816</v>
      </c>
      <c r="D387" t="s">
        <v>30</v>
      </c>
      <c r="E387" t="s">
        <v>4913</v>
      </c>
      <c r="F387" t="s">
        <v>1711</v>
      </c>
      <c r="G387">
        <f>IF(K387="Pick-up","PICKUPS",IF(K387="Staff drop-off","STAFF_DROPOFF",IF(K387="Replacements","REPLACEMENT",IF(K387="Central Stores Dispatch","CENTRAL STORES DISPATCH",IFNA(IFNA(VLOOKUP(F387,'Raw Platform Nov 4-6 2025'!C:C,1,FALSE),VLOOKUP(F387,'Raw Platform Nov 4-6 2025'!D:D,1,FALSE)),IFNA(VLOOKUP(F387,'Glovo Raw Nov 4-6 2025'!B:B,1,FALSE),"Not Matched"))))))</f>
      </c>
      <c r="H387">
        <f>COUNTIF(F:F,F387)</f>
      </c>
      <c r="I387" t="s">
        <v>6885</v>
      </c>
      <c r="J387" t="s">
        <v>4915</v>
      </c>
      <c r="K387" t="s">
        <v>4927</v>
      </c>
      <c r="L387" t="s">
        <v>6886</v>
      </c>
      <c r="M387" t="s">
        <v>5327</v>
      </c>
      <c r="N387" t="s">
        <v>6887</v>
      </c>
      <c r="O387" t="s">
        <v>4990</v>
      </c>
      <c r="P387" t="s">
        <v>5056</v>
      </c>
      <c r="Q387">
        <v>0</v>
      </c>
      <c r="R387" t="s">
        <v>4922</v>
      </c>
      <c r="S387" t="s">
        <v>116</v>
      </c>
      <c r="T387" t="s">
        <v>4923</v>
      </c>
      <c r="U387" t="s">
        <v>4924</v>
      </c>
      <c r="V387" t="s">
        <v>6888</v>
      </c>
      <c r="W387" t="s">
        <v>3667</v>
      </c>
      <c r="X387">
        <v>100</v>
      </c>
    </row>
    <row r="388" spans="1:24" x14ac:dyDescent="0.25">
      <c r="A388" t="s">
        <v>5176</v>
      </c>
      <c r="B388" t="s">
        <v>6815</v>
      </c>
      <c r="C388" t="s">
        <v>6816</v>
      </c>
      <c r="D388" t="s">
        <v>30</v>
      </c>
      <c r="E388" t="s">
        <v>4913</v>
      </c>
      <c r="F388" t="s">
        <v>2059</v>
      </c>
      <c r="G388">
        <f>IF(K388="Pick-up","PICKUPS",IF(K388="Staff drop-off","STAFF_DROPOFF",IF(K388="Replacements","REPLACEMENT",IF(K388="Central Stores Dispatch","CENTRAL STORES DISPATCH",IFNA(IFNA(VLOOKUP(F388,'Raw Platform Nov 4-6 2025'!C:C,1,FALSE),VLOOKUP(F388,'Raw Platform Nov 4-6 2025'!D:D,1,FALSE)),IFNA(VLOOKUP(F388,'Glovo Raw Nov 4-6 2025'!B:B,1,FALSE),"Not Matched"))))))</f>
      </c>
      <c r="H388">
        <f>COUNTIF(F:F,F388)</f>
      </c>
      <c r="I388" t="s">
        <v>6889</v>
      </c>
      <c r="J388" t="s">
        <v>4915</v>
      </c>
      <c r="K388" t="s">
        <v>4927</v>
      </c>
      <c r="L388" t="s">
        <v>6890</v>
      </c>
      <c r="M388" t="s">
        <v>6891</v>
      </c>
      <c r="N388" t="s">
        <v>6892</v>
      </c>
      <c r="O388" t="s">
        <v>2009</v>
      </c>
      <c r="P388" t="s">
        <v>5019</v>
      </c>
      <c r="Q388">
        <v>0</v>
      </c>
      <c r="R388" t="s">
        <v>4922</v>
      </c>
      <c r="S388" t="s">
        <v>29</v>
      </c>
      <c r="T388" t="s">
        <v>4923</v>
      </c>
      <c r="U388" t="s">
        <v>4924</v>
      </c>
      <c r="V388" t="s">
        <v>6893</v>
      </c>
      <c r="W388" t="s">
        <v>3667</v>
      </c>
      <c r="X388">
        <v>100</v>
      </c>
    </row>
    <row r="389" spans="1:24" x14ac:dyDescent="0.25">
      <c r="A389" t="s">
        <v>5176</v>
      </c>
      <c r="B389" t="s">
        <v>6815</v>
      </c>
      <c r="C389" t="s">
        <v>6816</v>
      </c>
      <c r="D389" t="s">
        <v>191</v>
      </c>
      <c r="E389" t="s">
        <v>4913</v>
      </c>
      <c r="F389" t="s">
        <v>1941</v>
      </c>
      <c r="G389">
        <f>IF(K389="Pick-up","PICKUPS",IF(K389="Staff drop-off","STAFF_DROPOFF",IF(K389="Replacements","REPLACEMENT",IF(K389="Central Stores Dispatch","CENTRAL STORES DISPATCH",IFNA(IFNA(VLOOKUP(F389,'Raw Platform Nov 4-6 2025'!C:C,1,FALSE),VLOOKUP(F389,'Raw Platform Nov 4-6 2025'!D:D,1,FALSE)),IFNA(VLOOKUP(F389,'Glovo Raw Nov 4-6 2025'!B:B,1,FALSE),"Not Matched"))))))</f>
      </c>
      <c r="H389">
        <f>COUNTIF(F:F,F389)</f>
      </c>
      <c r="I389" t="s">
        <v>6894</v>
      </c>
      <c r="J389" t="s">
        <v>4915</v>
      </c>
      <c r="K389" t="s">
        <v>4927</v>
      </c>
      <c r="L389" t="s">
        <v>6895</v>
      </c>
      <c r="M389" t="s">
        <v>6896</v>
      </c>
      <c r="N389" t="s">
        <v>6897</v>
      </c>
      <c r="O389" t="s">
        <v>4962</v>
      </c>
      <c r="P389" t="s">
        <v>5025</v>
      </c>
      <c r="Q389">
        <v>0</v>
      </c>
      <c r="R389" t="s">
        <v>4922</v>
      </c>
      <c r="S389" t="s">
        <v>5184</v>
      </c>
      <c r="T389" t="s">
        <v>4923</v>
      </c>
      <c r="U389" t="s">
        <v>4924</v>
      </c>
      <c r="V389" t="s">
        <v>6898</v>
      </c>
      <c r="W389" t="s">
        <v>3667</v>
      </c>
      <c r="X389">
        <v>100</v>
      </c>
    </row>
    <row r="390" spans="1:24" x14ac:dyDescent="0.25">
      <c r="A390" t="s">
        <v>5176</v>
      </c>
      <c r="B390" t="s">
        <v>6815</v>
      </c>
      <c r="C390" t="s">
        <v>6816</v>
      </c>
      <c r="D390" t="s">
        <v>30</v>
      </c>
      <c r="E390" t="s">
        <v>4913</v>
      </c>
      <c r="F390" t="s">
        <v>2178</v>
      </c>
      <c r="G390">
        <f>IF(K390="Pick-up","PICKUPS",IF(K390="Staff drop-off","STAFF_DROPOFF",IF(K390="Replacements","REPLACEMENT",IF(K390="Central Stores Dispatch","CENTRAL STORES DISPATCH",IFNA(IFNA(VLOOKUP(F390,'Raw Platform Nov 4-6 2025'!C:C,1,FALSE),VLOOKUP(F390,'Raw Platform Nov 4-6 2025'!D:D,1,FALSE)),IFNA(VLOOKUP(F390,'Glovo Raw Nov 4-6 2025'!B:B,1,FALSE),"Not Matched"))))))</f>
      </c>
      <c r="H390">
        <f>COUNTIF(F:F,F390)</f>
      </c>
      <c r="I390" t="s">
        <v>6899</v>
      </c>
      <c r="J390" t="s">
        <v>4915</v>
      </c>
      <c r="K390" t="s">
        <v>4916</v>
      </c>
      <c r="L390" t="s">
        <v>6900</v>
      </c>
      <c r="M390" t="s">
        <v>6901</v>
      </c>
      <c r="N390" t="s">
        <v>6902</v>
      </c>
      <c r="O390" t="s">
        <v>183</v>
      </c>
      <c r="P390" t="s">
        <v>6267</v>
      </c>
      <c r="Q390">
        <v>1533</v>
      </c>
      <c r="R390" t="s">
        <v>4922</v>
      </c>
      <c r="S390" t="s">
        <v>50</v>
      </c>
      <c r="T390" t="s">
        <v>4923</v>
      </c>
      <c r="U390" t="s">
        <v>4924</v>
      </c>
      <c r="V390" t="s">
        <v>6903</v>
      </c>
      <c r="W390" t="s">
        <v>3667</v>
      </c>
      <c r="X390">
        <v>198.9</v>
      </c>
    </row>
    <row r="391" spans="1:24" x14ac:dyDescent="0.25">
      <c r="A391" t="s">
        <v>5176</v>
      </c>
      <c r="B391" t="s">
        <v>6815</v>
      </c>
      <c r="C391" t="s">
        <v>6816</v>
      </c>
      <c r="D391" t="s">
        <v>30</v>
      </c>
      <c r="E391" t="s">
        <v>4913</v>
      </c>
      <c r="F391" t="s">
        <v>1982</v>
      </c>
      <c r="G391">
        <f>IF(K391="Pick-up","PICKUPS",IF(K391="Staff drop-off","STAFF_DROPOFF",IF(K391="Replacements","REPLACEMENT",IF(K391="Central Stores Dispatch","CENTRAL STORES DISPATCH",IFNA(IFNA(VLOOKUP(F391,'Raw Platform Nov 4-6 2025'!C:C,1,FALSE),VLOOKUP(F391,'Raw Platform Nov 4-6 2025'!D:D,1,FALSE)),IFNA(VLOOKUP(F391,'Glovo Raw Nov 4-6 2025'!B:B,1,FALSE),"Not Matched"))))))</f>
      </c>
      <c r="H391">
        <f>COUNTIF(F:F,F391)</f>
      </c>
      <c r="I391" t="s">
        <v>6904</v>
      </c>
      <c r="J391" t="s">
        <v>4915</v>
      </c>
      <c r="K391" t="s">
        <v>4927</v>
      </c>
      <c r="L391" t="s">
        <v>6905</v>
      </c>
      <c r="M391" t="s">
        <v>6906</v>
      </c>
      <c r="N391" t="s">
        <v>6907</v>
      </c>
      <c r="O391" t="s">
        <v>6086</v>
      </c>
      <c r="P391" t="s">
        <v>6908</v>
      </c>
      <c r="Q391">
        <v>0</v>
      </c>
      <c r="R391" t="s">
        <v>4922</v>
      </c>
      <c r="S391" t="s">
        <v>29</v>
      </c>
      <c r="T391" t="s">
        <v>4923</v>
      </c>
      <c r="U391" t="s">
        <v>4924</v>
      </c>
      <c r="V391" t="s">
        <v>6909</v>
      </c>
      <c r="W391" t="s">
        <v>3667</v>
      </c>
      <c r="X391">
        <v>323.1</v>
      </c>
    </row>
    <row r="392" spans="1:24" x14ac:dyDescent="0.25">
      <c r="A392" t="s">
        <v>5176</v>
      </c>
      <c r="B392" t="s">
        <v>6815</v>
      </c>
      <c r="C392" t="s">
        <v>6816</v>
      </c>
      <c r="D392" t="s">
        <v>30</v>
      </c>
      <c r="E392" t="s">
        <v>4913</v>
      </c>
      <c r="F392" t="s">
        <v>3518</v>
      </c>
      <c r="G392">
        <f>IF(K392="Pick-up","PICKUPS",IF(K392="Staff drop-off","STAFF_DROPOFF",IF(K392="Replacements","REPLACEMENT",IF(K392="Central Stores Dispatch","CENTRAL STORES DISPATCH",IFNA(IFNA(VLOOKUP(F392,'Raw Platform Nov 4-6 2025'!C:C,1,FALSE),VLOOKUP(F392,'Raw Platform Nov 4-6 2025'!D:D,1,FALSE)),IFNA(VLOOKUP(F392,'Glovo Raw Nov 4-6 2025'!B:B,1,FALSE),"Not Matched"))))))</f>
      </c>
      <c r="H392">
        <f>COUNTIF(F:F,F392)</f>
      </c>
      <c r="I392" t="s">
        <v>6910</v>
      </c>
      <c r="J392" t="s">
        <v>4915</v>
      </c>
      <c r="K392" t="s">
        <v>4916</v>
      </c>
      <c r="L392" t="s">
        <v>6911</v>
      </c>
      <c r="M392" t="s">
        <v>6912</v>
      </c>
      <c r="N392" t="s">
        <v>6913</v>
      </c>
      <c r="O392" t="s">
        <v>9</v>
      </c>
      <c r="P392" t="s">
        <v>5032</v>
      </c>
      <c r="Q392">
        <v>1500</v>
      </c>
      <c r="R392" t="s">
        <v>4922</v>
      </c>
      <c r="S392" t="s">
        <v>29</v>
      </c>
      <c r="T392" t="s">
        <v>4923</v>
      </c>
      <c r="U392" t="s">
        <v>4924</v>
      </c>
      <c r="V392" t="s">
        <v>6914</v>
      </c>
      <c r="W392" t="s">
        <v>3667</v>
      </c>
      <c r="X392">
        <v>159.8</v>
      </c>
    </row>
    <row r="393" spans="1:24" x14ac:dyDescent="0.25">
      <c r="A393" t="s">
        <v>5176</v>
      </c>
      <c r="B393" t="s">
        <v>6815</v>
      </c>
      <c r="C393" t="s">
        <v>6816</v>
      </c>
      <c r="D393" t="s">
        <v>30</v>
      </c>
      <c r="E393" t="s">
        <v>4913</v>
      </c>
      <c r="F393" t="s">
        <v>4534</v>
      </c>
      <c r="G393">
        <f>IF(K393="Pick-up","PICKUPS",IF(K393="Staff drop-off","STAFF_DROPOFF",IF(K393="Replacements","REPLACEMENT",IF(K393="Central Stores Dispatch","CENTRAL STORES DISPATCH",IFNA(IFNA(VLOOKUP(F393,'Raw Platform Nov 4-6 2025'!C:C,1,FALSE),VLOOKUP(F393,'Raw Platform Nov 4-6 2025'!D:D,1,FALSE)),IFNA(VLOOKUP(F393,'Glovo Raw Nov 4-6 2025'!B:B,1,FALSE),"Not Matched"))))))</f>
      </c>
      <c r="H393">
        <f>COUNTIF(F:F,F393)</f>
      </c>
      <c r="I393" t="s">
        <v>6915</v>
      </c>
      <c r="J393" t="s">
        <v>63</v>
      </c>
      <c r="K393" t="s">
        <v>4927</v>
      </c>
      <c r="L393" t="s">
        <v>6387</v>
      </c>
      <c r="M393" t="s">
        <v>6860</v>
      </c>
      <c r="N393" t="s">
        <v>6861</v>
      </c>
      <c r="O393" t="s">
        <v>4949</v>
      </c>
      <c r="P393" t="s">
        <v>5219</v>
      </c>
      <c r="Q393">
        <v>0</v>
      </c>
      <c r="R393" t="s">
        <v>4922</v>
      </c>
      <c r="S393" t="s">
        <v>172</v>
      </c>
      <c r="T393" t="s">
        <v>4923</v>
      </c>
      <c r="U393" t="s">
        <v>4924</v>
      </c>
      <c r="V393" t="s">
        <v>6916</v>
      </c>
      <c r="W393" t="s">
        <v>3667</v>
      </c>
      <c r="X393">
        <v>100</v>
      </c>
    </row>
    <row r="394" spans="1:24" x14ac:dyDescent="0.25">
      <c r="A394" t="s">
        <v>5176</v>
      </c>
      <c r="B394" t="s">
        <v>6815</v>
      </c>
      <c r="C394" t="s">
        <v>6816</v>
      </c>
      <c r="D394" t="s">
        <v>30</v>
      </c>
      <c r="E394" t="s">
        <v>4913</v>
      </c>
      <c r="F394" t="s">
        <v>3218</v>
      </c>
      <c r="G394">
        <f>IF(K394="Pick-up","PICKUPS",IF(K394="Staff drop-off","STAFF_DROPOFF",IF(K394="Replacements","REPLACEMENT",IF(K394="Central Stores Dispatch","CENTRAL STORES DISPATCH",IFNA(IFNA(VLOOKUP(F394,'Raw Platform Nov 4-6 2025'!C:C,1,FALSE),VLOOKUP(F394,'Raw Platform Nov 4-6 2025'!D:D,1,FALSE)),IFNA(VLOOKUP(F394,'Glovo Raw Nov 4-6 2025'!B:B,1,FALSE),"Not Matched"))))))</f>
      </c>
      <c r="H394">
        <f>COUNTIF(F:F,F394)</f>
      </c>
      <c r="I394" t="s">
        <v>6917</v>
      </c>
      <c r="J394" t="s">
        <v>4915</v>
      </c>
      <c r="K394" t="s">
        <v>4927</v>
      </c>
      <c r="L394" t="s">
        <v>6918</v>
      </c>
      <c r="M394" t="s">
        <v>6919</v>
      </c>
      <c r="N394" t="s">
        <v>6920</v>
      </c>
      <c r="O394" t="s">
        <v>4962</v>
      </c>
      <c r="P394" t="s">
        <v>5025</v>
      </c>
      <c r="Q394">
        <v>0</v>
      </c>
      <c r="R394" t="s">
        <v>4922</v>
      </c>
      <c r="S394" t="s">
        <v>12</v>
      </c>
      <c r="T394" t="s">
        <v>4923</v>
      </c>
      <c r="U394" t="s">
        <v>4924</v>
      </c>
      <c r="V394" t="s">
        <v>6921</v>
      </c>
      <c r="W394" t="s">
        <v>3667</v>
      </c>
      <c r="X394">
        <v>100</v>
      </c>
    </row>
    <row r="395" spans="1:24" x14ac:dyDescent="0.25">
      <c r="A395" t="s">
        <v>5176</v>
      </c>
      <c r="B395" t="s">
        <v>6815</v>
      </c>
      <c r="C395" t="s">
        <v>6816</v>
      </c>
      <c r="D395" t="s">
        <v>30</v>
      </c>
      <c r="E395" t="s">
        <v>4913</v>
      </c>
      <c r="F395" t="s">
        <v>3334</v>
      </c>
      <c r="G395">
        <f>IF(K395="Pick-up","PICKUPS",IF(K395="Staff drop-off","STAFF_DROPOFF",IF(K395="Replacements","REPLACEMENT",IF(K395="Central Stores Dispatch","CENTRAL STORES DISPATCH",IFNA(IFNA(VLOOKUP(F395,'Raw Platform Nov 4-6 2025'!C:C,1,FALSE),VLOOKUP(F395,'Raw Platform Nov 4-6 2025'!D:D,1,FALSE)),IFNA(VLOOKUP(F395,'Glovo Raw Nov 4-6 2025'!B:B,1,FALSE),"Not Matched"))))))</f>
      </c>
      <c r="H395">
        <f>COUNTIF(F:F,F395)</f>
      </c>
      <c r="I395" t="s">
        <v>6922</v>
      </c>
      <c r="J395" t="s">
        <v>4915</v>
      </c>
      <c r="K395" t="s">
        <v>4916</v>
      </c>
      <c r="L395" t="s">
        <v>6923</v>
      </c>
      <c r="M395" t="s">
        <v>6924</v>
      </c>
      <c r="N395" t="s">
        <v>6925</v>
      </c>
      <c r="O395" t="s">
        <v>4956</v>
      </c>
      <c r="P395" t="s">
        <v>5613</v>
      </c>
      <c r="Q395">
        <v>1580</v>
      </c>
      <c r="R395" t="s">
        <v>4922</v>
      </c>
      <c r="S395" t="s">
        <v>29</v>
      </c>
      <c r="T395" t="s">
        <v>4923</v>
      </c>
      <c r="U395" t="s">
        <v>4924</v>
      </c>
      <c r="V395" t="s">
        <v>6926</v>
      </c>
      <c r="W395" t="s">
        <v>3667</v>
      </c>
      <c r="X395">
        <v>100</v>
      </c>
    </row>
    <row r="396" spans="1:24" x14ac:dyDescent="0.25">
      <c r="A396" t="s">
        <v>5176</v>
      </c>
      <c r="B396" t="s">
        <v>6815</v>
      </c>
      <c r="C396" t="s">
        <v>6816</v>
      </c>
      <c r="D396" t="s">
        <v>30</v>
      </c>
      <c r="E396" t="s">
        <v>4913</v>
      </c>
      <c r="F396" t="s">
        <v>3389</v>
      </c>
      <c r="G396">
        <f>IF(K396="Pick-up","PICKUPS",IF(K396="Staff drop-off","STAFF_DROPOFF",IF(K396="Replacements","REPLACEMENT",IF(K396="Central Stores Dispatch","CENTRAL STORES DISPATCH",IFNA(IFNA(VLOOKUP(F396,'Raw Platform Nov 4-6 2025'!C:C,1,FALSE),VLOOKUP(F396,'Raw Platform Nov 4-6 2025'!D:D,1,FALSE)),IFNA(VLOOKUP(F396,'Glovo Raw Nov 4-6 2025'!B:B,1,FALSE),"Not Matched"))))))</f>
      </c>
      <c r="H396">
        <f>COUNTIF(F:F,F396)</f>
      </c>
      <c r="I396" t="s">
        <v>6927</v>
      </c>
      <c r="J396" t="s">
        <v>4915</v>
      </c>
      <c r="K396" t="s">
        <v>4927</v>
      </c>
      <c r="L396" t="s">
        <v>6928</v>
      </c>
      <c r="M396" t="s">
        <v>5327</v>
      </c>
      <c r="N396" t="s">
        <v>6929</v>
      </c>
      <c r="O396" t="s">
        <v>4962</v>
      </c>
      <c r="P396" t="s">
        <v>5007</v>
      </c>
      <c r="Q396">
        <v>0</v>
      </c>
      <c r="R396" t="s">
        <v>4922</v>
      </c>
      <c r="S396" t="s">
        <v>29</v>
      </c>
      <c r="T396" t="s">
        <v>4923</v>
      </c>
      <c r="U396" t="s">
        <v>4924</v>
      </c>
      <c r="V396" t="s">
        <v>6930</v>
      </c>
      <c r="W396" t="s">
        <v>3667</v>
      </c>
      <c r="X396">
        <v>100</v>
      </c>
    </row>
    <row r="397" spans="1:24" x14ac:dyDescent="0.25">
      <c r="A397" t="s">
        <v>5176</v>
      </c>
      <c r="B397" t="s">
        <v>6815</v>
      </c>
      <c r="C397" t="s">
        <v>6816</v>
      </c>
      <c r="D397" t="s">
        <v>30</v>
      </c>
      <c r="E397" t="s">
        <v>4913</v>
      </c>
      <c r="F397" t="s">
        <v>2849</v>
      </c>
      <c r="G397">
        <f>IF(K397="Pick-up","PICKUPS",IF(K397="Staff drop-off","STAFF_DROPOFF",IF(K397="Replacements","REPLACEMENT",IF(K397="Central Stores Dispatch","CENTRAL STORES DISPATCH",IFNA(IFNA(VLOOKUP(F397,'Raw Platform Nov 4-6 2025'!C:C,1,FALSE),VLOOKUP(F397,'Raw Platform Nov 4-6 2025'!D:D,1,FALSE)),IFNA(VLOOKUP(F397,'Glovo Raw Nov 4-6 2025'!B:B,1,FALSE),"Not Matched"))))))</f>
      </c>
      <c r="H397">
        <f>COUNTIF(F:F,F397)</f>
      </c>
      <c r="I397" t="s">
        <v>6931</v>
      </c>
      <c r="J397" t="s">
        <v>63</v>
      </c>
      <c r="K397" t="s">
        <v>4927</v>
      </c>
      <c r="L397" t="s">
        <v>6387</v>
      </c>
      <c r="M397" t="s">
        <v>6860</v>
      </c>
      <c r="N397" t="s">
        <v>6861</v>
      </c>
      <c r="O397" t="s">
        <v>4949</v>
      </c>
      <c r="P397" t="s">
        <v>5219</v>
      </c>
      <c r="Q397">
        <v>0</v>
      </c>
      <c r="R397" t="s">
        <v>4922</v>
      </c>
      <c r="S397" t="s">
        <v>172</v>
      </c>
      <c r="T397" t="s">
        <v>4923</v>
      </c>
      <c r="U397" t="s">
        <v>4924</v>
      </c>
      <c r="V397" t="s">
        <v>6932</v>
      </c>
      <c r="W397" t="s">
        <v>3667</v>
      </c>
      <c r="X397">
        <v>100</v>
      </c>
    </row>
    <row r="398" spans="1:24" x14ac:dyDescent="0.25">
      <c r="A398" t="s">
        <v>5176</v>
      </c>
      <c r="B398" t="s">
        <v>6815</v>
      </c>
      <c r="C398" t="s">
        <v>6816</v>
      </c>
      <c r="D398" t="s">
        <v>30</v>
      </c>
      <c r="E398" t="s">
        <v>4913</v>
      </c>
      <c r="F398" t="s">
        <v>2715</v>
      </c>
      <c r="G398">
        <f>IF(K398="Pick-up","PICKUPS",IF(K398="Staff drop-off","STAFF_DROPOFF",IF(K398="Replacements","REPLACEMENT",IF(K398="Central Stores Dispatch","CENTRAL STORES DISPATCH",IFNA(IFNA(VLOOKUP(F398,'Raw Platform Nov 4-6 2025'!C:C,1,FALSE),VLOOKUP(F398,'Raw Platform Nov 4-6 2025'!D:D,1,FALSE)),IFNA(VLOOKUP(F398,'Glovo Raw Nov 4-6 2025'!B:B,1,FALSE),"Not Matched"))))))</f>
      </c>
      <c r="H398">
        <f>COUNTIF(F:F,F398)</f>
      </c>
      <c r="I398" t="s">
        <v>6933</v>
      </c>
      <c r="J398" t="s">
        <v>4915</v>
      </c>
      <c r="K398" t="s">
        <v>4927</v>
      </c>
      <c r="L398" t="s">
        <v>6934</v>
      </c>
      <c r="M398" t="s">
        <v>6935</v>
      </c>
      <c r="N398" t="s">
        <v>6936</v>
      </c>
      <c r="O398" t="s">
        <v>4949</v>
      </c>
      <c r="P398" t="s">
        <v>5013</v>
      </c>
      <c r="Q398">
        <v>0</v>
      </c>
      <c r="R398" t="s">
        <v>4922</v>
      </c>
      <c r="S398" t="s">
        <v>29</v>
      </c>
      <c r="T398" t="s">
        <v>4923</v>
      </c>
      <c r="U398" t="s">
        <v>4924</v>
      </c>
      <c r="V398" t="s">
        <v>6937</v>
      </c>
      <c r="W398" t="s">
        <v>3667</v>
      </c>
      <c r="X398">
        <v>100</v>
      </c>
    </row>
    <row r="399" spans="1:24" x14ac:dyDescent="0.25">
      <c r="A399" t="s">
        <v>5176</v>
      </c>
      <c r="B399" t="s">
        <v>6815</v>
      </c>
      <c r="C399" t="s">
        <v>6816</v>
      </c>
      <c r="D399" t="s">
        <v>30</v>
      </c>
      <c r="E399" t="s">
        <v>4913</v>
      </c>
      <c r="F399" t="s">
        <v>3571</v>
      </c>
      <c r="G399">
        <f>IF(K399="Pick-up","PICKUPS",IF(K399="Staff drop-off","STAFF_DROPOFF",IF(K399="Replacements","REPLACEMENT",IF(K399="Central Stores Dispatch","CENTRAL STORES DISPATCH",IFNA(IFNA(VLOOKUP(F399,'Raw Platform Nov 4-6 2025'!C:C,1,FALSE),VLOOKUP(F399,'Raw Platform Nov 4-6 2025'!D:D,1,FALSE)),IFNA(VLOOKUP(F399,'Glovo Raw Nov 4-6 2025'!B:B,1,FALSE),"Not Matched"))))))</f>
      </c>
      <c r="H399">
        <f>COUNTIF(F:F,F399)</f>
      </c>
      <c r="I399" t="s">
        <v>6938</v>
      </c>
      <c r="J399" t="s">
        <v>4915</v>
      </c>
      <c r="K399" t="s">
        <v>4916</v>
      </c>
      <c r="L399" t="s">
        <v>6939</v>
      </c>
      <c r="M399" t="s">
        <v>6940</v>
      </c>
      <c r="N399" t="s">
        <v>6941</v>
      </c>
      <c r="O399" t="s">
        <v>53</v>
      </c>
      <c r="P399" t="s">
        <v>4990</v>
      </c>
      <c r="Q399">
        <v>1006</v>
      </c>
      <c r="R399" t="s">
        <v>4922</v>
      </c>
      <c r="S399" t="s">
        <v>29</v>
      </c>
      <c r="T399" t="s">
        <v>4923</v>
      </c>
      <c r="U399" t="s">
        <v>4924</v>
      </c>
      <c r="V399" t="s">
        <v>6942</v>
      </c>
      <c r="W399" t="s">
        <v>3667</v>
      </c>
      <c r="X399">
        <v>111.5</v>
      </c>
    </row>
    <row r="400" spans="1:24" x14ac:dyDescent="0.25">
      <c r="A400" t="s">
        <v>5176</v>
      </c>
      <c r="B400" t="s">
        <v>6815</v>
      </c>
      <c r="C400" t="s">
        <v>6816</v>
      </c>
      <c r="D400" t="s">
        <v>30</v>
      </c>
      <c r="E400" t="s">
        <v>4913</v>
      </c>
      <c r="F400" t="s">
        <v>3412</v>
      </c>
      <c r="G400">
        <f>IF(K400="Pick-up","PICKUPS",IF(K400="Staff drop-off","STAFF_DROPOFF",IF(K400="Replacements","REPLACEMENT",IF(K400="Central Stores Dispatch","CENTRAL STORES DISPATCH",IFNA(IFNA(VLOOKUP(F400,'Raw Platform Nov 4-6 2025'!C:C,1,FALSE),VLOOKUP(F400,'Raw Platform Nov 4-6 2025'!D:D,1,FALSE)),IFNA(VLOOKUP(F400,'Glovo Raw Nov 4-6 2025'!B:B,1,FALSE),"Not Matched"))))))</f>
      </c>
      <c r="H400">
        <f>COUNTIF(F:F,F400)</f>
      </c>
      <c r="I400" t="s">
        <v>6943</v>
      </c>
      <c r="J400" t="s">
        <v>4915</v>
      </c>
      <c r="K400" t="s">
        <v>4927</v>
      </c>
      <c r="L400" t="s">
        <v>6944</v>
      </c>
      <c r="M400" t="s">
        <v>6945</v>
      </c>
      <c r="N400" t="s">
        <v>6946</v>
      </c>
      <c r="O400" t="s">
        <v>5013</v>
      </c>
      <c r="P400" t="s">
        <v>5430</v>
      </c>
      <c r="Q400">
        <v>0</v>
      </c>
      <c r="R400" t="s">
        <v>4922</v>
      </c>
      <c r="S400" t="s">
        <v>12</v>
      </c>
      <c r="T400" t="s">
        <v>4923</v>
      </c>
      <c r="U400" t="s">
        <v>4924</v>
      </c>
      <c r="V400" t="s">
        <v>6947</v>
      </c>
      <c r="W400" t="s">
        <v>3667</v>
      </c>
      <c r="X400">
        <v>100</v>
      </c>
    </row>
    <row r="401" spans="1:24" x14ac:dyDescent="0.25">
      <c r="A401" t="s">
        <v>5176</v>
      </c>
      <c r="B401" t="s">
        <v>6815</v>
      </c>
      <c r="C401" t="s">
        <v>6816</v>
      </c>
      <c r="D401" t="s">
        <v>191</v>
      </c>
      <c r="E401" t="s">
        <v>4913</v>
      </c>
      <c r="F401" t="s">
        <v>2750</v>
      </c>
      <c r="G401">
        <f>IF(K401="Pick-up","PICKUPS",IF(K401="Staff drop-off","STAFF_DROPOFF",IF(K401="Replacements","REPLACEMENT",IF(K401="Central Stores Dispatch","CENTRAL STORES DISPATCH",IFNA(IFNA(VLOOKUP(F401,'Raw Platform Nov 4-6 2025'!C:C,1,FALSE),VLOOKUP(F401,'Raw Platform Nov 4-6 2025'!D:D,1,FALSE)),IFNA(VLOOKUP(F401,'Glovo Raw Nov 4-6 2025'!B:B,1,FALSE),"Not Matched"))))))</f>
      </c>
      <c r="H401">
        <f>COUNTIF(F:F,F401)</f>
      </c>
      <c r="I401" t="s">
        <v>6948</v>
      </c>
      <c r="J401" t="s">
        <v>4915</v>
      </c>
      <c r="K401" t="s">
        <v>4916</v>
      </c>
      <c r="L401" t="s">
        <v>6949</v>
      </c>
      <c r="M401" t="s">
        <v>6950</v>
      </c>
      <c r="N401" t="s">
        <v>6951</v>
      </c>
      <c r="O401" t="s">
        <v>2009</v>
      </c>
      <c r="P401" t="s">
        <v>4950</v>
      </c>
      <c r="Q401">
        <v>1455</v>
      </c>
      <c r="R401" t="s">
        <v>4922</v>
      </c>
      <c r="S401" t="s">
        <v>5184</v>
      </c>
      <c r="T401" t="s">
        <v>4923</v>
      </c>
      <c r="U401" t="s">
        <v>4924</v>
      </c>
      <c r="V401" t="s">
        <v>6952</v>
      </c>
      <c r="W401" t="s">
        <v>3667</v>
      </c>
      <c r="X401">
        <v>100</v>
      </c>
    </row>
    <row r="402" spans="1:24" x14ac:dyDescent="0.25">
      <c r="A402" t="s">
        <v>5176</v>
      </c>
      <c r="B402" t="s">
        <v>6815</v>
      </c>
      <c r="C402" t="s">
        <v>6816</v>
      </c>
      <c r="D402" t="s">
        <v>30</v>
      </c>
      <c r="E402" t="s">
        <v>4913</v>
      </c>
      <c r="F402" t="s">
        <v>3117</v>
      </c>
      <c r="G402">
        <f>IF(K402="Pick-up","PICKUPS",IF(K402="Staff drop-off","STAFF_DROPOFF",IF(K402="Replacements","REPLACEMENT",IF(K402="Central Stores Dispatch","CENTRAL STORES DISPATCH",IFNA(IFNA(VLOOKUP(F402,'Raw Platform Nov 4-6 2025'!C:C,1,FALSE),VLOOKUP(F402,'Raw Platform Nov 4-6 2025'!D:D,1,FALSE)),IFNA(VLOOKUP(F402,'Glovo Raw Nov 4-6 2025'!B:B,1,FALSE),"Not Matched"))))))</f>
      </c>
      <c r="H402">
        <f>COUNTIF(F:F,F402)</f>
      </c>
      <c r="I402" t="s">
        <v>6953</v>
      </c>
      <c r="J402" t="s">
        <v>63</v>
      </c>
      <c r="K402" t="s">
        <v>4927</v>
      </c>
      <c r="L402" t="s">
        <v>6954</v>
      </c>
      <c r="M402" t="s">
        <v>6955</v>
      </c>
      <c r="N402" t="s">
        <v>6956</v>
      </c>
      <c r="O402" t="s">
        <v>42</v>
      </c>
      <c r="P402" t="s">
        <v>5923</v>
      </c>
      <c r="Q402">
        <v>0</v>
      </c>
      <c r="R402" t="s">
        <v>4922</v>
      </c>
      <c r="S402" t="s">
        <v>12</v>
      </c>
      <c r="T402" t="s">
        <v>4923</v>
      </c>
      <c r="U402" t="s">
        <v>4924</v>
      </c>
      <c r="V402" t="s">
        <v>6957</v>
      </c>
      <c r="W402" t="s">
        <v>3667</v>
      </c>
      <c r="X402">
        <v>286.3</v>
      </c>
    </row>
    <row r="403" spans="1:24" x14ac:dyDescent="0.25">
      <c r="A403" t="s">
        <v>5130</v>
      </c>
      <c r="B403" t="s">
        <v>6958</v>
      </c>
      <c r="C403" t="s">
        <v>6959</v>
      </c>
      <c r="D403" t="s">
        <v>24</v>
      </c>
      <c r="E403" t="s">
        <v>4913</v>
      </c>
      <c r="F403" t="s">
        <v>1300</v>
      </c>
      <c r="G403">
        <f>IF(K403="Pick-up","PICKUPS",IF(K403="Staff drop-off","STAFF_DROPOFF",IF(K403="Replacements","REPLACEMENT",IF(K403="Central Stores Dispatch","CENTRAL STORES DISPATCH",IFNA(IFNA(VLOOKUP(F403,'Raw Platform Nov 4-6 2025'!C:C,1,FALSE),VLOOKUP(F403,'Raw Platform Nov 4-6 2025'!D:D,1,FALSE)),IFNA(VLOOKUP(F403,'Glovo Raw Nov 4-6 2025'!B:B,1,FALSE),"Not Matched"))))))</f>
      </c>
      <c r="H403">
        <f>COUNTIF(F:F,F403)</f>
      </c>
      <c r="I403" t="s">
        <v>6960</v>
      </c>
      <c r="J403" t="s">
        <v>4915</v>
      </c>
      <c r="K403" t="s">
        <v>4927</v>
      </c>
      <c r="L403" t="s">
        <v>6961</v>
      </c>
      <c r="M403" t="s">
        <v>5217</v>
      </c>
      <c r="N403" t="s">
        <v>5607</v>
      </c>
      <c r="O403" t="s">
        <v>47</v>
      </c>
      <c r="P403" t="s">
        <v>5953</v>
      </c>
      <c r="Q403">
        <v>0</v>
      </c>
      <c r="R403" t="s">
        <v>5118</v>
      </c>
      <c r="S403" t="s">
        <v>45</v>
      </c>
      <c r="T403" t="s">
        <v>4923</v>
      </c>
      <c r="U403" t="s">
        <v>4924</v>
      </c>
      <c r="V403" t="s">
        <v>6962</v>
      </c>
      <c r="W403" t="s">
        <v>3667</v>
      </c>
      <c r="X403">
        <v>118.4</v>
      </c>
    </row>
    <row r="404" spans="1:24" x14ac:dyDescent="0.25">
      <c r="A404" t="s">
        <v>5130</v>
      </c>
      <c r="B404" t="s">
        <v>6958</v>
      </c>
      <c r="C404" t="s">
        <v>6959</v>
      </c>
      <c r="D404" t="s">
        <v>24</v>
      </c>
      <c r="E404" t="s">
        <v>4913</v>
      </c>
      <c r="F404" t="s">
        <v>1786</v>
      </c>
      <c r="G404">
        <f>IF(K404="Pick-up","PICKUPS",IF(K404="Staff drop-off","STAFF_DROPOFF",IF(K404="Replacements","REPLACEMENT",IF(K404="Central Stores Dispatch","CENTRAL STORES DISPATCH",IFNA(IFNA(VLOOKUP(F404,'Raw Platform Nov 4-6 2025'!C:C,1,FALSE),VLOOKUP(F404,'Raw Platform Nov 4-6 2025'!D:D,1,FALSE)),IFNA(VLOOKUP(F404,'Glovo Raw Nov 4-6 2025'!B:B,1,FALSE),"Not Matched"))))))</f>
      </c>
      <c r="H404">
        <f>COUNTIF(F:F,F404)</f>
      </c>
      <c r="I404" t="s">
        <v>6963</v>
      </c>
      <c r="J404" t="s">
        <v>4915</v>
      </c>
      <c r="K404" t="s">
        <v>4927</v>
      </c>
      <c r="L404" t="s">
        <v>6964</v>
      </c>
      <c r="M404" t="s">
        <v>5217</v>
      </c>
      <c r="N404" t="s">
        <v>6965</v>
      </c>
      <c r="O404" t="s">
        <v>4949</v>
      </c>
      <c r="P404" t="s">
        <v>6558</v>
      </c>
      <c r="Q404">
        <v>0</v>
      </c>
      <c r="R404" t="s">
        <v>5118</v>
      </c>
      <c r="S404" t="s">
        <v>116</v>
      </c>
      <c r="T404" t="s">
        <v>4923</v>
      </c>
      <c r="U404" t="s">
        <v>4924</v>
      </c>
      <c r="V404" t="s">
        <v>6966</v>
      </c>
      <c r="W404" t="s">
        <v>3667</v>
      </c>
      <c r="X404">
        <v>100</v>
      </c>
    </row>
    <row r="405" spans="1:24" x14ac:dyDescent="0.25">
      <c r="A405" t="s">
        <v>5130</v>
      </c>
      <c r="B405" t="s">
        <v>6958</v>
      </c>
      <c r="C405" t="s">
        <v>6959</v>
      </c>
      <c r="D405" t="s">
        <v>24</v>
      </c>
      <c r="E405" t="s">
        <v>4913</v>
      </c>
      <c r="F405" t="s">
        <v>1950</v>
      </c>
      <c r="G405">
        <f>IF(K405="Pick-up","PICKUPS",IF(K405="Staff drop-off","STAFF_DROPOFF",IF(K405="Replacements","REPLACEMENT",IF(K405="Central Stores Dispatch","CENTRAL STORES DISPATCH",IFNA(IFNA(VLOOKUP(F405,'Raw Platform Nov 4-6 2025'!C:C,1,FALSE),VLOOKUP(F405,'Raw Platform Nov 4-6 2025'!D:D,1,FALSE)),IFNA(VLOOKUP(F405,'Glovo Raw Nov 4-6 2025'!B:B,1,FALSE),"Not Matched"))))))</f>
      </c>
      <c r="H405">
        <f>COUNTIF(F:F,F405)</f>
      </c>
      <c r="I405" t="s">
        <v>6967</v>
      </c>
      <c r="J405" t="s">
        <v>63</v>
      </c>
      <c r="K405" t="s">
        <v>4927</v>
      </c>
      <c r="L405" t="s">
        <v>6049</v>
      </c>
      <c r="M405" t="s">
        <v>6050</v>
      </c>
      <c r="N405" t="s">
        <v>6968</v>
      </c>
      <c r="O405" t="s">
        <v>73</v>
      </c>
      <c r="P405" t="s">
        <v>4962</v>
      </c>
      <c r="Q405">
        <v>0</v>
      </c>
      <c r="R405" t="s">
        <v>5118</v>
      </c>
      <c r="S405" t="s">
        <v>5136</v>
      </c>
      <c r="T405" t="s">
        <v>4923</v>
      </c>
      <c r="U405" t="s">
        <v>4924</v>
      </c>
      <c r="V405" t="s">
        <v>6969</v>
      </c>
      <c r="W405" t="s">
        <v>3667</v>
      </c>
      <c r="X405">
        <v>180.5</v>
      </c>
    </row>
    <row r="406" spans="1:24" x14ac:dyDescent="0.25">
      <c r="A406" t="s">
        <v>4910</v>
      </c>
      <c r="B406" t="s">
        <v>6958</v>
      </c>
      <c r="C406" t="s">
        <v>6959</v>
      </c>
      <c r="D406" t="s">
        <v>13</v>
      </c>
      <c r="E406" t="s">
        <v>4913</v>
      </c>
      <c r="F406" t="s">
        <v>1391</v>
      </c>
      <c r="G406">
        <f>IF(K406="Pick-up","PICKUPS",IF(K406="Staff drop-off","STAFF_DROPOFF",IF(K406="Replacements","REPLACEMENT",IF(K406="Central Stores Dispatch","CENTRAL STORES DISPATCH",IFNA(IFNA(VLOOKUP(F406,'Raw Platform Nov 4-6 2025'!C:C,1,FALSE),VLOOKUP(F406,'Raw Platform Nov 4-6 2025'!D:D,1,FALSE)),IFNA(VLOOKUP(F406,'Glovo Raw Nov 4-6 2025'!B:B,1,FALSE),"Not Matched"))))))</f>
      </c>
      <c r="H406">
        <f>COUNTIF(F:F,F406)</f>
      </c>
      <c r="I406" t="s">
        <v>6970</v>
      </c>
      <c r="J406" t="s">
        <v>4915</v>
      </c>
      <c r="K406" t="s">
        <v>4927</v>
      </c>
      <c r="L406" t="s">
        <v>6971</v>
      </c>
      <c r="M406" t="s">
        <v>6972</v>
      </c>
      <c r="N406" t="s">
        <v>6973</v>
      </c>
      <c r="O406" t="s">
        <v>32</v>
      </c>
      <c r="P406" t="s">
        <v>6435</v>
      </c>
      <c r="Q406">
        <v>0</v>
      </c>
      <c r="R406" t="s">
        <v>5118</v>
      </c>
      <c r="S406" t="s">
        <v>12</v>
      </c>
      <c r="T406" t="s">
        <v>4923</v>
      </c>
      <c r="U406" t="s">
        <v>4924</v>
      </c>
      <c r="V406" t="s">
        <v>6974</v>
      </c>
      <c r="W406" t="s">
        <v>3667</v>
      </c>
      <c r="X406">
        <v>359.9</v>
      </c>
    </row>
    <row r="407" spans="1:24" x14ac:dyDescent="0.25">
      <c r="A407" t="s">
        <v>4932</v>
      </c>
      <c r="B407" t="s">
        <v>6958</v>
      </c>
      <c r="C407" t="s">
        <v>6959</v>
      </c>
      <c r="D407" t="s">
        <v>13</v>
      </c>
      <c r="E407" t="s">
        <v>4913</v>
      </c>
      <c r="F407" t="s">
        <v>2382</v>
      </c>
      <c r="G407">
        <f>IF(K407="Pick-up","PICKUPS",IF(K407="Staff drop-off","STAFF_DROPOFF",IF(K407="Replacements","REPLACEMENT",IF(K407="Central Stores Dispatch","CENTRAL STORES DISPATCH",IFNA(IFNA(VLOOKUP(F407,'Raw Platform Nov 4-6 2025'!C:C,1,FALSE),VLOOKUP(F407,'Raw Platform Nov 4-6 2025'!D:D,1,FALSE)),IFNA(VLOOKUP(F407,'Glovo Raw Nov 4-6 2025'!B:B,1,FALSE),"Not Matched"))))))</f>
      </c>
      <c r="H407">
        <f>COUNTIF(F:F,F407)</f>
      </c>
      <c r="I407" t="s">
        <v>6975</v>
      </c>
      <c r="J407" t="s">
        <v>4915</v>
      </c>
      <c r="K407" t="s">
        <v>4927</v>
      </c>
      <c r="L407" t="s">
        <v>6976</v>
      </c>
      <c r="M407" t="s">
        <v>6977</v>
      </c>
      <c r="N407" t="s">
        <v>6978</v>
      </c>
      <c r="O407" t="s">
        <v>6079</v>
      </c>
      <c r="P407" t="s">
        <v>6979</v>
      </c>
      <c r="Q407">
        <v>0</v>
      </c>
      <c r="R407" t="s">
        <v>5118</v>
      </c>
      <c r="S407" t="s">
        <v>29</v>
      </c>
      <c r="T407" t="s">
        <v>4923</v>
      </c>
      <c r="U407" t="s">
        <v>4924</v>
      </c>
      <c r="V407" t="s">
        <v>6980</v>
      </c>
      <c r="W407" t="s">
        <v>3667</v>
      </c>
      <c r="X407">
        <v>700.2</v>
      </c>
    </row>
    <row r="408" spans="1:24" x14ac:dyDescent="0.25">
      <c r="A408" t="s">
        <v>5130</v>
      </c>
      <c r="B408" t="s">
        <v>6958</v>
      </c>
      <c r="C408" t="s">
        <v>6959</v>
      </c>
      <c r="D408" t="s">
        <v>24</v>
      </c>
      <c r="E408" t="s">
        <v>4913</v>
      </c>
      <c r="F408" t="s">
        <v>1835</v>
      </c>
      <c r="G408">
        <f>IF(K408="Pick-up","PICKUPS",IF(K408="Staff drop-off","STAFF_DROPOFF",IF(K408="Replacements","REPLACEMENT",IF(K408="Central Stores Dispatch","CENTRAL STORES DISPATCH",IFNA(IFNA(VLOOKUP(F408,'Raw Platform Nov 4-6 2025'!C:C,1,FALSE),VLOOKUP(F408,'Raw Platform Nov 4-6 2025'!D:D,1,FALSE)),IFNA(VLOOKUP(F408,'Glovo Raw Nov 4-6 2025'!B:B,1,FALSE),"Not Matched"))))))</f>
      </c>
      <c r="H408">
        <f>COUNTIF(F:F,F408)</f>
      </c>
      <c r="I408" t="s">
        <v>6981</v>
      </c>
      <c r="J408" t="s">
        <v>63</v>
      </c>
      <c r="K408" t="s">
        <v>4916</v>
      </c>
      <c r="L408" t="s">
        <v>6982</v>
      </c>
      <c r="M408" t="s">
        <v>6983</v>
      </c>
      <c r="N408" t="s">
        <v>6984</v>
      </c>
      <c r="O408" t="s">
        <v>6086</v>
      </c>
      <c r="P408" t="s">
        <v>6985</v>
      </c>
      <c r="Q408">
        <v>1021.6</v>
      </c>
      <c r="R408" t="s">
        <v>5118</v>
      </c>
      <c r="S408" t="s">
        <v>45</v>
      </c>
      <c r="T408" t="s">
        <v>4923</v>
      </c>
      <c r="U408" t="s">
        <v>4924</v>
      </c>
      <c r="V408" t="s">
        <v>6986</v>
      </c>
      <c r="W408" t="s">
        <v>3667</v>
      </c>
      <c r="X408">
        <v>332.3</v>
      </c>
    </row>
    <row r="409" spans="1:24" x14ac:dyDescent="0.25">
      <c r="A409" t="s">
        <v>5130</v>
      </c>
      <c r="B409" t="s">
        <v>6958</v>
      </c>
      <c r="C409" t="s">
        <v>6959</v>
      </c>
      <c r="D409" t="s">
        <v>24</v>
      </c>
      <c r="E409" t="s">
        <v>4913</v>
      </c>
      <c r="F409" t="s">
        <v>1926</v>
      </c>
      <c r="G409">
        <f>IF(K409="Pick-up","PICKUPS",IF(K409="Staff drop-off","STAFF_DROPOFF",IF(K409="Replacements","REPLACEMENT",IF(K409="Central Stores Dispatch","CENTRAL STORES DISPATCH",IFNA(IFNA(VLOOKUP(F409,'Raw Platform Nov 4-6 2025'!C:C,1,FALSE),VLOOKUP(F409,'Raw Platform Nov 4-6 2025'!D:D,1,FALSE)),IFNA(VLOOKUP(F409,'Glovo Raw Nov 4-6 2025'!B:B,1,FALSE),"Not Matched"))))))</f>
      </c>
      <c r="H409">
        <f>COUNTIF(F:F,F409)</f>
      </c>
      <c r="I409" t="s">
        <v>6987</v>
      </c>
      <c r="J409" t="s">
        <v>4915</v>
      </c>
      <c r="K409" t="s">
        <v>4927</v>
      </c>
      <c r="L409" t="s">
        <v>6988</v>
      </c>
      <c r="M409" t="s">
        <v>6989</v>
      </c>
      <c r="N409" t="s">
        <v>6990</v>
      </c>
      <c r="O409" t="s">
        <v>73</v>
      </c>
      <c r="P409" t="s">
        <v>4962</v>
      </c>
      <c r="Q409">
        <v>0</v>
      </c>
      <c r="R409" t="s">
        <v>5118</v>
      </c>
      <c r="S409" t="s">
        <v>35</v>
      </c>
      <c r="T409" t="s">
        <v>4923</v>
      </c>
      <c r="U409" t="s">
        <v>4924</v>
      </c>
      <c r="V409" t="s">
        <v>6991</v>
      </c>
      <c r="W409" t="s">
        <v>3667</v>
      </c>
      <c r="X409">
        <v>180.5</v>
      </c>
    </row>
    <row r="410" spans="1:24" x14ac:dyDescent="0.25">
      <c r="A410" t="s">
        <v>5231</v>
      </c>
      <c r="B410" t="s">
        <v>6958</v>
      </c>
      <c r="C410" t="s">
        <v>6959</v>
      </c>
      <c r="D410" t="s">
        <v>191</v>
      </c>
      <c r="E410" t="s">
        <v>4913</v>
      </c>
      <c r="F410" t="s">
        <v>1970</v>
      </c>
      <c r="G410">
        <f>IF(K410="Pick-up","PICKUPS",IF(K410="Staff drop-off","STAFF_DROPOFF",IF(K410="Replacements","REPLACEMENT",IF(K410="Central Stores Dispatch","CENTRAL STORES DISPATCH",IFNA(IFNA(VLOOKUP(F410,'Raw Platform Nov 4-6 2025'!C:C,1,FALSE),VLOOKUP(F410,'Raw Platform Nov 4-6 2025'!D:D,1,FALSE)),IFNA(VLOOKUP(F410,'Glovo Raw Nov 4-6 2025'!B:B,1,FALSE),"Not Matched"))))))</f>
      </c>
      <c r="H410">
        <f>COUNTIF(F:F,F410)</f>
      </c>
      <c r="I410" t="s">
        <v>6992</v>
      </c>
      <c r="J410" t="s">
        <v>4915</v>
      </c>
      <c r="K410" t="s">
        <v>4916</v>
      </c>
      <c r="L410" t="s">
        <v>6993</v>
      </c>
      <c r="M410" t="s">
        <v>6994</v>
      </c>
      <c r="N410" t="s">
        <v>6995</v>
      </c>
      <c r="O410" t="s">
        <v>37</v>
      </c>
      <c r="P410" t="s">
        <v>5236</v>
      </c>
      <c r="Q410">
        <v>2746</v>
      </c>
      <c r="R410" t="s">
        <v>5118</v>
      </c>
      <c r="S410" t="s">
        <v>5699</v>
      </c>
      <c r="T410" t="s">
        <v>4923</v>
      </c>
      <c r="U410" t="s">
        <v>4924</v>
      </c>
      <c r="V410" t="s">
        <v>6996</v>
      </c>
      <c r="W410" t="s">
        <v>3667</v>
      </c>
      <c r="X410">
        <v>210.4</v>
      </c>
    </row>
    <row r="411" spans="1:24" x14ac:dyDescent="0.25">
      <c r="A411" t="s">
        <v>5130</v>
      </c>
      <c r="B411" t="s">
        <v>6958</v>
      </c>
      <c r="C411" t="s">
        <v>6959</v>
      </c>
      <c r="D411" t="s">
        <v>24</v>
      </c>
      <c r="E411" t="s">
        <v>4913</v>
      </c>
      <c r="F411" t="s">
        <v>1612</v>
      </c>
      <c r="G411">
        <f>IF(K411="Pick-up","PICKUPS",IF(K411="Staff drop-off","STAFF_DROPOFF",IF(K411="Replacements","REPLACEMENT",IF(K411="Central Stores Dispatch","CENTRAL STORES DISPATCH",IFNA(IFNA(VLOOKUP(F411,'Raw Platform Nov 4-6 2025'!C:C,1,FALSE),VLOOKUP(F411,'Raw Platform Nov 4-6 2025'!D:D,1,FALSE)),IFNA(VLOOKUP(F411,'Glovo Raw Nov 4-6 2025'!B:B,1,FALSE),"Not Matched"))))))</f>
      </c>
      <c r="H411">
        <f>COUNTIF(F:F,F411)</f>
      </c>
      <c r="I411" t="s">
        <v>6997</v>
      </c>
      <c r="J411" t="s">
        <v>4915</v>
      </c>
      <c r="K411" t="s">
        <v>4916</v>
      </c>
      <c r="L411" t="s">
        <v>6998</v>
      </c>
      <c r="M411" t="s">
        <v>6999</v>
      </c>
      <c r="N411" t="s">
        <v>7000</v>
      </c>
      <c r="O411" t="s">
        <v>4949</v>
      </c>
      <c r="P411" t="s">
        <v>5019</v>
      </c>
      <c r="Q411">
        <v>1829</v>
      </c>
      <c r="R411" t="s">
        <v>5118</v>
      </c>
      <c r="S411" t="s">
        <v>432</v>
      </c>
      <c r="T411" t="s">
        <v>4923</v>
      </c>
      <c r="U411" t="s">
        <v>4924</v>
      </c>
      <c r="V411" t="s">
        <v>7001</v>
      </c>
      <c r="W411" t="s">
        <v>3667</v>
      </c>
      <c r="X411">
        <v>100</v>
      </c>
    </row>
    <row r="412" spans="1:24" x14ac:dyDescent="0.25">
      <c r="A412" t="s">
        <v>5130</v>
      </c>
      <c r="B412" t="s">
        <v>6958</v>
      </c>
      <c r="C412" t="s">
        <v>6959</v>
      </c>
      <c r="D412" t="s">
        <v>24</v>
      </c>
      <c r="E412" t="s">
        <v>4913</v>
      </c>
      <c r="F412" t="s">
        <v>3231</v>
      </c>
      <c r="G412">
        <f>IF(K412="Pick-up","PICKUPS",IF(K412="Staff drop-off","STAFF_DROPOFF",IF(K412="Replacements","REPLACEMENT",IF(K412="Central Stores Dispatch","CENTRAL STORES DISPATCH",IFNA(IFNA(VLOOKUP(F412,'Raw Platform Nov 4-6 2025'!C:C,1,FALSE),VLOOKUP(F412,'Raw Platform Nov 4-6 2025'!D:D,1,FALSE)),IFNA(VLOOKUP(F412,'Glovo Raw Nov 4-6 2025'!B:B,1,FALSE),"Not Matched"))))))</f>
      </c>
      <c r="H412">
        <f>COUNTIF(F:F,F412)</f>
      </c>
      <c r="I412" t="s">
        <v>7002</v>
      </c>
      <c r="J412" t="s">
        <v>4915</v>
      </c>
      <c r="K412" t="s">
        <v>4927</v>
      </c>
      <c r="L412" t="s">
        <v>7003</v>
      </c>
      <c r="M412" t="s">
        <v>7004</v>
      </c>
      <c r="N412" t="s">
        <v>7005</v>
      </c>
      <c r="O412" t="s">
        <v>2009</v>
      </c>
      <c r="P412" t="s">
        <v>5128</v>
      </c>
      <c r="Q412">
        <v>0</v>
      </c>
      <c r="R412" t="s">
        <v>5118</v>
      </c>
      <c r="S412" t="s">
        <v>116</v>
      </c>
      <c r="T412" t="s">
        <v>4923</v>
      </c>
      <c r="U412" t="s">
        <v>4924</v>
      </c>
      <c r="V412" t="s">
        <v>7006</v>
      </c>
      <c r="W412" t="s">
        <v>3667</v>
      </c>
      <c r="X412">
        <v>116.1</v>
      </c>
    </row>
    <row r="413" spans="1:24" x14ac:dyDescent="0.25">
      <c r="A413" t="s">
        <v>5231</v>
      </c>
      <c r="B413" t="s">
        <v>6958</v>
      </c>
      <c r="C413" t="s">
        <v>6959</v>
      </c>
      <c r="D413" t="s">
        <v>191</v>
      </c>
      <c r="E413" t="s">
        <v>4913</v>
      </c>
      <c r="F413" t="s">
        <v>2585</v>
      </c>
      <c r="G413">
        <f>IF(K413="Pick-up","PICKUPS",IF(K413="Staff drop-off","STAFF_DROPOFF",IF(K413="Replacements","REPLACEMENT",IF(K413="Central Stores Dispatch","CENTRAL STORES DISPATCH",IFNA(IFNA(VLOOKUP(F413,'Raw Platform Nov 4-6 2025'!C:C,1,FALSE),VLOOKUP(F413,'Raw Platform Nov 4-6 2025'!D:D,1,FALSE)),IFNA(VLOOKUP(F413,'Glovo Raw Nov 4-6 2025'!B:B,1,FALSE),"Not Matched"))))))</f>
      </c>
      <c r="H413">
        <f>COUNTIF(F:F,F413)</f>
      </c>
      <c r="I413" t="s">
        <v>7007</v>
      </c>
      <c r="J413" t="s">
        <v>4915</v>
      </c>
      <c r="K413" t="s">
        <v>4927</v>
      </c>
      <c r="L413" t="s">
        <v>7008</v>
      </c>
      <c r="M413" t="s">
        <v>5234</v>
      </c>
      <c r="N413" t="s">
        <v>7009</v>
      </c>
      <c r="O413" t="s">
        <v>42</v>
      </c>
      <c r="P413" t="s">
        <v>6133</v>
      </c>
      <c r="Q413">
        <v>0</v>
      </c>
      <c r="R413" t="s">
        <v>5118</v>
      </c>
      <c r="S413" t="s">
        <v>5184</v>
      </c>
      <c r="T413" t="s">
        <v>4923</v>
      </c>
      <c r="U413" t="s">
        <v>4924</v>
      </c>
      <c r="V413" t="s">
        <v>7010</v>
      </c>
      <c r="W413" t="s">
        <v>3667</v>
      </c>
      <c r="X413">
        <v>293.2</v>
      </c>
    </row>
    <row r="414" spans="1:24" x14ac:dyDescent="0.25">
      <c r="A414" t="s">
        <v>5231</v>
      </c>
      <c r="B414" t="s">
        <v>6958</v>
      </c>
      <c r="C414" t="s">
        <v>6959</v>
      </c>
      <c r="D414" t="s">
        <v>191</v>
      </c>
      <c r="E414" t="s">
        <v>4913</v>
      </c>
      <c r="F414" t="s">
        <v>3282</v>
      </c>
      <c r="G414">
        <f>IF(K414="Pick-up","PICKUPS",IF(K414="Staff drop-off","STAFF_DROPOFF",IF(K414="Replacements","REPLACEMENT",IF(K414="Central Stores Dispatch","CENTRAL STORES DISPATCH",IFNA(IFNA(VLOOKUP(F414,'Raw Platform Nov 4-6 2025'!C:C,1,FALSE),VLOOKUP(F414,'Raw Platform Nov 4-6 2025'!D:D,1,FALSE)),IFNA(VLOOKUP(F414,'Glovo Raw Nov 4-6 2025'!B:B,1,FALSE),"Not Matched"))))))</f>
      </c>
      <c r="H414">
        <f>COUNTIF(F:F,F414)</f>
      </c>
      <c r="I414" t="s">
        <v>7011</v>
      </c>
      <c r="J414" t="s">
        <v>4915</v>
      </c>
      <c r="K414" t="s">
        <v>4927</v>
      </c>
      <c r="L414" t="s">
        <v>7012</v>
      </c>
      <c r="M414" t="s">
        <v>7013</v>
      </c>
      <c r="N414" t="s">
        <v>4948</v>
      </c>
      <c r="O414" t="s">
        <v>4949</v>
      </c>
      <c r="P414" t="s">
        <v>4950</v>
      </c>
      <c r="Q414">
        <v>0</v>
      </c>
      <c r="R414" t="s">
        <v>5118</v>
      </c>
      <c r="S414" t="s">
        <v>5184</v>
      </c>
      <c r="T414" t="s">
        <v>4923</v>
      </c>
      <c r="U414" t="s">
        <v>4924</v>
      </c>
      <c r="V414" t="s">
        <v>7014</v>
      </c>
      <c r="W414" t="s">
        <v>3667</v>
      </c>
      <c r="X414">
        <v>100</v>
      </c>
    </row>
    <row r="415" spans="1:24" x14ac:dyDescent="0.25">
      <c r="A415" t="s">
        <v>5130</v>
      </c>
      <c r="B415" t="s">
        <v>6958</v>
      </c>
      <c r="C415" t="s">
        <v>6959</v>
      </c>
      <c r="D415" t="s">
        <v>24</v>
      </c>
      <c r="E415" t="s">
        <v>4913</v>
      </c>
      <c r="F415" t="s">
        <v>3385</v>
      </c>
      <c r="G415">
        <f>IF(K415="Pick-up","PICKUPS",IF(K415="Staff drop-off","STAFF_DROPOFF",IF(K415="Replacements","REPLACEMENT",IF(K415="Central Stores Dispatch","CENTRAL STORES DISPATCH",IFNA(IFNA(VLOOKUP(F415,'Raw Platform Nov 4-6 2025'!C:C,1,FALSE),VLOOKUP(F415,'Raw Platform Nov 4-6 2025'!D:D,1,FALSE)),IFNA(VLOOKUP(F415,'Glovo Raw Nov 4-6 2025'!B:B,1,FALSE),"Not Matched"))))))</f>
      </c>
      <c r="H415">
        <f>COUNTIF(F:F,F415)</f>
      </c>
      <c r="I415" t="s">
        <v>7015</v>
      </c>
      <c r="J415" t="s">
        <v>63</v>
      </c>
      <c r="K415" t="s">
        <v>4927</v>
      </c>
      <c r="L415" t="s">
        <v>7016</v>
      </c>
      <c r="M415" t="s">
        <v>7017</v>
      </c>
      <c r="N415" t="s">
        <v>7018</v>
      </c>
      <c r="O415" t="s">
        <v>37</v>
      </c>
      <c r="P415" t="s">
        <v>5535</v>
      </c>
      <c r="Q415">
        <v>0</v>
      </c>
      <c r="R415" t="s">
        <v>5118</v>
      </c>
      <c r="S415" t="s">
        <v>45</v>
      </c>
      <c r="T415" t="s">
        <v>4923</v>
      </c>
      <c r="U415" t="s">
        <v>4924</v>
      </c>
      <c r="V415" t="s">
        <v>7019</v>
      </c>
      <c r="W415" t="s">
        <v>3667</v>
      </c>
      <c r="X415">
        <v>346.1</v>
      </c>
    </row>
    <row r="416" spans="1:24" x14ac:dyDescent="0.25">
      <c r="A416" t="s">
        <v>5130</v>
      </c>
      <c r="B416" t="s">
        <v>6958</v>
      </c>
      <c r="C416" t="s">
        <v>6959</v>
      </c>
      <c r="D416" t="s">
        <v>24</v>
      </c>
      <c r="E416" t="s">
        <v>4913</v>
      </c>
      <c r="F416" t="s">
        <v>3254</v>
      </c>
      <c r="G416">
        <f>IF(K416="Pick-up","PICKUPS",IF(K416="Staff drop-off","STAFF_DROPOFF",IF(K416="Replacements","REPLACEMENT",IF(K416="Central Stores Dispatch","CENTRAL STORES DISPATCH",IFNA(IFNA(VLOOKUP(F416,'Raw Platform Nov 4-6 2025'!C:C,1,FALSE),VLOOKUP(F416,'Raw Platform Nov 4-6 2025'!D:D,1,FALSE)),IFNA(VLOOKUP(F416,'Glovo Raw Nov 4-6 2025'!B:B,1,FALSE),"Not Matched"))))))</f>
      </c>
      <c r="H416">
        <f>COUNTIF(F:F,F416)</f>
      </c>
      <c r="I416" t="s">
        <v>7020</v>
      </c>
      <c r="J416" t="s">
        <v>4915</v>
      </c>
      <c r="K416" t="s">
        <v>4927</v>
      </c>
      <c r="L416" t="s">
        <v>7021</v>
      </c>
      <c r="M416" t="s">
        <v>7022</v>
      </c>
      <c r="N416" t="s">
        <v>7023</v>
      </c>
      <c r="O416" t="s">
        <v>123</v>
      </c>
      <c r="P416" t="s">
        <v>7024</v>
      </c>
      <c r="Q416">
        <v>0</v>
      </c>
      <c r="R416" t="s">
        <v>5118</v>
      </c>
      <c r="S416" t="s">
        <v>172</v>
      </c>
      <c r="T416" t="s">
        <v>4923</v>
      </c>
      <c r="U416" t="s">
        <v>4924</v>
      </c>
      <c r="V416" t="s">
        <v>7025</v>
      </c>
      <c r="W416" t="s">
        <v>3667</v>
      </c>
      <c r="X416">
        <v>185.1</v>
      </c>
    </row>
    <row r="417" spans="1:24" x14ac:dyDescent="0.25">
      <c r="A417" t="s">
        <v>4932</v>
      </c>
      <c r="B417" t="s">
        <v>6958</v>
      </c>
      <c r="C417" t="s">
        <v>6959</v>
      </c>
      <c r="D417" t="s">
        <v>13</v>
      </c>
      <c r="E417" t="s">
        <v>5034</v>
      </c>
      <c r="F417" t="s">
        <v>2594</v>
      </c>
      <c r="G417">
        <f>IF(K417="Pick-up","PICKUPS",IF(K417="Staff drop-off","STAFF_DROPOFF",IF(K417="Replacements","REPLACEMENT",IF(K417="Central Stores Dispatch","CENTRAL STORES DISPATCH",IFNA(IFNA(VLOOKUP(F417,'Raw Platform Nov 4-6 2025'!C:C,1,FALSE),VLOOKUP(F417,'Raw Platform Nov 4-6 2025'!D:D,1,FALSE)),IFNA(VLOOKUP(F417,'Glovo Raw Nov 4-6 2025'!B:B,1,FALSE),"Not Matched"))))))</f>
      </c>
      <c r="H417">
        <f>COUNTIF(F:F,F417)</f>
      </c>
      <c r="I417" t="s">
        <v>7026</v>
      </c>
      <c r="J417" t="s">
        <v>4915</v>
      </c>
      <c r="K417" t="s">
        <v>4927</v>
      </c>
      <c r="L417" t="s">
        <v>7027</v>
      </c>
      <c r="M417" t="s">
        <v>7028</v>
      </c>
      <c r="N417" t="s">
        <v>7029</v>
      </c>
      <c r="O417" t="s">
        <v>32</v>
      </c>
      <c r="P417" t="s">
        <v>7030</v>
      </c>
      <c r="Q417">
        <v>0</v>
      </c>
      <c r="R417" t="s">
        <v>5118</v>
      </c>
      <c r="S417" t="s">
        <v>29</v>
      </c>
      <c r="T417" t="s">
        <v>4923</v>
      </c>
      <c r="U417" t="s">
        <v>4923</v>
      </c>
      <c r="V417" t="s">
        <v>7031</v>
      </c>
      <c r="W417" t="s">
        <v>3667</v>
      </c>
      <c r="X417">
        <v>0</v>
      </c>
    </row>
    <row r="418" spans="1:24" x14ac:dyDescent="0.25">
      <c r="A418" t="s">
        <v>5130</v>
      </c>
      <c r="B418" t="s">
        <v>6958</v>
      </c>
      <c r="C418" t="s">
        <v>6959</v>
      </c>
      <c r="D418" t="s">
        <v>24</v>
      </c>
      <c r="E418" t="s">
        <v>4913</v>
      </c>
      <c r="F418" t="s">
        <v>3102</v>
      </c>
      <c r="G418">
        <f>IF(K418="Pick-up","PICKUPS",IF(K418="Staff drop-off","STAFF_DROPOFF",IF(K418="Replacements","REPLACEMENT",IF(K418="Central Stores Dispatch","CENTRAL STORES DISPATCH",IFNA(IFNA(VLOOKUP(F418,'Raw Platform Nov 4-6 2025'!C:C,1,FALSE),VLOOKUP(F418,'Raw Platform Nov 4-6 2025'!D:D,1,FALSE)),IFNA(VLOOKUP(F418,'Glovo Raw Nov 4-6 2025'!B:B,1,FALSE),"Not Matched"))))))</f>
      </c>
      <c r="H418">
        <f>COUNTIF(F:F,F418)</f>
      </c>
      <c r="I418" t="s">
        <v>7032</v>
      </c>
      <c r="J418" t="s">
        <v>63</v>
      </c>
      <c r="K418" t="s">
        <v>4927</v>
      </c>
      <c r="L418" t="s">
        <v>7033</v>
      </c>
      <c r="M418" t="s">
        <v>7034</v>
      </c>
      <c r="N418" t="s">
        <v>7035</v>
      </c>
      <c r="O418" t="s">
        <v>4949</v>
      </c>
      <c r="P418" t="s">
        <v>4984</v>
      </c>
      <c r="Q418">
        <v>0</v>
      </c>
      <c r="R418" t="s">
        <v>5118</v>
      </c>
      <c r="S418" t="s">
        <v>45</v>
      </c>
      <c r="T418" t="s">
        <v>4923</v>
      </c>
      <c r="U418" t="s">
        <v>4924</v>
      </c>
      <c r="V418" t="s">
        <v>7036</v>
      </c>
      <c r="W418" t="s">
        <v>3667</v>
      </c>
      <c r="X418">
        <v>100</v>
      </c>
    </row>
    <row r="419" spans="1:24" x14ac:dyDescent="0.25">
      <c r="A419" t="s">
        <v>5130</v>
      </c>
      <c r="B419" t="s">
        <v>6958</v>
      </c>
      <c r="C419" t="s">
        <v>6959</v>
      </c>
      <c r="D419" t="s">
        <v>13</v>
      </c>
      <c r="E419" t="s">
        <v>4913</v>
      </c>
      <c r="F419" t="s">
        <v>2594</v>
      </c>
      <c r="G419">
        <f>IF(K419="Pick-up","PICKUPS",IF(K419="Staff drop-off","STAFF_DROPOFF",IF(K419="Replacements","REPLACEMENT",IF(K419="Central Stores Dispatch","CENTRAL STORES DISPATCH",IFNA(IFNA(VLOOKUP(F419,'Raw Platform Nov 4-6 2025'!C:C,1,FALSE),VLOOKUP(F419,'Raw Platform Nov 4-6 2025'!D:D,1,FALSE)),IFNA(VLOOKUP(F419,'Glovo Raw Nov 4-6 2025'!B:B,1,FALSE),"Not Matched"))))))</f>
      </c>
      <c r="H419">
        <f>COUNTIF(F:F,F419)</f>
      </c>
      <c r="I419" t="s">
        <v>7037</v>
      </c>
      <c r="J419" t="s">
        <v>4915</v>
      </c>
      <c r="K419" t="s">
        <v>4927</v>
      </c>
      <c r="L419" t="s">
        <v>7038</v>
      </c>
      <c r="M419" t="s">
        <v>7039</v>
      </c>
      <c r="N419" t="s">
        <v>7040</v>
      </c>
      <c r="O419" t="s">
        <v>183</v>
      </c>
      <c r="P419" t="s">
        <v>5679</v>
      </c>
      <c r="Q419">
        <v>0</v>
      </c>
      <c r="R419" t="s">
        <v>5118</v>
      </c>
      <c r="S419" t="s">
        <v>29</v>
      </c>
      <c r="T419" t="s">
        <v>4923</v>
      </c>
      <c r="U419" t="s">
        <v>4924</v>
      </c>
      <c r="V419" t="s">
        <v>7041</v>
      </c>
      <c r="W419" t="s">
        <v>3667</v>
      </c>
      <c r="X419">
        <v>445</v>
      </c>
    </row>
    <row r="420" spans="1:24" x14ac:dyDescent="0.25">
      <c r="A420" t="s">
        <v>5130</v>
      </c>
      <c r="B420" t="s">
        <v>6958</v>
      </c>
      <c r="C420" t="s">
        <v>6959</v>
      </c>
      <c r="D420" t="s">
        <v>24</v>
      </c>
      <c r="E420" t="s">
        <v>4913</v>
      </c>
      <c r="F420" t="s">
        <v>2709</v>
      </c>
      <c r="G420">
        <f>IF(K420="Pick-up","PICKUPS",IF(K420="Staff drop-off","STAFF_DROPOFF",IF(K420="Replacements","REPLACEMENT",IF(K420="Central Stores Dispatch","CENTRAL STORES DISPATCH",IFNA(IFNA(VLOOKUP(F420,'Raw Platform Nov 4-6 2025'!C:C,1,FALSE),VLOOKUP(F420,'Raw Platform Nov 4-6 2025'!D:D,1,FALSE)),IFNA(VLOOKUP(F420,'Glovo Raw Nov 4-6 2025'!B:B,1,FALSE),"Not Matched"))))))</f>
      </c>
      <c r="H420">
        <f>COUNTIF(F:F,F420)</f>
      </c>
      <c r="I420" t="s">
        <v>7042</v>
      </c>
      <c r="J420" t="s">
        <v>4915</v>
      </c>
      <c r="K420" t="s">
        <v>4927</v>
      </c>
      <c r="L420" t="s">
        <v>7043</v>
      </c>
      <c r="M420" t="s">
        <v>7044</v>
      </c>
      <c r="N420" t="s">
        <v>7045</v>
      </c>
      <c r="O420" t="s">
        <v>4962</v>
      </c>
      <c r="P420" t="s">
        <v>5045</v>
      </c>
      <c r="Q420">
        <v>0</v>
      </c>
      <c r="R420" t="s">
        <v>5118</v>
      </c>
      <c r="S420" t="s">
        <v>5136</v>
      </c>
      <c r="T420" t="s">
        <v>4923</v>
      </c>
      <c r="U420" t="s">
        <v>4924</v>
      </c>
      <c r="V420" t="s">
        <v>7046</v>
      </c>
      <c r="W420" t="s">
        <v>3667</v>
      </c>
      <c r="X420">
        <v>102.3</v>
      </c>
    </row>
    <row r="421" spans="1:24" x14ac:dyDescent="0.25">
      <c r="A421" t="s">
        <v>4910</v>
      </c>
      <c r="B421" t="s">
        <v>6958</v>
      </c>
      <c r="C421" t="s">
        <v>6959</v>
      </c>
      <c r="D421" t="s">
        <v>13</v>
      </c>
      <c r="E421" t="s">
        <v>4913</v>
      </c>
      <c r="F421" t="s">
        <v>2974</v>
      </c>
      <c r="G421">
        <f>IF(K421="Pick-up","PICKUPS",IF(K421="Staff drop-off","STAFF_DROPOFF",IF(K421="Replacements","REPLACEMENT",IF(K421="Central Stores Dispatch","CENTRAL STORES DISPATCH",IFNA(IFNA(VLOOKUP(F421,'Raw Platform Nov 4-6 2025'!C:C,1,FALSE),VLOOKUP(F421,'Raw Platform Nov 4-6 2025'!D:D,1,FALSE)),IFNA(VLOOKUP(F421,'Glovo Raw Nov 4-6 2025'!B:B,1,FALSE),"Not Matched"))))))</f>
      </c>
      <c r="H421">
        <f>COUNTIF(F:F,F421)</f>
      </c>
      <c r="I421" t="s">
        <v>7047</v>
      </c>
      <c r="J421" t="s">
        <v>5028</v>
      </c>
      <c r="K421" t="s">
        <v>4927</v>
      </c>
      <c r="L421" t="s">
        <v>7048</v>
      </c>
      <c r="M421" t="s">
        <v>7049</v>
      </c>
      <c r="N421" t="s">
        <v>7050</v>
      </c>
      <c r="O421" t="s">
        <v>91</v>
      </c>
      <c r="P421" t="s">
        <v>5910</v>
      </c>
      <c r="Q421">
        <v>1560</v>
      </c>
      <c r="R421" t="s">
        <v>5118</v>
      </c>
      <c r="S421" t="s">
        <v>29</v>
      </c>
      <c r="T421" t="s">
        <v>4923</v>
      </c>
      <c r="U421" t="s">
        <v>4924</v>
      </c>
      <c r="V421" t="s">
        <v>7051</v>
      </c>
      <c r="W421" t="s">
        <v>3667</v>
      </c>
      <c r="X421">
        <v>297.8</v>
      </c>
    </row>
    <row r="422" spans="1:24" x14ac:dyDescent="0.25">
      <c r="A422" t="s">
        <v>5130</v>
      </c>
      <c r="B422" t="s">
        <v>6958</v>
      </c>
      <c r="C422" t="s">
        <v>6959</v>
      </c>
      <c r="D422" t="s">
        <v>24</v>
      </c>
      <c r="E422" t="s">
        <v>4913</v>
      </c>
      <c r="F422" t="s">
        <v>2929</v>
      </c>
      <c r="G422">
        <f>IF(K422="Pick-up","PICKUPS",IF(K422="Staff drop-off","STAFF_DROPOFF",IF(K422="Replacements","REPLACEMENT",IF(K422="Central Stores Dispatch","CENTRAL STORES DISPATCH",IFNA(IFNA(VLOOKUP(F422,'Raw Platform Nov 4-6 2025'!C:C,1,FALSE),VLOOKUP(F422,'Raw Platform Nov 4-6 2025'!D:D,1,FALSE)),IFNA(VLOOKUP(F422,'Glovo Raw Nov 4-6 2025'!B:B,1,FALSE),"Not Matched"))))))</f>
      </c>
      <c r="H422">
        <f>COUNTIF(F:F,F422)</f>
      </c>
      <c r="I422" t="s">
        <v>7052</v>
      </c>
      <c r="J422" t="s">
        <v>4915</v>
      </c>
      <c r="K422" t="s">
        <v>4927</v>
      </c>
      <c r="L422" t="s">
        <v>7053</v>
      </c>
      <c r="M422" t="s">
        <v>7054</v>
      </c>
      <c r="N422" t="s">
        <v>7055</v>
      </c>
      <c r="O422" t="s">
        <v>32</v>
      </c>
      <c r="P422" t="s">
        <v>6139</v>
      </c>
      <c r="Q422">
        <v>0</v>
      </c>
      <c r="R422" t="s">
        <v>5118</v>
      </c>
      <c r="S422" t="s">
        <v>45</v>
      </c>
      <c r="T422" t="s">
        <v>4923</v>
      </c>
      <c r="U422" t="s">
        <v>4924</v>
      </c>
      <c r="V422" t="s">
        <v>7056</v>
      </c>
      <c r="W422" t="s">
        <v>3667</v>
      </c>
      <c r="X422">
        <v>380.6</v>
      </c>
    </row>
    <row r="423" spans="1:24" x14ac:dyDescent="0.25">
      <c r="A423" t="s">
        <v>5130</v>
      </c>
      <c r="B423" t="s">
        <v>6958</v>
      </c>
      <c r="C423" t="s">
        <v>6959</v>
      </c>
      <c r="D423" t="s">
        <v>24</v>
      </c>
      <c r="E423" t="s">
        <v>4913</v>
      </c>
      <c r="F423" t="s">
        <v>3563</v>
      </c>
      <c r="G423">
        <f>IF(K423="Pick-up","PICKUPS",IF(K423="Staff drop-off","STAFF_DROPOFF",IF(K423="Replacements","REPLACEMENT",IF(K423="Central Stores Dispatch","CENTRAL STORES DISPATCH",IFNA(IFNA(VLOOKUP(F423,'Raw Platform Nov 4-6 2025'!C:C,1,FALSE),VLOOKUP(F423,'Raw Platform Nov 4-6 2025'!D:D,1,FALSE)),IFNA(VLOOKUP(F423,'Glovo Raw Nov 4-6 2025'!B:B,1,FALSE),"Not Matched"))))))</f>
      </c>
      <c r="H423">
        <f>COUNTIF(F:F,F423)</f>
      </c>
      <c r="I423" t="s">
        <v>7057</v>
      </c>
      <c r="J423" t="s">
        <v>63</v>
      </c>
      <c r="K423" t="s">
        <v>4927</v>
      </c>
      <c r="L423" t="s">
        <v>7058</v>
      </c>
      <c r="M423" t="s">
        <v>7059</v>
      </c>
      <c r="N423" t="s">
        <v>7060</v>
      </c>
      <c r="O423" t="s">
        <v>53</v>
      </c>
      <c r="P423" t="s">
        <v>5436</v>
      </c>
      <c r="Q423">
        <v>0</v>
      </c>
      <c r="R423" t="s">
        <v>5118</v>
      </c>
      <c r="S423" t="s">
        <v>432</v>
      </c>
      <c r="T423" t="s">
        <v>4923</v>
      </c>
      <c r="U423" t="s">
        <v>4924</v>
      </c>
      <c r="V423" t="s">
        <v>7061</v>
      </c>
      <c r="W423" t="s">
        <v>3667</v>
      </c>
      <c r="X423">
        <v>164.4</v>
      </c>
    </row>
    <row r="424" spans="1:24" x14ac:dyDescent="0.25">
      <c r="A424" t="s">
        <v>5130</v>
      </c>
      <c r="B424" t="s">
        <v>6958</v>
      </c>
      <c r="C424" t="s">
        <v>6959</v>
      </c>
      <c r="D424" t="s">
        <v>24</v>
      </c>
      <c r="E424" t="s">
        <v>4913</v>
      </c>
      <c r="F424" t="s">
        <v>3106</v>
      </c>
      <c r="G424">
        <f>IF(K424="Pick-up","PICKUPS",IF(K424="Staff drop-off","STAFF_DROPOFF",IF(K424="Replacements","REPLACEMENT",IF(K424="Central Stores Dispatch","CENTRAL STORES DISPATCH",IFNA(IFNA(VLOOKUP(F424,'Raw Platform Nov 4-6 2025'!C:C,1,FALSE),VLOOKUP(F424,'Raw Platform Nov 4-6 2025'!D:D,1,FALSE)),IFNA(VLOOKUP(F424,'Glovo Raw Nov 4-6 2025'!B:B,1,FALSE),"Not Matched"))))))</f>
      </c>
      <c r="H424">
        <f>COUNTIF(F:F,F424)</f>
      </c>
      <c r="I424" t="s">
        <v>7062</v>
      </c>
      <c r="J424" t="s">
        <v>63</v>
      </c>
      <c r="K424" t="s">
        <v>4927</v>
      </c>
      <c r="L424" t="s">
        <v>7063</v>
      </c>
      <c r="M424" t="s">
        <v>7064</v>
      </c>
      <c r="N424" t="s">
        <v>7065</v>
      </c>
      <c r="O424" t="s">
        <v>2009</v>
      </c>
      <c r="P424" t="s">
        <v>5578</v>
      </c>
      <c r="Q424">
        <v>0</v>
      </c>
      <c r="R424" t="s">
        <v>5118</v>
      </c>
      <c r="S424" t="s">
        <v>432</v>
      </c>
      <c r="T424" t="s">
        <v>4923</v>
      </c>
      <c r="U424" t="s">
        <v>4924</v>
      </c>
      <c r="V424" t="s">
        <v>7066</v>
      </c>
      <c r="W424" t="s">
        <v>3667</v>
      </c>
      <c r="X424">
        <v>100</v>
      </c>
    </row>
    <row r="425" spans="1:24" x14ac:dyDescent="0.25">
      <c r="A425" t="s">
        <v>5130</v>
      </c>
      <c r="B425" t="s">
        <v>7067</v>
      </c>
      <c r="C425" t="s">
        <v>7068</v>
      </c>
      <c r="D425" t="s">
        <v>24</v>
      </c>
      <c r="E425" t="s">
        <v>4913</v>
      </c>
      <c r="F425" t="s">
        <v>1243</v>
      </c>
      <c r="G425">
        <f>IF(K425="Pick-up","PICKUPS",IF(K425="Staff drop-off","STAFF_DROPOFF",IF(K425="Replacements","REPLACEMENT",IF(K425="Central Stores Dispatch","CENTRAL STORES DISPATCH",IFNA(IFNA(VLOOKUP(F425,'Raw Platform Nov 4-6 2025'!C:C,1,FALSE),VLOOKUP(F425,'Raw Platform Nov 4-6 2025'!D:D,1,FALSE)),IFNA(VLOOKUP(F425,'Glovo Raw Nov 4-6 2025'!B:B,1,FALSE),"Not Matched"))))))</f>
      </c>
      <c r="H425">
        <f>COUNTIF(F:F,F425)</f>
      </c>
      <c r="I425" t="s">
        <v>7069</v>
      </c>
      <c r="J425" t="s">
        <v>4915</v>
      </c>
      <c r="K425" t="s">
        <v>4916</v>
      </c>
      <c r="L425" t="s">
        <v>7070</v>
      </c>
      <c r="M425" t="s">
        <v>5217</v>
      </c>
      <c r="N425" t="s">
        <v>6403</v>
      </c>
      <c r="O425" t="s">
        <v>47</v>
      </c>
      <c r="P425" t="s">
        <v>5953</v>
      </c>
      <c r="Q425">
        <v>2167</v>
      </c>
      <c r="R425" t="s">
        <v>4922</v>
      </c>
      <c r="S425" t="s">
        <v>5136</v>
      </c>
      <c r="T425" t="s">
        <v>4923</v>
      </c>
      <c r="U425" t="s">
        <v>4924</v>
      </c>
      <c r="V425" t="s">
        <v>7071</v>
      </c>
      <c r="W425" t="s">
        <v>3667</v>
      </c>
      <c r="X425">
        <v>118.4</v>
      </c>
    </row>
    <row r="426" spans="1:24" x14ac:dyDescent="0.25">
      <c r="A426" t="s">
        <v>4932</v>
      </c>
      <c r="B426" t="s">
        <v>7067</v>
      </c>
      <c r="C426" t="s">
        <v>7068</v>
      </c>
      <c r="D426" t="s">
        <v>13</v>
      </c>
      <c r="E426" t="s">
        <v>4913</v>
      </c>
      <c r="F426" t="s">
        <v>1037</v>
      </c>
      <c r="G426">
        <f>IF(K426="Pick-up","PICKUPS",IF(K426="Staff drop-off","STAFF_DROPOFF",IF(K426="Replacements","REPLACEMENT",IF(K426="Central Stores Dispatch","CENTRAL STORES DISPATCH",IFNA(IFNA(VLOOKUP(F426,'Raw Platform Nov 4-6 2025'!C:C,1,FALSE),VLOOKUP(F426,'Raw Platform Nov 4-6 2025'!D:D,1,FALSE)),IFNA(VLOOKUP(F426,'Glovo Raw Nov 4-6 2025'!B:B,1,FALSE),"Not Matched"))))))</f>
      </c>
      <c r="H426">
        <f>COUNTIF(F:F,F426)</f>
      </c>
      <c r="I426" t="s">
        <v>7072</v>
      </c>
      <c r="J426" t="s">
        <v>4915</v>
      </c>
      <c r="K426" t="s">
        <v>4927</v>
      </c>
      <c r="L426" t="s">
        <v>7073</v>
      </c>
      <c r="M426" t="s">
        <v>7074</v>
      </c>
      <c r="N426" t="s">
        <v>7075</v>
      </c>
      <c r="O426" t="s">
        <v>47</v>
      </c>
      <c r="P426" t="s">
        <v>5404</v>
      </c>
      <c r="Q426">
        <v>0</v>
      </c>
      <c r="R426" t="s">
        <v>4922</v>
      </c>
      <c r="S426" t="s">
        <v>29</v>
      </c>
      <c r="T426" t="s">
        <v>4923</v>
      </c>
      <c r="U426" t="s">
        <v>4924</v>
      </c>
      <c r="V426" t="s">
        <v>7076</v>
      </c>
      <c r="W426" t="s">
        <v>3667</v>
      </c>
      <c r="X426">
        <v>123</v>
      </c>
    </row>
    <row r="427" spans="1:24" x14ac:dyDescent="0.25">
      <c r="A427" t="s">
        <v>5130</v>
      </c>
      <c r="B427" t="s">
        <v>7067</v>
      </c>
      <c r="C427" t="s">
        <v>7068</v>
      </c>
      <c r="D427" t="s">
        <v>24</v>
      </c>
      <c r="E427" t="s">
        <v>4913</v>
      </c>
      <c r="F427" t="s">
        <v>675</v>
      </c>
      <c r="G427">
        <f>IF(K427="Pick-up","PICKUPS",IF(K427="Staff drop-off","STAFF_DROPOFF",IF(K427="Replacements","REPLACEMENT",IF(K427="Central Stores Dispatch","CENTRAL STORES DISPATCH",IFNA(IFNA(VLOOKUP(F427,'Raw Platform Nov 4-6 2025'!C:C,1,FALSE),VLOOKUP(F427,'Raw Platform Nov 4-6 2025'!D:D,1,FALSE)),IFNA(VLOOKUP(F427,'Glovo Raw Nov 4-6 2025'!B:B,1,FALSE),"Not Matched"))))))</f>
      </c>
      <c r="H427">
        <f>COUNTIF(F:F,F427)</f>
      </c>
      <c r="I427" t="s">
        <v>7077</v>
      </c>
      <c r="J427" t="s">
        <v>4915</v>
      </c>
      <c r="K427" t="s">
        <v>4927</v>
      </c>
      <c r="L427" t="s">
        <v>7078</v>
      </c>
      <c r="M427" t="s">
        <v>5419</v>
      </c>
      <c r="N427" t="s">
        <v>7079</v>
      </c>
      <c r="O427" t="s">
        <v>4920</v>
      </c>
      <c r="P427" t="s">
        <v>5056</v>
      </c>
      <c r="Q427">
        <v>0</v>
      </c>
      <c r="R427" t="s">
        <v>4922</v>
      </c>
      <c r="S427" t="s">
        <v>5136</v>
      </c>
      <c r="T427" t="s">
        <v>4923</v>
      </c>
      <c r="U427" t="s">
        <v>4924</v>
      </c>
      <c r="V427" t="s">
        <v>7080</v>
      </c>
      <c r="W427" t="s">
        <v>3667</v>
      </c>
      <c r="X427">
        <v>100</v>
      </c>
    </row>
    <row r="428" spans="1:24" x14ac:dyDescent="0.25">
      <c r="A428" t="s">
        <v>5130</v>
      </c>
      <c r="B428" t="s">
        <v>7067</v>
      </c>
      <c r="C428" t="s">
        <v>7068</v>
      </c>
      <c r="D428" t="s">
        <v>24</v>
      </c>
      <c r="E428" t="s">
        <v>4913</v>
      </c>
      <c r="F428" t="s">
        <v>670</v>
      </c>
      <c r="G428">
        <f>IF(K428="Pick-up","PICKUPS",IF(K428="Staff drop-off","STAFF_DROPOFF",IF(K428="Replacements","REPLACEMENT",IF(K428="Central Stores Dispatch","CENTRAL STORES DISPATCH",IFNA(IFNA(VLOOKUP(F428,'Raw Platform Nov 4-6 2025'!C:C,1,FALSE),VLOOKUP(F428,'Raw Platform Nov 4-6 2025'!D:D,1,FALSE)),IFNA(VLOOKUP(F428,'Glovo Raw Nov 4-6 2025'!B:B,1,FALSE),"Not Matched"))))))</f>
      </c>
      <c r="H428">
        <f>COUNTIF(F:F,F428)</f>
      </c>
      <c r="I428" t="s">
        <v>7081</v>
      </c>
      <c r="J428" t="s">
        <v>5028</v>
      </c>
      <c r="K428" t="s">
        <v>4916</v>
      </c>
      <c r="L428" t="s">
        <v>7082</v>
      </c>
      <c r="M428" t="s">
        <v>7083</v>
      </c>
      <c r="N428" t="s">
        <v>7084</v>
      </c>
      <c r="O428" t="s">
        <v>4990</v>
      </c>
      <c r="P428" t="s">
        <v>6558</v>
      </c>
      <c r="Q428">
        <v>2640</v>
      </c>
      <c r="R428" t="s">
        <v>4922</v>
      </c>
      <c r="S428" t="s">
        <v>5136</v>
      </c>
      <c r="T428" t="s">
        <v>4923</v>
      </c>
      <c r="U428" t="s">
        <v>4924</v>
      </c>
      <c r="V428" t="s">
        <v>7085</v>
      </c>
      <c r="W428" t="s">
        <v>3667</v>
      </c>
      <c r="X428">
        <v>100</v>
      </c>
    </row>
    <row r="429" spans="1:24" x14ac:dyDescent="0.25">
      <c r="A429" t="s">
        <v>5130</v>
      </c>
      <c r="B429" t="s">
        <v>7067</v>
      </c>
      <c r="C429" t="s">
        <v>7068</v>
      </c>
      <c r="D429" t="s">
        <v>24</v>
      </c>
      <c r="E429" t="s">
        <v>4913</v>
      </c>
      <c r="F429" t="s">
        <v>795</v>
      </c>
      <c r="G429">
        <f>IF(K429="Pick-up","PICKUPS",IF(K429="Staff drop-off","STAFF_DROPOFF",IF(K429="Replacements","REPLACEMENT",IF(K429="Central Stores Dispatch","CENTRAL STORES DISPATCH",IFNA(IFNA(VLOOKUP(F429,'Raw Platform Nov 4-6 2025'!C:C,1,FALSE),VLOOKUP(F429,'Raw Platform Nov 4-6 2025'!D:D,1,FALSE)),IFNA(VLOOKUP(F429,'Glovo Raw Nov 4-6 2025'!B:B,1,FALSE),"Not Matched"))))))</f>
      </c>
      <c r="H429">
        <f>COUNTIF(F:F,F429)</f>
      </c>
      <c r="I429" t="s">
        <v>7086</v>
      </c>
      <c r="J429" t="s">
        <v>5341</v>
      </c>
      <c r="K429" t="s">
        <v>4927</v>
      </c>
      <c r="L429" t="s">
        <v>7087</v>
      </c>
      <c r="M429" t="s">
        <v>7088</v>
      </c>
      <c r="N429" t="s">
        <v>4929</v>
      </c>
      <c r="O429" t="s">
        <v>2009</v>
      </c>
      <c r="P429" t="s">
        <v>4920</v>
      </c>
      <c r="Q429">
        <v>0</v>
      </c>
      <c r="R429" t="s">
        <v>4922</v>
      </c>
      <c r="S429" t="s">
        <v>5136</v>
      </c>
      <c r="T429" t="s">
        <v>4923</v>
      </c>
      <c r="U429" t="s">
        <v>4924</v>
      </c>
      <c r="V429" t="s">
        <v>7089</v>
      </c>
      <c r="W429" t="s">
        <v>3667</v>
      </c>
      <c r="X429">
        <v>100</v>
      </c>
    </row>
    <row r="430" spans="1:24" x14ac:dyDescent="0.25">
      <c r="A430" t="s">
        <v>5130</v>
      </c>
      <c r="B430" t="s">
        <v>7067</v>
      </c>
      <c r="C430" t="s">
        <v>7068</v>
      </c>
      <c r="D430" t="s">
        <v>24</v>
      </c>
      <c r="E430" t="s">
        <v>4913</v>
      </c>
      <c r="F430" t="s">
        <v>1202</v>
      </c>
      <c r="G430">
        <f>IF(K430="Pick-up","PICKUPS",IF(K430="Staff drop-off","STAFF_DROPOFF",IF(K430="Replacements","REPLACEMENT",IF(K430="Central Stores Dispatch","CENTRAL STORES DISPATCH",IFNA(IFNA(VLOOKUP(F430,'Raw Platform Nov 4-6 2025'!C:C,1,FALSE),VLOOKUP(F430,'Raw Platform Nov 4-6 2025'!D:D,1,FALSE)),IFNA(VLOOKUP(F430,'Glovo Raw Nov 4-6 2025'!B:B,1,FALSE),"Not Matched"))))))</f>
      </c>
      <c r="H430">
        <f>COUNTIF(F:F,F430)</f>
      </c>
      <c r="I430" t="s">
        <v>7090</v>
      </c>
      <c r="J430" t="s">
        <v>4915</v>
      </c>
      <c r="K430" t="s">
        <v>4927</v>
      </c>
      <c r="L430" t="s">
        <v>7091</v>
      </c>
      <c r="M430" t="s">
        <v>5217</v>
      </c>
      <c r="N430" t="s">
        <v>5107</v>
      </c>
      <c r="O430" t="s">
        <v>2009</v>
      </c>
      <c r="P430" t="s">
        <v>5572</v>
      </c>
      <c r="Q430">
        <v>0</v>
      </c>
      <c r="R430" t="s">
        <v>4922</v>
      </c>
      <c r="S430" t="s">
        <v>5136</v>
      </c>
      <c r="T430" t="s">
        <v>4923</v>
      </c>
      <c r="U430" t="s">
        <v>4924</v>
      </c>
      <c r="V430" t="s">
        <v>7092</v>
      </c>
      <c r="W430" t="s">
        <v>3667</v>
      </c>
      <c r="X430">
        <v>125.3</v>
      </c>
    </row>
    <row r="431" spans="1:24" x14ac:dyDescent="0.25">
      <c r="A431" t="s">
        <v>5231</v>
      </c>
      <c r="B431" t="s">
        <v>7067</v>
      </c>
      <c r="C431" t="s">
        <v>7068</v>
      </c>
      <c r="D431" t="s">
        <v>24</v>
      </c>
      <c r="E431" t="s">
        <v>4913</v>
      </c>
      <c r="F431" t="s">
        <v>700</v>
      </c>
      <c r="G431">
        <f>IF(K431="Pick-up","PICKUPS",IF(K431="Staff drop-off","STAFF_DROPOFF",IF(K431="Replacements","REPLACEMENT",IF(K431="Central Stores Dispatch","CENTRAL STORES DISPATCH",IFNA(IFNA(VLOOKUP(F431,'Raw Platform Nov 4-6 2025'!C:C,1,FALSE),VLOOKUP(F431,'Raw Platform Nov 4-6 2025'!D:D,1,FALSE)),IFNA(VLOOKUP(F431,'Glovo Raw Nov 4-6 2025'!B:B,1,FALSE),"Not Matched"))))))</f>
      </c>
      <c r="H431">
        <f>COUNTIF(F:F,F431)</f>
      </c>
      <c r="I431" t="s">
        <v>7093</v>
      </c>
      <c r="J431" t="s">
        <v>4915</v>
      </c>
      <c r="K431" t="s">
        <v>4916</v>
      </c>
      <c r="L431" t="s">
        <v>7094</v>
      </c>
      <c r="M431" t="s">
        <v>6504</v>
      </c>
      <c r="N431" t="s">
        <v>4919</v>
      </c>
      <c r="O431" t="s">
        <v>4920</v>
      </c>
      <c r="P431" t="s">
        <v>5430</v>
      </c>
      <c r="Q431">
        <v>1590</v>
      </c>
      <c r="R431" t="s">
        <v>4922</v>
      </c>
      <c r="S431" t="s">
        <v>5437</v>
      </c>
      <c r="T431" t="s">
        <v>4923</v>
      </c>
      <c r="U431" t="s">
        <v>4924</v>
      </c>
      <c r="V431" t="s">
        <v>7095</v>
      </c>
      <c r="W431" t="s">
        <v>3667</v>
      </c>
      <c r="X431">
        <v>100</v>
      </c>
    </row>
    <row r="432" spans="1:24" x14ac:dyDescent="0.25">
      <c r="A432" t="s">
        <v>4932</v>
      </c>
      <c r="B432" t="s">
        <v>7067</v>
      </c>
      <c r="C432" t="s">
        <v>7068</v>
      </c>
      <c r="D432" t="s">
        <v>13</v>
      </c>
      <c r="E432" t="s">
        <v>4913</v>
      </c>
      <c r="F432" t="s">
        <v>1044</v>
      </c>
      <c r="G432">
        <f>IF(K432="Pick-up","PICKUPS",IF(K432="Staff drop-off","STAFF_DROPOFF",IF(K432="Replacements","REPLACEMENT",IF(K432="Central Stores Dispatch","CENTRAL STORES DISPATCH",IFNA(IFNA(VLOOKUP(F432,'Raw Platform Nov 4-6 2025'!C:C,1,FALSE),VLOOKUP(F432,'Raw Platform Nov 4-6 2025'!D:D,1,FALSE)),IFNA(VLOOKUP(F432,'Glovo Raw Nov 4-6 2025'!B:B,1,FALSE),"Not Matched"))))))</f>
      </c>
      <c r="H432">
        <f>COUNTIF(F:F,F432)</f>
      </c>
      <c r="I432" t="s">
        <v>7096</v>
      </c>
      <c r="J432" t="s">
        <v>4915</v>
      </c>
      <c r="K432" t="s">
        <v>4927</v>
      </c>
      <c r="L432" t="s">
        <v>7097</v>
      </c>
      <c r="M432" t="s">
        <v>7098</v>
      </c>
      <c r="N432" t="s">
        <v>7099</v>
      </c>
      <c r="O432" t="s">
        <v>9</v>
      </c>
      <c r="P432" t="s">
        <v>7100</v>
      </c>
      <c r="Q432">
        <v>0</v>
      </c>
      <c r="R432" t="s">
        <v>4922</v>
      </c>
      <c r="S432" t="s">
        <v>29</v>
      </c>
      <c r="T432" t="s">
        <v>4923</v>
      </c>
      <c r="U432" t="s">
        <v>4924</v>
      </c>
      <c r="V432" t="s">
        <v>7101</v>
      </c>
      <c r="W432" t="s">
        <v>3667</v>
      </c>
      <c r="X432">
        <v>166.7</v>
      </c>
    </row>
    <row r="433" spans="1:24" x14ac:dyDescent="0.25">
      <c r="A433" t="s">
        <v>5130</v>
      </c>
      <c r="B433" t="s">
        <v>7067</v>
      </c>
      <c r="C433" t="s">
        <v>7068</v>
      </c>
      <c r="D433" t="s">
        <v>24</v>
      </c>
      <c r="E433" t="s">
        <v>4913</v>
      </c>
      <c r="F433" t="s">
        <v>82</v>
      </c>
      <c r="G433">
        <f>IF(K433="Pick-up","PICKUPS",IF(K433="Staff drop-off","STAFF_DROPOFF",IF(K433="Replacements","REPLACEMENT",IF(K433="Central Stores Dispatch","CENTRAL STORES DISPATCH",IFNA(IFNA(VLOOKUP(F433,'Raw Platform Nov 4-6 2025'!C:C,1,FALSE),VLOOKUP(F433,'Raw Platform Nov 4-6 2025'!D:D,1,FALSE)),IFNA(VLOOKUP(F433,'Glovo Raw Nov 4-6 2025'!B:B,1,FALSE),"Not Matched"))))))</f>
      </c>
      <c r="H433">
        <f>COUNTIF(F:F,F433)</f>
      </c>
      <c r="I433" t="s">
        <v>7102</v>
      </c>
      <c r="J433" t="s">
        <v>4915</v>
      </c>
      <c r="K433" t="s">
        <v>4927</v>
      </c>
      <c r="L433" t="s">
        <v>7103</v>
      </c>
      <c r="M433" t="s">
        <v>7104</v>
      </c>
      <c r="N433" t="s">
        <v>7105</v>
      </c>
      <c r="O433" t="s">
        <v>47</v>
      </c>
      <c r="P433" t="s">
        <v>5062</v>
      </c>
      <c r="Q433">
        <v>0</v>
      </c>
      <c r="R433" t="s">
        <v>4922</v>
      </c>
      <c r="S433" t="s">
        <v>35</v>
      </c>
      <c r="T433" t="s">
        <v>4923</v>
      </c>
      <c r="U433" t="s">
        <v>4924</v>
      </c>
      <c r="V433" t="s">
        <v>7106</v>
      </c>
      <c r="W433" t="s">
        <v>3667</v>
      </c>
      <c r="X433">
        <v>127.6</v>
      </c>
    </row>
    <row r="434" spans="1:24" x14ac:dyDescent="0.25">
      <c r="A434" t="s">
        <v>5130</v>
      </c>
      <c r="B434" t="s">
        <v>7067</v>
      </c>
      <c r="C434" t="s">
        <v>7068</v>
      </c>
      <c r="D434" t="s">
        <v>24</v>
      </c>
      <c r="E434" t="s">
        <v>4913</v>
      </c>
      <c r="F434" t="s">
        <v>2153</v>
      </c>
      <c r="G434">
        <f>IF(K434="Pick-up","PICKUPS",IF(K434="Staff drop-off","STAFF_DROPOFF",IF(K434="Replacements","REPLACEMENT",IF(K434="Central Stores Dispatch","CENTRAL STORES DISPATCH",IFNA(IFNA(VLOOKUP(F434,'Raw Platform Nov 4-6 2025'!C:C,1,FALSE),VLOOKUP(F434,'Raw Platform Nov 4-6 2025'!D:D,1,FALSE)),IFNA(VLOOKUP(F434,'Glovo Raw Nov 4-6 2025'!B:B,1,FALSE),"Not Matched"))))))</f>
      </c>
      <c r="H434">
        <f>COUNTIF(F:F,F434)</f>
      </c>
      <c r="I434" t="s">
        <v>7107</v>
      </c>
      <c r="J434" t="s">
        <v>4915</v>
      </c>
      <c r="K434" t="s">
        <v>4927</v>
      </c>
      <c r="L434" t="s">
        <v>7108</v>
      </c>
      <c r="M434" t="s">
        <v>7109</v>
      </c>
      <c r="N434" t="s">
        <v>7110</v>
      </c>
      <c r="O434" t="s">
        <v>53</v>
      </c>
      <c r="P434" t="s">
        <v>4984</v>
      </c>
      <c r="Q434">
        <v>0</v>
      </c>
      <c r="R434" t="s">
        <v>4922</v>
      </c>
      <c r="S434" t="s">
        <v>116</v>
      </c>
      <c r="T434" t="s">
        <v>4923</v>
      </c>
      <c r="U434" t="s">
        <v>4924</v>
      </c>
      <c r="V434" t="s">
        <v>7111</v>
      </c>
      <c r="W434" t="s">
        <v>3667</v>
      </c>
      <c r="X434">
        <v>100</v>
      </c>
    </row>
    <row r="435" spans="1:24" x14ac:dyDescent="0.25">
      <c r="A435" t="s">
        <v>5130</v>
      </c>
      <c r="B435" t="s">
        <v>7067</v>
      </c>
      <c r="C435" t="s">
        <v>7068</v>
      </c>
      <c r="D435" t="s">
        <v>24</v>
      </c>
      <c r="E435" t="s">
        <v>4913</v>
      </c>
      <c r="F435" t="s">
        <v>1502</v>
      </c>
      <c r="G435">
        <f>IF(K435="Pick-up","PICKUPS",IF(K435="Staff drop-off","STAFF_DROPOFF",IF(K435="Replacements","REPLACEMENT",IF(K435="Central Stores Dispatch","CENTRAL STORES DISPATCH",IFNA(IFNA(VLOOKUP(F435,'Raw Platform Nov 4-6 2025'!C:C,1,FALSE),VLOOKUP(F435,'Raw Platform Nov 4-6 2025'!D:D,1,FALSE)),IFNA(VLOOKUP(F435,'Glovo Raw Nov 4-6 2025'!B:B,1,FALSE),"Not Matched"))))))</f>
      </c>
      <c r="H435">
        <f>COUNTIF(F:F,F435)</f>
      </c>
      <c r="I435" t="s">
        <v>7112</v>
      </c>
      <c r="J435" t="s">
        <v>63</v>
      </c>
      <c r="K435" t="s">
        <v>4927</v>
      </c>
      <c r="L435" t="s">
        <v>7113</v>
      </c>
      <c r="M435" t="s">
        <v>7114</v>
      </c>
      <c r="N435" t="s">
        <v>7115</v>
      </c>
      <c r="O435" t="s">
        <v>4962</v>
      </c>
      <c r="P435" t="s">
        <v>5097</v>
      </c>
      <c r="Q435">
        <v>0</v>
      </c>
      <c r="R435" t="s">
        <v>4922</v>
      </c>
      <c r="S435" t="s">
        <v>116</v>
      </c>
      <c r="T435" t="s">
        <v>4923</v>
      </c>
      <c r="U435" t="s">
        <v>4924</v>
      </c>
      <c r="V435" t="s">
        <v>7116</v>
      </c>
      <c r="W435" t="s">
        <v>3667</v>
      </c>
      <c r="X435">
        <v>100</v>
      </c>
    </row>
    <row r="436" spans="1:24" x14ac:dyDescent="0.25">
      <c r="A436" t="s">
        <v>4910</v>
      </c>
      <c r="B436" t="s">
        <v>7067</v>
      </c>
      <c r="C436" t="s">
        <v>7068</v>
      </c>
      <c r="D436" t="s">
        <v>13</v>
      </c>
      <c r="E436" t="s">
        <v>4913</v>
      </c>
      <c r="F436" t="s">
        <v>1695</v>
      </c>
      <c r="G436">
        <f>IF(K436="Pick-up","PICKUPS",IF(K436="Staff drop-off","STAFF_DROPOFF",IF(K436="Replacements","REPLACEMENT",IF(K436="Central Stores Dispatch","CENTRAL STORES DISPATCH",IFNA(IFNA(VLOOKUP(F436,'Raw Platform Nov 4-6 2025'!C:C,1,FALSE),VLOOKUP(F436,'Raw Platform Nov 4-6 2025'!D:D,1,FALSE)),IFNA(VLOOKUP(F436,'Glovo Raw Nov 4-6 2025'!B:B,1,FALSE),"Not Matched"))))))</f>
      </c>
      <c r="H436">
        <f>COUNTIF(F:F,F436)</f>
      </c>
      <c r="I436" t="s">
        <v>7117</v>
      </c>
      <c r="J436" t="s">
        <v>4915</v>
      </c>
      <c r="K436" t="s">
        <v>4927</v>
      </c>
      <c r="L436" t="s">
        <v>7118</v>
      </c>
      <c r="M436" t="s">
        <v>7119</v>
      </c>
      <c r="N436" t="s">
        <v>7120</v>
      </c>
      <c r="O436" t="s">
        <v>4962</v>
      </c>
      <c r="P436" t="s">
        <v>5019</v>
      </c>
      <c r="Q436">
        <v>0</v>
      </c>
      <c r="R436" t="s">
        <v>4922</v>
      </c>
      <c r="S436" t="s">
        <v>12</v>
      </c>
      <c r="T436" t="s">
        <v>4923</v>
      </c>
      <c r="U436" t="s">
        <v>4924</v>
      </c>
      <c r="V436" t="s">
        <v>7121</v>
      </c>
      <c r="W436" t="s">
        <v>3667</v>
      </c>
      <c r="X436">
        <v>100</v>
      </c>
    </row>
    <row r="437" spans="1:24" x14ac:dyDescent="0.25">
      <c r="A437" t="s">
        <v>4932</v>
      </c>
      <c r="B437" t="s">
        <v>7067</v>
      </c>
      <c r="C437" t="s">
        <v>7068</v>
      </c>
      <c r="D437" t="s">
        <v>13</v>
      </c>
      <c r="E437" t="s">
        <v>4913</v>
      </c>
      <c r="F437" t="s">
        <v>1975</v>
      </c>
      <c r="G437">
        <f>IF(K437="Pick-up","PICKUPS",IF(K437="Staff drop-off","STAFF_DROPOFF",IF(K437="Replacements","REPLACEMENT",IF(K437="Central Stores Dispatch","CENTRAL STORES DISPATCH",IFNA(IFNA(VLOOKUP(F437,'Raw Platform Nov 4-6 2025'!C:C,1,FALSE),VLOOKUP(F437,'Raw Platform Nov 4-6 2025'!D:D,1,FALSE)),IFNA(VLOOKUP(F437,'Glovo Raw Nov 4-6 2025'!B:B,1,FALSE),"Not Matched"))))))</f>
      </c>
      <c r="H437">
        <f>COUNTIF(F:F,F437)</f>
      </c>
      <c r="I437" t="s">
        <v>7122</v>
      </c>
      <c r="J437" t="s">
        <v>4915</v>
      </c>
      <c r="K437" t="s">
        <v>4927</v>
      </c>
      <c r="L437" t="s">
        <v>7123</v>
      </c>
      <c r="M437" t="s">
        <v>7124</v>
      </c>
      <c r="N437" t="s">
        <v>7125</v>
      </c>
      <c r="O437" t="s">
        <v>26</v>
      </c>
      <c r="P437" t="s">
        <v>5436</v>
      </c>
      <c r="Q437">
        <v>0</v>
      </c>
      <c r="R437" t="s">
        <v>4922</v>
      </c>
      <c r="S437" t="s">
        <v>29</v>
      </c>
      <c r="T437" t="s">
        <v>4923</v>
      </c>
      <c r="U437" t="s">
        <v>4924</v>
      </c>
      <c r="V437" t="s">
        <v>7126</v>
      </c>
      <c r="W437" t="s">
        <v>3667</v>
      </c>
      <c r="X437">
        <v>164.4</v>
      </c>
    </row>
    <row r="438" spans="1:24" x14ac:dyDescent="0.25">
      <c r="A438" t="s">
        <v>4910</v>
      </c>
      <c r="B438" t="s">
        <v>7067</v>
      </c>
      <c r="C438" t="s">
        <v>7068</v>
      </c>
      <c r="D438" t="s">
        <v>13</v>
      </c>
      <c r="E438" t="s">
        <v>4913</v>
      </c>
      <c r="F438" t="s">
        <v>2349</v>
      </c>
      <c r="G438">
        <f>IF(K438="Pick-up","PICKUPS",IF(K438="Staff drop-off","STAFF_DROPOFF",IF(K438="Replacements","REPLACEMENT",IF(K438="Central Stores Dispatch","CENTRAL STORES DISPATCH",IFNA(IFNA(VLOOKUP(F438,'Raw Platform Nov 4-6 2025'!C:C,1,FALSE),VLOOKUP(F438,'Raw Platform Nov 4-6 2025'!D:D,1,FALSE)),IFNA(VLOOKUP(F438,'Glovo Raw Nov 4-6 2025'!B:B,1,FALSE),"Not Matched"))))))</f>
      </c>
      <c r="H438">
        <f>COUNTIF(F:F,F438)</f>
      </c>
      <c r="I438" t="s">
        <v>7127</v>
      </c>
      <c r="J438" t="s">
        <v>4915</v>
      </c>
      <c r="K438" t="s">
        <v>4927</v>
      </c>
      <c r="L438" t="s">
        <v>7128</v>
      </c>
      <c r="M438" t="s">
        <v>5642</v>
      </c>
      <c r="N438" t="s">
        <v>7129</v>
      </c>
      <c r="O438" t="s">
        <v>123</v>
      </c>
      <c r="P438" t="s">
        <v>4974</v>
      </c>
      <c r="Q438">
        <v>0</v>
      </c>
      <c r="R438" t="s">
        <v>4922</v>
      </c>
      <c r="S438" t="s">
        <v>12</v>
      </c>
      <c r="T438" t="s">
        <v>4923</v>
      </c>
      <c r="U438" t="s">
        <v>4924</v>
      </c>
      <c r="V438" t="s">
        <v>7130</v>
      </c>
      <c r="W438" t="s">
        <v>3667</v>
      </c>
      <c r="X438">
        <v>178.2</v>
      </c>
    </row>
    <row r="439" spans="1:24" x14ac:dyDescent="0.25">
      <c r="A439" t="s">
        <v>4910</v>
      </c>
      <c r="B439" t="s">
        <v>7067</v>
      </c>
      <c r="C439" t="s">
        <v>7068</v>
      </c>
      <c r="D439" t="s">
        <v>13</v>
      </c>
      <c r="E439" t="s">
        <v>4913</v>
      </c>
      <c r="F439" t="s">
        <v>1544</v>
      </c>
      <c r="G439">
        <f>IF(K439="Pick-up","PICKUPS",IF(K439="Staff drop-off","STAFF_DROPOFF",IF(K439="Replacements","REPLACEMENT",IF(K439="Central Stores Dispatch","CENTRAL STORES DISPATCH",IFNA(IFNA(VLOOKUP(F439,'Raw Platform Nov 4-6 2025'!C:C,1,FALSE),VLOOKUP(F439,'Raw Platform Nov 4-6 2025'!D:D,1,FALSE)),IFNA(VLOOKUP(F439,'Glovo Raw Nov 4-6 2025'!B:B,1,FALSE),"Not Matched"))))))</f>
      </c>
      <c r="H439">
        <f>COUNTIF(F:F,F439)</f>
      </c>
      <c r="I439" t="s">
        <v>7131</v>
      </c>
      <c r="J439" t="s">
        <v>63</v>
      </c>
      <c r="K439" t="s">
        <v>4927</v>
      </c>
      <c r="L439" t="s">
        <v>7132</v>
      </c>
      <c r="M439" t="s">
        <v>7133</v>
      </c>
      <c r="N439" t="s">
        <v>7134</v>
      </c>
      <c r="O439" t="s">
        <v>53</v>
      </c>
      <c r="P439" t="s">
        <v>5032</v>
      </c>
      <c r="Q439">
        <v>0</v>
      </c>
      <c r="R439" t="s">
        <v>4922</v>
      </c>
      <c r="S439" t="s">
        <v>12</v>
      </c>
      <c r="T439" t="s">
        <v>4923</v>
      </c>
      <c r="U439" t="s">
        <v>4924</v>
      </c>
      <c r="V439" t="s">
        <v>7135</v>
      </c>
      <c r="W439" t="s">
        <v>3667</v>
      </c>
      <c r="X439">
        <v>159.8</v>
      </c>
    </row>
    <row r="440" spans="1:24" x14ac:dyDescent="0.25">
      <c r="A440" t="s">
        <v>4910</v>
      </c>
      <c r="B440" t="s">
        <v>7067</v>
      </c>
      <c r="C440" t="s">
        <v>7068</v>
      </c>
      <c r="D440" t="s">
        <v>13</v>
      </c>
      <c r="E440" t="s">
        <v>4913</v>
      </c>
      <c r="F440" t="s">
        <v>2118</v>
      </c>
      <c r="G440">
        <f>IF(K440="Pick-up","PICKUPS",IF(K440="Staff drop-off","STAFF_DROPOFF",IF(K440="Replacements","REPLACEMENT",IF(K440="Central Stores Dispatch","CENTRAL STORES DISPATCH",IFNA(IFNA(VLOOKUP(F440,'Raw Platform Nov 4-6 2025'!C:C,1,FALSE),VLOOKUP(F440,'Raw Platform Nov 4-6 2025'!D:D,1,FALSE)),IFNA(VLOOKUP(F440,'Glovo Raw Nov 4-6 2025'!B:B,1,FALSE),"Not Matched"))))))</f>
      </c>
      <c r="H440">
        <f>COUNTIF(F:F,F440)</f>
      </c>
      <c r="I440" t="s">
        <v>7136</v>
      </c>
      <c r="J440" t="s">
        <v>4915</v>
      </c>
      <c r="K440" t="s">
        <v>4927</v>
      </c>
      <c r="L440" t="s">
        <v>7137</v>
      </c>
      <c r="M440" t="s">
        <v>7138</v>
      </c>
      <c r="N440" t="s">
        <v>7139</v>
      </c>
      <c r="O440" t="s">
        <v>4990</v>
      </c>
      <c r="P440" t="s">
        <v>5013</v>
      </c>
      <c r="Q440">
        <v>0</v>
      </c>
      <c r="R440" t="s">
        <v>4922</v>
      </c>
      <c r="S440" t="s">
        <v>12</v>
      </c>
      <c r="T440" t="s">
        <v>4923</v>
      </c>
      <c r="U440" t="s">
        <v>4924</v>
      </c>
      <c r="V440" t="s">
        <v>7140</v>
      </c>
      <c r="W440" t="s">
        <v>3667</v>
      </c>
      <c r="X440">
        <v>100</v>
      </c>
    </row>
    <row r="441" spans="1:24" x14ac:dyDescent="0.25">
      <c r="A441" t="s">
        <v>4910</v>
      </c>
      <c r="B441" t="s">
        <v>7067</v>
      </c>
      <c r="C441" t="s">
        <v>7068</v>
      </c>
      <c r="D441" t="s">
        <v>13</v>
      </c>
      <c r="E441" t="s">
        <v>4913</v>
      </c>
      <c r="F441" t="s">
        <v>2037</v>
      </c>
      <c r="G441">
        <f>IF(K441="Pick-up","PICKUPS",IF(K441="Staff drop-off","STAFF_DROPOFF",IF(K441="Replacements","REPLACEMENT",IF(K441="Central Stores Dispatch","CENTRAL STORES DISPATCH",IFNA(IFNA(VLOOKUP(F441,'Raw Platform Nov 4-6 2025'!C:C,1,FALSE),VLOOKUP(F441,'Raw Platform Nov 4-6 2025'!D:D,1,FALSE)),IFNA(VLOOKUP(F441,'Glovo Raw Nov 4-6 2025'!B:B,1,FALSE),"Not Matched"))))))</f>
      </c>
      <c r="H441">
        <f>COUNTIF(F:F,F441)</f>
      </c>
      <c r="I441" t="s">
        <v>7141</v>
      </c>
      <c r="J441" t="s">
        <v>63</v>
      </c>
      <c r="K441" t="s">
        <v>4927</v>
      </c>
      <c r="L441" t="s">
        <v>7142</v>
      </c>
      <c r="M441" t="s">
        <v>7143</v>
      </c>
      <c r="N441" t="s">
        <v>7144</v>
      </c>
      <c r="O441" t="s">
        <v>2009</v>
      </c>
      <c r="P441" t="s">
        <v>5541</v>
      </c>
      <c r="Q441">
        <v>0</v>
      </c>
      <c r="R441" t="s">
        <v>4922</v>
      </c>
      <c r="S441" t="s">
        <v>12</v>
      </c>
      <c r="T441" t="s">
        <v>4923</v>
      </c>
      <c r="U441" t="s">
        <v>4924</v>
      </c>
      <c r="V441" t="s">
        <v>7145</v>
      </c>
      <c r="W441" t="s">
        <v>3667</v>
      </c>
      <c r="X441">
        <v>100</v>
      </c>
    </row>
    <row r="442" spans="1:24" x14ac:dyDescent="0.25">
      <c r="A442" t="s">
        <v>5130</v>
      </c>
      <c r="B442" t="s">
        <v>7067</v>
      </c>
      <c r="C442" t="s">
        <v>7068</v>
      </c>
      <c r="D442" t="s">
        <v>24</v>
      </c>
      <c r="E442" t="s">
        <v>4913</v>
      </c>
      <c r="F442" t="s">
        <v>1782</v>
      </c>
      <c r="G442">
        <f>IF(K442="Pick-up","PICKUPS",IF(K442="Staff drop-off","STAFF_DROPOFF",IF(K442="Replacements","REPLACEMENT",IF(K442="Central Stores Dispatch","CENTRAL STORES DISPATCH",IFNA(IFNA(VLOOKUP(F442,'Raw Platform Nov 4-6 2025'!C:C,1,FALSE),VLOOKUP(F442,'Raw Platform Nov 4-6 2025'!D:D,1,FALSE)),IFNA(VLOOKUP(F442,'Glovo Raw Nov 4-6 2025'!B:B,1,FALSE),"Not Matched"))))))</f>
      </c>
      <c r="H442">
        <f>COUNTIF(F:F,F442)</f>
      </c>
      <c r="I442" t="s">
        <v>7146</v>
      </c>
      <c r="J442" t="s">
        <v>63</v>
      </c>
      <c r="K442" t="s">
        <v>4927</v>
      </c>
      <c r="L442" t="s">
        <v>7147</v>
      </c>
      <c r="M442" t="s">
        <v>7148</v>
      </c>
      <c r="N442" t="s">
        <v>7149</v>
      </c>
      <c r="O442" t="s">
        <v>2009</v>
      </c>
      <c r="P442" t="s">
        <v>5588</v>
      </c>
      <c r="Q442">
        <v>0</v>
      </c>
      <c r="R442" t="s">
        <v>4922</v>
      </c>
      <c r="S442" t="s">
        <v>5136</v>
      </c>
      <c r="T442" t="s">
        <v>4923</v>
      </c>
      <c r="U442" t="s">
        <v>4924</v>
      </c>
      <c r="V442" t="s">
        <v>7150</v>
      </c>
      <c r="W442" t="s">
        <v>3667</v>
      </c>
      <c r="X442">
        <v>109.2</v>
      </c>
    </row>
    <row r="443" spans="1:24" x14ac:dyDescent="0.25">
      <c r="A443" t="s">
        <v>5130</v>
      </c>
      <c r="B443" t="s">
        <v>7067</v>
      </c>
      <c r="C443" t="s">
        <v>7068</v>
      </c>
      <c r="D443" t="s">
        <v>24</v>
      </c>
      <c r="E443" t="s">
        <v>4913</v>
      </c>
      <c r="F443" t="s">
        <v>7151</v>
      </c>
      <c r="G443">
        <f>IF(K443="Pick-up","PICKUPS",IF(K443="Staff drop-off","STAFF_DROPOFF",IF(K443="Replacements","REPLACEMENT",IF(K443="Central Stores Dispatch","CENTRAL STORES DISPATCH",IFNA(IFNA(VLOOKUP(F443,'Raw Platform Nov 4-6 2025'!C:C,1,FALSE),VLOOKUP(F443,'Raw Platform Nov 4-6 2025'!D:D,1,FALSE)),IFNA(VLOOKUP(F443,'Glovo Raw Nov 4-6 2025'!B:B,1,FALSE),"Not Matched"))))))</f>
      </c>
      <c r="H443">
        <f>COUNTIF(F:F,F443)</f>
      </c>
      <c r="I443" t="s">
        <v>7152</v>
      </c>
      <c r="J443" t="s">
        <v>5289</v>
      </c>
      <c r="K443" t="s">
        <v>4927</v>
      </c>
      <c r="L443" t="s">
        <v>7153</v>
      </c>
      <c r="M443" t="s">
        <v>5217</v>
      </c>
      <c r="N443" t="s">
        <v>7154</v>
      </c>
      <c r="O443" t="s">
        <v>4920</v>
      </c>
      <c r="P443" t="s">
        <v>5430</v>
      </c>
      <c r="Q443">
        <v>0</v>
      </c>
      <c r="R443" t="s">
        <v>4922</v>
      </c>
      <c r="S443" t="s">
        <v>5293</v>
      </c>
      <c r="T443" t="s">
        <v>4923</v>
      </c>
      <c r="U443" t="s">
        <v>4924</v>
      </c>
      <c r="V443" t="s">
        <v>7155</v>
      </c>
      <c r="W443" t="s">
        <v>3667</v>
      </c>
      <c r="X443">
        <v>100</v>
      </c>
    </row>
    <row r="444" spans="1:24" x14ac:dyDescent="0.25">
      <c r="A444" t="s">
        <v>4932</v>
      </c>
      <c r="B444" t="s">
        <v>7067</v>
      </c>
      <c r="C444" t="s">
        <v>7068</v>
      </c>
      <c r="D444" t="s">
        <v>13</v>
      </c>
      <c r="E444" t="s">
        <v>5034</v>
      </c>
      <c r="F444" t="s">
        <v>1695</v>
      </c>
      <c r="G444">
        <f>IF(K444="Pick-up","PICKUPS",IF(K444="Staff drop-off","STAFF_DROPOFF",IF(K444="Replacements","REPLACEMENT",IF(K444="Central Stores Dispatch","CENTRAL STORES DISPATCH",IFNA(IFNA(VLOOKUP(F444,'Raw Platform Nov 4-6 2025'!C:C,1,FALSE),VLOOKUP(F444,'Raw Platform Nov 4-6 2025'!D:D,1,FALSE)),IFNA(VLOOKUP(F444,'Glovo Raw Nov 4-6 2025'!B:B,1,FALSE),"Not Matched"))))))</f>
      </c>
      <c r="H444">
        <f>COUNTIF(F:F,F444)</f>
      </c>
      <c r="I444" t="s">
        <v>7156</v>
      </c>
      <c r="J444" t="s">
        <v>4915</v>
      </c>
      <c r="K444" t="s">
        <v>4916</v>
      </c>
      <c r="L444" t="s">
        <v>7118</v>
      </c>
      <c r="M444" t="s">
        <v>7119</v>
      </c>
      <c r="N444" t="s">
        <v>7120</v>
      </c>
      <c r="O444" t="s">
        <v>4962</v>
      </c>
      <c r="P444" t="s">
        <v>5019</v>
      </c>
      <c r="Q444">
        <v>3440</v>
      </c>
      <c r="R444" t="s">
        <v>4922</v>
      </c>
      <c r="S444" t="s">
        <v>29</v>
      </c>
      <c r="T444" t="s">
        <v>4923</v>
      </c>
      <c r="U444" t="s">
        <v>4923</v>
      </c>
      <c r="V444" t="s">
        <v>7157</v>
      </c>
      <c r="W444" t="s">
        <v>3667</v>
      </c>
      <c r="X444">
        <v>0</v>
      </c>
    </row>
    <row r="445" spans="1:24" x14ac:dyDescent="0.25">
      <c r="A445" t="s">
        <v>5176</v>
      </c>
      <c r="B445" t="s">
        <v>7158</v>
      </c>
      <c r="C445" t="s">
        <v>7159</v>
      </c>
      <c r="D445" t="s">
        <v>30</v>
      </c>
      <c r="E445" t="s">
        <v>4913</v>
      </c>
      <c r="F445" t="s">
        <v>474</v>
      </c>
      <c r="G445">
        <f>IF(K445="Pick-up","PICKUPS",IF(K445="Staff drop-off","STAFF_DROPOFF",IF(K445="Replacements","REPLACEMENT",IF(K445="Central Stores Dispatch","CENTRAL STORES DISPATCH",IFNA(IFNA(VLOOKUP(F445,'Raw Platform Nov 4-6 2025'!C:C,1,FALSE),VLOOKUP(F445,'Raw Platform Nov 4-6 2025'!D:D,1,FALSE)),IFNA(VLOOKUP(F445,'Glovo Raw Nov 4-6 2025'!B:B,1,FALSE),"Not Matched"))))))</f>
      </c>
      <c r="H445">
        <f>COUNTIF(F:F,F445)</f>
      </c>
      <c r="I445" t="s">
        <v>7160</v>
      </c>
      <c r="J445" t="s">
        <v>4915</v>
      </c>
      <c r="K445" t="s">
        <v>4927</v>
      </c>
      <c r="L445" t="s">
        <v>7161</v>
      </c>
      <c r="M445" t="s">
        <v>7162</v>
      </c>
      <c r="N445" t="s">
        <v>6563</v>
      </c>
      <c r="O445" t="s">
        <v>113</v>
      </c>
      <c r="P445" t="s">
        <v>5328</v>
      </c>
      <c r="Q445">
        <v>0</v>
      </c>
      <c r="R445" t="s">
        <v>5118</v>
      </c>
      <c r="S445" t="s">
        <v>29</v>
      </c>
      <c r="T445" t="s">
        <v>4923</v>
      </c>
      <c r="U445" t="s">
        <v>4924</v>
      </c>
      <c r="V445" t="s">
        <v>7163</v>
      </c>
      <c r="W445" t="s">
        <v>3667</v>
      </c>
      <c r="X445">
        <v>205.8</v>
      </c>
    </row>
    <row r="446" spans="1:24" x14ac:dyDescent="0.25">
      <c r="A446" t="s">
        <v>5176</v>
      </c>
      <c r="B446" t="s">
        <v>7158</v>
      </c>
      <c r="C446" t="s">
        <v>7159</v>
      </c>
      <c r="D446" t="s">
        <v>30</v>
      </c>
      <c r="E446" t="s">
        <v>4913</v>
      </c>
      <c r="F446" t="s">
        <v>43</v>
      </c>
      <c r="G446">
        <f>IF(K446="Pick-up","PICKUPS",IF(K446="Staff drop-off","STAFF_DROPOFF",IF(K446="Replacements","REPLACEMENT",IF(K446="Central Stores Dispatch","CENTRAL STORES DISPATCH",IFNA(IFNA(VLOOKUP(F446,'Raw Platform Nov 4-6 2025'!C:C,1,FALSE),VLOOKUP(F446,'Raw Platform Nov 4-6 2025'!D:D,1,FALSE)),IFNA(VLOOKUP(F446,'Glovo Raw Nov 4-6 2025'!B:B,1,FALSE),"Not Matched"))))))</f>
      </c>
      <c r="H446">
        <f>COUNTIF(F:F,F446)</f>
      </c>
      <c r="I446" t="s">
        <v>7164</v>
      </c>
      <c r="J446" t="s">
        <v>4915</v>
      </c>
      <c r="K446" t="s">
        <v>4916</v>
      </c>
      <c r="L446" t="s">
        <v>7165</v>
      </c>
      <c r="M446" t="s">
        <v>7166</v>
      </c>
      <c r="N446" t="s">
        <v>7167</v>
      </c>
      <c r="O446" t="s">
        <v>4962</v>
      </c>
      <c r="P446" t="s">
        <v>4963</v>
      </c>
      <c r="Q446">
        <v>2080</v>
      </c>
      <c r="R446" t="s">
        <v>5118</v>
      </c>
      <c r="S446" t="s">
        <v>45</v>
      </c>
      <c r="T446" t="s">
        <v>4923</v>
      </c>
      <c r="U446" t="s">
        <v>4924</v>
      </c>
      <c r="V446" t="s">
        <v>7168</v>
      </c>
      <c r="W446" t="s">
        <v>3667</v>
      </c>
      <c r="X446">
        <v>100</v>
      </c>
    </row>
    <row r="447" spans="1:24" x14ac:dyDescent="0.25">
      <c r="A447" t="s">
        <v>5176</v>
      </c>
      <c r="B447" t="s">
        <v>7158</v>
      </c>
      <c r="C447" t="s">
        <v>7159</v>
      </c>
      <c r="D447" t="s">
        <v>30</v>
      </c>
      <c r="E447" t="s">
        <v>4913</v>
      </c>
      <c r="F447" t="s">
        <v>209</v>
      </c>
      <c r="G447">
        <f>IF(K447="Pick-up","PICKUPS",IF(K447="Staff drop-off","STAFF_DROPOFF",IF(K447="Replacements","REPLACEMENT",IF(K447="Central Stores Dispatch","CENTRAL STORES DISPATCH",IFNA(IFNA(VLOOKUP(F447,'Raw Platform Nov 4-6 2025'!C:C,1,FALSE),VLOOKUP(F447,'Raw Platform Nov 4-6 2025'!D:D,1,FALSE)),IFNA(VLOOKUP(F447,'Glovo Raw Nov 4-6 2025'!B:B,1,FALSE),"Not Matched"))))))</f>
      </c>
      <c r="H447">
        <f>COUNTIF(F:F,F447)</f>
      </c>
      <c r="I447" t="s">
        <v>7169</v>
      </c>
      <c r="J447" t="s">
        <v>4915</v>
      </c>
      <c r="K447" t="s">
        <v>4927</v>
      </c>
      <c r="L447" t="s">
        <v>7170</v>
      </c>
      <c r="M447" t="s">
        <v>7171</v>
      </c>
      <c r="N447" t="s">
        <v>6591</v>
      </c>
      <c r="O447" t="s">
        <v>26</v>
      </c>
      <c r="P447" t="s">
        <v>6592</v>
      </c>
      <c r="Q447">
        <v>0</v>
      </c>
      <c r="R447" t="s">
        <v>5118</v>
      </c>
      <c r="S447" t="s">
        <v>12</v>
      </c>
      <c r="T447" t="s">
        <v>4923</v>
      </c>
      <c r="U447" t="s">
        <v>4924</v>
      </c>
      <c r="V447" t="s">
        <v>7172</v>
      </c>
      <c r="W447" t="s">
        <v>3667</v>
      </c>
      <c r="X447">
        <v>155.2</v>
      </c>
    </row>
    <row r="448" spans="1:24" x14ac:dyDescent="0.25">
      <c r="A448" t="s">
        <v>5176</v>
      </c>
      <c r="B448" t="s">
        <v>7158</v>
      </c>
      <c r="C448" t="s">
        <v>7159</v>
      </c>
      <c r="D448" t="s">
        <v>30</v>
      </c>
      <c r="E448" t="s">
        <v>4913</v>
      </c>
      <c r="F448" t="s">
        <v>7173</v>
      </c>
      <c r="G448">
        <f>IF(K448="Pick-up","PICKUPS",IF(K448="Staff drop-off","STAFF_DROPOFF",IF(K448="Replacements","REPLACEMENT",IF(K448="Central Stores Dispatch","CENTRAL STORES DISPATCH",IFNA(IFNA(VLOOKUP(F448,'Raw Platform Nov 4-6 2025'!C:C,1,FALSE),VLOOKUP(F448,'Raw Platform Nov 4-6 2025'!D:D,1,FALSE)),IFNA(VLOOKUP(F448,'Glovo Raw Nov 4-6 2025'!B:B,1,FALSE),"Not Matched"))))))</f>
      </c>
      <c r="H448">
        <f>COUNTIF(F:F,F448)</f>
      </c>
      <c r="I448" t="s">
        <v>7174</v>
      </c>
      <c r="J448" t="s">
        <v>4915</v>
      </c>
      <c r="K448" t="s">
        <v>4916</v>
      </c>
      <c r="L448" t="s">
        <v>7175</v>
      </c>
      <c r="M448" t="s">
        <v>7176</v>
      </c>
      <c r="N448" t="s">
        <v>7177</v>
      </c>
      <c r="O448" t="s">
        <v>4949</v>
      </c>
      <c r="P448" t="s">
        <v>6214</v>
      </c>
      <c r="Q448">
        <v>1016</v>
      </c>
      <c r="R448" t="s">
        <v>5118</v>
      </c>
      <c r="S448" t="s">
        <v>116</v>
      </c>
      <c r="T448" t="s">
        <v>4923</v>
      </c>
      <c r="U448" t="s">
        <v>4924</v>
      </c>
      <c r="V448" t="s">
        <v>7178</v>
      </c>
      <c r="W448" t="s">
        <v>3667</v>
      </c>
      <c r="X448">
        <v>100</v>
      </c>
    </row>
    <row r="449" spans="1:24" x14ac:dyDescent="0.25">
      <c r="A449" t="s">
        <v>5176</v>
      </c>
      <c r="B449" t="s">
        <v>7158</v>
      </c>
      <c r="C449" t="s">
        <v>7159</v>
      </c>
      <c r="D449" t="s">
        <v>30</v>
      </c>
      <c r="E449" t="s">
        <v>4913</v>
      </c>
      <c r="F449" t="s">
        <v>612</v>
      </c>
      <c r="G449">
        <f>IF(K449="Pick-up","PICKUPS",IF(K449="Staff drop-off","STAFF_DROPOFF",IF(K449="Replacements","REPLACEMENT",IF(K449="Central Stores Dispatch","CENTRAL STORES DISPATCH",IFNA(IFNA(VLOOKUP(F449,'Raw Platform Nov 4-6 2025'!C:C,1,FALSE),VLOOKUP(F449,'Raw Platform Nov 4-6 2025'!D:D,1,FALSE)),IFNA(VLOOKUP(F449,'Glovo Raw Nov 4-6 2025'!B:B,1,FALSE),"Not Matched"))))))</f>
      </c>
      <c r="H449">
        <f>COUNTIF(F:F,F449)</f>
      </c>
      <c r="I449" t="s">
        <v>7179</v>
      </c>
      <c r="J449" t="s">
        <v>4915</v>
      </c>
      <c r="K449" t="s">
        <v>4916</v>
      </c>
      <c r="L449" t="s">
        <v>7180</v>
      </c>
      <c r="M449" t="s">
        <v>7181</v>
      </c>
      <c r="N449" t="s">
        <v>5201</v>
      </c>
      <c r="O449" t="s">
        <v>123</v>
      </c>
      <c r="P449" t="s">
        <v>4996</v>
      </c>
      <c r="Q449">
        <v>862</v>
      </c>
      <c r="R449" t="s">
        <v>5118</v>
      </c>
      <c r="S449" t="s">
        <v>172</v>
      </c>
      <c r="T449" t="s">
        <v>4923</v>
      </c>
      <c r="U449" t="s">
        <v>4924</v>
      </c>
      <c r="V449" t="s">
        <v>7182</v>
      </c>
      <c r="W449" t="s">
        <v>3667</v>
      </c>
      <c r="X449">
        <v>129.9</v>
      </c>
    </row>
    <row r="450" spans="1:24" x14ac:dyDescent="0.25">
      <c r="A450" t="s">
        <v>5176</v>
      </c>
      <c r="B450" t="s">
        <v>7158</v>
      </c>
      <c r="C450" t="s">
        <v>7159</v>
      </c>
      <c r="D450" t="s">
        <v>30</v>
      </c>
      <c r="E450" t="s">
        <v>4913</v>
      </c>
      <c r="F450" t="s">
        <v>988</v>
      </c>
      <c r="G450">
        <f>IF(K450="Pick-up","PICKUPS",IF(K450="Staff drop-off","STAFF_DROPOFF",IF(K450="Replacements","REPLACEMENT",IF(K450="Central Stores Dispatch","CENTRAL STORES DISPATCH",IFNA(IFNA(VLOOKUP(F450,'Raw Platform Nov 4-6 2025'!C:C,1,FALSE),VLOOKUP(F450,'Raw Platform Nov 4-6 2025'!D:D,1,FALSE)),IFNA(VLOOKUP(F450,'Glovo Raw Nov 4-6 2025'!B:B,1,FALSE),"Not Matched"))))))</f>
      </c>
      <c r="H450">
        <f>COUNTIF(F:F,F450)</f>
      </c>
      <c r="I450" t="s">
        <v>7183</v>
      </c>
      <c r="J450" t="s">
        <v>63</v>
      </c>
      <c r="K450" t="s">
        <v>4916</v>
      </c>
      <c r="L450" t="s">
        <v>7184</v>
      </c>
      <c r="M450" t="s">
        <v>7185</v>
      </c>
      <c r="N450" t="s">
        <v>7186</v>
      </c>
      <c r="O450" t="s">
        <v>113</v>
      </c>
      <c r="P450" t="s">
        <v>5914</v>
      </c>
      <c r="Q450">
        <v>1448</v>
      </c>
      <c r="R450" t="s">
        <v>5118</v>
      </c>
      <c r="S450" t="s">
        <v>116</v>
      </c>
      <c r="T450" t="s">
        <v>4923</v>
      </c>
      <c r="U450" t="s">
        <v>4924</v>
      </c>
      <c r="V450" t="s">
        <v>7187</v>
      </c>
      <c r="W450" t="s">
        <v>3667</v>
      </c>
      <c r="X450">
        <v>192</v>
      </c>
    </row>
    <row r="451" spans="1:24" x14ac:dyDescent="0.25">
      <c r="A451" t="s">
        <v>5176</v>
      </c>
      <c r="B451" t="s">
        <v>7158</v>
      </c>
      <c r="C451" t="s">
        <v>7159</v>
      </c>
      <c r="D451" t="s">
        <v>30</v>
      </c>
      <c r="E451" t="s">
        <v>4913</v>
      </c>
      <c r="F451" t="s">
        <v>653</v>
      </c>
      <c r="G451">
        <f>IF(K451="Pick-up","PICKUPS",IF(K451="Staff drop-off","STAFF_DROPOFF",IF(K451="Replacements","REPLACEMENT",IF(K451="Central Stores Dispatch","CENTRAL STORES DISPATCH",IFNA(IFNA(VLOOKUP(F451,'Raw Platform Nov 4-6 2025'!C:C,1,FALSE),VLOOKUP(F451,'Raw Platform Nov 4-6 2025'!D:D,1,FALSE)),IFNA(VLOOKUP(F451,'Glovo Raw Nov 4-6 2025'!B:B,1,FALSE),"Not Matched"))))))</f>
      </c>
      <c r="H451">
        <f>COUNTIF(F:F,F451)</f>
      </c>
      <c r="I451" t="s">
        <v>7188</v>
      </c>
      <c r="J451" t="s">
        <v>63</v>
      </c>
      <c r="K451" t="s">
        <v>4927</v>
      </c>
      <c r="L451" t="s">
        <v>7189</v>
      </c>
      <c r="M451" t="s">
        <v>7190</v>
      </c>
      <c r="N451" t="s">
        <v>6539</v>
      </c>
      <c r="O451" t="s">
        <v>6540</v>
      </c>
      <c r="P451" t="s">
        <v>5678</v>
      </c>
      <c r="Q451">
        <v>0</v>
      </c>
      <c r="R451" t="s">
        <v>5118</v>
      </c>
      <c r="S451" t="s">
        <v>45</v>
      </c>
      <c r="T451" t="s">
        <v>4923</v>
      </c>
      <c r="U451" t="s">
        <v>4924</v>
      </c>
      <c r="V451" t="s">
        <v>7191</v>
      </c>
      <c r="W451" t="s">
        <v>3667</v>
      </c>
      <c r="X451">
        <v>732.5</v>
      </c>
    </row>
    <row r="452" spans="1:24" x14ac:dyDescent="0.25">
      <c r="A452" t="s">
        <v>5176</v>
      </c>
      <c r="B452" t="s">
        <v>7158</v>
      </c>
      <c r="C452" t="s">
        <v>7159</v>
      </c>
      <c r="D452" t="s">
        <v>30</v>
      </c>
      <c r="E452" t="s">
        <v>4913</v>
      </c>
      <c r="F452" t="s">
        <v>2114</v>
      </c>
      <c r="G452">
        <f>IF(K452="Pick-up","PICKUPS",IF(K452="Staff drop-off","STAFF_DROPOFF",IF(K452="Replacements","REPLACEMENT",IF(K452="Central Stores Dispatch","CENTRAL STORES DISPATCH",IFNA(IFNA(VLOOKUP(F452,'Raw Platform Nov 4-6 2025'!C:C,1,FALSE),VLOOKUP(F452,'Raw Platform Nov 4-6 2025'!D:D,1,FALSE)),IFNA(VLOOKUP(F452,'Glovo Raw Nov 4-6 2025'!B:B,1,FALSE),"Not Matched"))))))</f>
      </c>
      <c r="H452">
        <f>COUNTIF(F:F,F452)</f>
      </c>
      <c r="I452" t="s">
        <v>7192</v>
      </c>
      <c r="J452" t="s">
        <v>4915</v>
      </c>
      <c r="K452" t="s">
        <v>4927</v>
      </c>
      <c r="L452" t="s">
        <v>7193</v>
      </c>
      <c r="M452" t="s">
        <v>7194</v>
      </c>
      <c r="N452" t="s">
        <v>6014</v>
      </c>
      <c r="O452" t="s">
        <v>53</v>
      </c>
      <c r="P452" t="s">
        <v>5541</v>
      </c>
      <c r="Q452">
        <v>0</v>
      </c>
      <c r="R452" t="s">
        <v>5118</v>
      </c>
      <c r="S452" t="s">
        <v>12</v>
      </c>
      <c r="T452" t="s">
        <v>4923</v>
      </c>
      <c r="U452" t="s">
        <v>4924</v>
      </c>
      <c r="V452" t="s">
        <v>7195</v>
      </c>
      <c r="W452" t="s">
        <v>3667</v>
      </c>
      <c r="X452">
        <v>100</v>
      </c>
    </row>
    <row r="453" spans="1:24" x14ac:dyDescent="0.25">
      <c r="A453" t="s">
        <v>5176</v>
      </c>
      <c r="B453" t="s">
        <v>7158</v>
      </c>
      <c r="C453" t="s">
        <v>7159</v>
      </c>
      <c r="D453" t="s">
        <v>30</v>
      </c>
      <c r="E453" t="s">
        <v>4913</v>
      </c>
      <c r="F453" t="s">
        <v>1567</v>
      </c>
      <c r="G453">
        <f>IF(K453="Pick-up","PICKUPS",IF(K453="Staff drop-off","STAFF_DROPOFF",IF(K453="Replacements","REPLACEMENT",IF(K453="Central Stores Dispatch","CENTRAL STORES DISPATCH",IFNA(IFNA(VLOOKUP(F453,'Raw Platform Nov 4-6 2025'!C:C,1,FALSE),VLOOKUP(F453,'Raw Platform Nov 4-6 2025'!D:D,1,FALSE)),IFNA(VLOOKUP(F453,'Glovo Raw Nov 4-6 2025'!B:B,1,FALSE),"Not Matched"))))))</f>
      </c>
      <c r="H453">
        <f>COUNTIF(F:F,F453)</f>
      </c>
      <c r="I453" t="s">
        <v>7196</v>
      </c>
      <c r="J453" t="s">
        <v>4915</v>
      </c>
      <c r="K453" t="s">
        <v>4916</v>
      </c>
      <c r="L453" t="s">
        <v>7197</v>
      </c>
      <c r="M453" t="s">
        <v>7198</v>
      </c>
      <c r="N453" t="s">
        <v>7199</v>
      </c>
      <c r="O453" t="s">
        <v>113</v>
      </c>
      <c r="P453" t="s">
        <v>4974</v>
      </c>
      <c r="Q453">
        <v>1155</v>
      </c>
      <c r="R453" t="s">
        <v>5118</v>
      </c>
      <c r="S453" t="s">
        <v>5437</v>
      </c>
      <c r="T453" t="s">
        <v>4923</v>
      </c>
      <c r="U453" t="s">
        <v>4924</v>
      </c>
      <c r="V453" t="s">
        <v>7200</v>
      </c>
      <c r="W453" t="s">
        <v>3667</v>
      </c>
      <c r="X453">
        <v>178.2</v>
      </c>
    </row>
    <row r="454" spans="1:24" x14ac:dyDescent="0.25">
      <c r="A454" t="s">
        <v>5176</v>
      </c>
      <c r="B454" t="s">
        <v>7158</v>
      </c>
      <c r="C454" t="s">
        <v>7159</v>
      </c>
      <c r="D454" t="s">
        <v>30</v>
      </c>
      <c r="E454" t="s">
        <v>4913</v>
      </c>
      <c r="F454" t="s">
        <v>1555</v>
      </c>
      <c r="G454">
        <f>IF(K454="Pick-up","PICKUPS",IF(K454="Staff drop-off","STAFF_DROPOFF",IF(K454="Replacements","REPLACEMENT",IF(K454="Central Stores Dispatch","CENTRAL STORES DISPATCH",IFNA(IFNA(VLOOKUP(F454,'Raw Platform Nov 4-6 2025'!C:C,1,FALSE),VLOOKUP(F454,'Raw Platform Nov 4-6 2025'!D:D,1,FALSE)),IFNA(VLOOKUP(F454,'Glovo Raw Nov 4-6 2025'!B:B,1,FALSE),"Not Matched"))))))</f>
      </c>
      <c r="H454">
        <f>COUNTIF(F:F,F454)</f>
      </c>
      <c r="I454" t="s">
        <v>7201</v>
      </c>
      <c r="J454" t="s">
        <v>63</v>
      </c>
      <c r="K454" t="s">
        <v>4927</v>
      </c>
      <c r="L454" t="s">
        <v>7202</v>
      </c>
      <c r="M454" t="s">
        <v>7203</v>
      </c>
      <c r="N454" t="s">
        <v>7204</v>
      </c>
      <c r="O454" t="s">
        <v>4949</v>
      </c>
      <c r="P454" t="s">
        <v>5007</v>
      </c>
      <c r="Q454">
        <v>0</v>
      </c>
      <c r="R454" t="s">
        <v>5118</v>
      </c>
      <c r="S454" t="s">
        <v>172</v>
      </c>
      <c r="T454" t="s">
        <v>4923</v>
      </c>
      <c r="U454" t="s">
        <v>4924</v>
      </c>
      <c r="V454" t="s">
        <v>7205</v>
      </c>
      <c r="W454" t="s">
        <v>3667</v>
      </c>
      <c r="X454">
        <v>100</v>
      </c>
    </row>
    <row r="455" spans="1:24" x14ac:dyDescent="0.25">
      <c r="A455" t="s">
        <v>5176</v>
      </c>
      <c r="B455" t="s">
        <v>7158</v>
      </c>
      <c r="C455" t="s">
        <v>7159</v>
      </c>
      <c r="D455" t="s">
        <v>30</v>
      </c>
      <c r="E455" t="s">
        <v>4913</v>
      </c>
      <c r="F455" t="s">
        <v>3353</v>
      </c>
      <c r="G455">
        <f>IF(K455="Pick-up","PICKUPS",IF(K455="Staff drop-off","STAFF_DROPOFF",IF(K455="Replacements","REPLACEMENT",IF(K455="Central Stores Dispatch","CENTRAL STORES DISPATCH",IFNA(IFNA(VLOOKUP(F455,'Raw Platform Nov 4-6 2025'!C:C,1,FALSE),VLOOKUP(F455,'Raw Platform Nov 4-6 2025'!D:D,1,FALSE)),IFNA(VLOOKUP(F455,'Glovo Raw Nov 4-6 2025'!B:B,1,FALSE),"Not Matched"))))))</f>
      </c>
      <c r="H455">
        <f>COUNTIF(F:F,F455)</f>
      </c>
      <c r="I455" t="s">
        <v>7206</v>
      </c>
      <c r="J455" t="s">
        <v>4915</v>
      </c>
      <c r="K455" t="s">
        <v>4916</v>
      </c>
      <c r="L455" t="s">
        <v>7207</v>
      </c>
      <c r="M455" t="s">
        <v>7208</v>
      </c>
      <c r="N455" t="s">
        <v>7209</v>
      </c>
      <c r="O455" t="s">
        <v>4956</v>
      </c>
      <c r="P455" t="s">
        <v>5219</v>
      </c>
      <c r="Q455">
        <v>1352</v>
      </c>
      <c r="R455" t="s">
        <v>5118</v>
      </c>
      <c r="S455" t="s">
        <v>172</v>
      </c>
      <c r="T455" t="s">
        <v>4923</v>
      </c>
      <c r="U455" t="s">
        <v>4924</v>
      </c>
      <c r="V455" t="s">
        <v>7210</v>
      </c>
      <c r="W455" t="s">
        <v>3667</v>
      </c>
      <c r="X455">
        <v>100</v>
      </c>
    </row>
    <row r="456" spans="1:24" x14ac:dyDescent="0.25">
      <c r="A456" t="s">
        <v>5176</v>
      </c>
      <c r="B456" t="s">
        <v>7211</v>
      </c>
      <c r="C456" t="s">
        <v>7159</v>
      </c>
      <c r="D456" t="s">
        <v>30</v>
      </c>
      <c r="E456" t="s">
        <v>4913</v>
      </c>
      <c r="F456" t="s">
        <v>3267</v>
      </c>
      <c r="G456">
        <f>IF(K456="Pick-up","PICKUPS",IF(K456="Staff drop-off","STAFF_DROPOFF",IF(K456="Replacements","REPLACEMENT",IF(K456="Central Stores Dispatch","CENTRAL STORES DISPATCH",IFNA(IFNA(VLOOKUP(F456,'Raw Platform Nov 4-6 2025'!C:C,1,FALSE),VLOOKUP(F456,'Raw Platform Nov 4-6 2025'!D:D,1,FALSE)),IFNA(VLOOKUP(F456,'Glovo Raw Nov 4-6 2025'!B:B,1,FALSE),"Not Matched"))))))</f>
      </c>
      <c r="H456">
        <f>COUNTIF(F:F,F456)</f>
      </c>
      <c r="I456" t="s">
        <v>7212</v>
      </c>
      <c r="J456" t="s">
        <v>4915</v>
      </c>
      <c r="K456" t="s">
        <v>4916</v>
      </c>
      <c r="L456" t="s">
        <v>7213</v>
      </c>
      <c r="M456" t="s">
        <v>7214</v>
      </c>
      <c r="N456" t="s">
        <v>7215</v>
      </c>
      <c r="O456" t="s">
        <v>2009</v>
      </c>
      <c r="P456" t="s">
        <v>4950</v>
      </c>
      <c r="Q456">
        <v>2240</v>
      </c>
      <c r="R456" t="s">
        <v>5118</v>
      </c>
      <c r="S456" t="s">
        <v>29</v>
      </c>
      <c r="T456" t="s">
        <v>4923</v>
      </c>
      <c r="U456" t="s">
        <v>4924</v>
      </c>
      <c r="V456" t="s">
        <v>7216</v>
      </c>
      <c r="W456" t="s">
        <v>3667</v>
      </c>
      <c r="X456">
        <v>100</v>
      </c>
    </row>
    <row r="457" spans="1:24" x14ac:dyDescent="0.25">
      <c r="A457" t="s">
        <v>5176</v>
      </c>
      <c r="B457" t="s">
        <v>7217</v>
      </c>
      <c r="C457" t="s">
        <v>7218</v>
      </c>
      <c r="D457" t="s">
        <v>30</v>
      </c>
      <c r="E457" t="s">
        <v>4913</v>
      </c>
      <c r="F457" t="s">
        <v>206</v>
      </c>
      <c r="G457">
        <f>IF(K457="Pick-up","PICKUPS",IF(K457="Staff drop-off","STAFF_DROPOFF",IF(K457="Replacements","REPLACEMENT",IF(K457="Central Stores Dispatch","CENTRAL STORES DISPATCH",IFNA(IFNA(VLOOKUP(F457,'Raw Platform Nov 4-6 2025'!C:C,1,FALSE),VLOOKUP(F457,'Raw Platform Nov 4-6 2025'!D:D,1,FALSE)),IFNA(VLOOKUP(F457,'Glovo Raw Nov 4-6 2025'!B:B,1,FALSE),"Not Matched"))))))</f>
      </c>
      <c r="H457">
        <f>COUNTIF(F:F,F457)</f>
      </c>
      <c r="I457" t="s">
        <v>7219</v>
      </c>
      <c r="J457" t="s">
        <v>4915</v>
      </c>
      <c r="K457" t="s">
        <v>4927</v>
      </c>
      <c r="L457" t="s">
        <v>7220</v>
      </c>
      <c r="M457" t="s">
        <v>5951</v>
      </c>
      <c r="N457" t="s">
        <v>5952</v>
      </c>
      <c r="O457" t="s">
        <v>53</v>
      </c>
      <c r="P457" t="s">
        <v>5953</v>
      </c>
      <c r="Q457">
        <v>0</v>
      </c>
      <c r="R457" t="s">
        <v>4922</v>
      </c>
      <c r="S457" t="s">
        <v>45</v>
      </c>
      <c r="T457" t="s">
        <v>4923</v>
      </c>
      <c r="U457" t="s">
        <v>4924</v>
      </c>
      <c r="V457" t="s">
        <v>7221</v>
      </c>
      <c r="W457" t="s">
        <v>3667</v>
      </c>
      <c r="X457">
        <v>118.4</v>
      </c>
    </row>
    <row r="458" spans="1:24" x14ac:dyDescent="0.25">
      <c r="A458" t="s">
        <v>5176</v>
      </c>
      <c r="B458" t="s">
        <v>7217</v>
      </c>
      <c r="C458" t="s">
        <v>7218</v>
      </c>
      <c r="D458" t="s">
        <v>30</v>
      </c>
      <c r="E458" t="s">
        <v>4913</v>
      </c>
      <c r="F458" t="s">
        <v>1334</v>
      </c>
      <c r="G458">
        <f>IF(K458="Pick-up","PICKUPS",IF(K458="Staff drop-off","STAFF_DROPOFF",IF(K458="Replacements","REPLACEMENT",IF(K458="Central Stores Dispatch","CENTRAL STORES DISPATCH",IFNA(IFNA(VLOOKUP(F458,'Raw Platform Nov 4-6 2025'!C:C,1,FALSE),VLOOKUP(F458,'Raw Platform Nov 4-6 2025'!D:D,1,FALSE)),IFNA(VLOOKUP(F458,'Glovo Raw Nov 4-6 2025'!B:B,1,FALSE),"Not Matched"))))))</f>
      </c>
      <c r="H458">
        <f>COUNTIF(F:F,F458)</f>
      </c>
      <c r="I458" t="s">
        <v>7222</v>
      </c>
      <c r="J458" t="s">
        <v>4915</v>
      </c>
      <c r="K458" t="s">
        <v>4916</v>
      </c>
      <c r="L458" t="s">
        <v>7223</v>
      </c>
      <c r="M458" t="s">
        <v>7224</v>
      </c>
      <c r="N458" t="s">
        <v>7225</v>
      </c>
      <c r="O458" t="s">
        <v>5534</v>
      </c>
      <c r="P458" t="s">
        <v>7226</v>
      </c>
      <c r="Q458">
        <v>892</v>
      </c>
      <c r="R458" t="s">
        <v>4922</v>
      </c>
      <c r="S458" t="s">
        <v>172</v>
      </c>
      <c r="T458" t="s">
        <v>4923</v>
      </c>
      <c r="U458" t="s">
        <v>4924</v>
      </c>
      <c r="V458" t="s">
        <v>7227</v>
      </c>
      <c r="W458" t="s">
        <v>3667</v>
      </c>
      <c r="X458">
        <v>325.4</v>
      </c>
    </row>
    <row r="459" spans="1:24" x14ac:dyDescent="0.25">
      <c r="A459" t="s">
        <v>5176</v>
      </c>
      <c r="B459" t="s">
        <v>7217</v>
      </c>
      <c r="C459" t="s">
        <v>7218</v>
      </c>
      <c r="D459" t="s">
        <v>30</v>
      </c>
      <c r="E459" t="s">
        <v>4913</v>
      </c>
      <c r="F459" t="s">
        <v>1136</v>
      </c>
      <c r="G459">
        <f>IF(K459="Pick-up","PICKUPS",IF(K459="Staff drop-off","STAFF_DROPOFF",IF(K459="Replacements","REPLACEMENT",IF(K459="Central Stores Dispatch","CENTRAL STORES DISPATCH",IFNA(IFNA(VLOOKUP(F459,'Raw Platform Nov 4-6 2025'!C:C,1,FALSE),VLOOKUP(F459,'Raw Platform Nov 4-6 2025'!D:D,1,FALSE)),IFNA(VLOOKUP(F459,'Glovo Raw Nov 4-6 2025'!B:B,1,FALSE),"Not Matched"))))))</f>
      </c>
      <c r="H459">
        <f>COUNTIF(F:F,F459)</f>
      </c>
      <c r="I459" t="s">
        <v>7228</v>
      </c>
      <c r="J459" t="s">
        <v>63</v>
      </c>
      <c r="K459" t="s">
        <v>4916</v>
      </c>
      <c r="L459" t="s">
        <v>7229</v>
      </c>
      <c r="M459" t="s">
        <v>7230</v>
      </c>
      <c r="N459" t="s">
        <v>7231</v>
      </c>
      <c r="O459" t="s">
        <v>7232</v>
      </c>
      <c r="P459" t="s">
        <v>5558</v>
      </c>
      <c r="Q459">
        <v>1125</v>
      </c>
      <c r="R459" t="s">
        <v>4922</v>
      </c>
      <c r="S459" t="s">
        <v>172</v>
      </c>
      <c r="T459" t="s">
        <v>4923</v>
      </c>
      <c r="U459" t="s">
        <v>4924</v>
      </c>
      <c r="V459" t="s">
        <v>7233</v>
      </c>
      <c r="W459" t="s">
        <v>3667</v>
      </c>
      <c r="X459">
        <v>357.6</v>
      </c>
    </row>
    <row r="460" spans="1:24" x14ac:dyDescent="0.25">
      <c r="A460" t="s">
        <v>5176</v>
      </c>
      <c r="B460" t="s">
        <v>7217</v>
      </c>
      <c r="C460" t="s">
        <v>7218</v>
      </c>
      <c r="D460" t="s">
        <v>30</v>
      </c>
      <c r="E460" t="s">
        <v>4913</v>
      </c>
      <c r="F460" t="s">
        <v>1923</v>
      </c>
      <c r="G460">
        <f>IF(K460="Pick-up","PICKUPS",IF(K460="Staff drop-off","STAFF_DROPOFF",IF(K460="Replacements","REPLACEMENT",IF(K460="Central Stores Dispatch","CENTRAL STORES DISPATCH",IFNA(IFNA(VLOOKUP(F460,'Raw Platform Nov 4-6 2025'!C:C,1,FALSE),VLOOKUP(F460,'Raw Platform Nov 4-6 2025'!D:D,1,FALSE)),IFNA(VLOOKUP(F460,'Glovo Raw Nov 4-6 2025'!B:B,1,FALSE),"Not Matched"))))))</f>
      </c>
      <c r="H460">
        <f>COUNTIF(F:F,F460)</f>
      </c>
      <c r="I460" t="s">
        <v>7234</v>
      </c>
      <c r="J460" t="s">
        <v>4915</v>
      </c>
      <c r="K460" t="s">
        <v>4927</v>
      </c>
      <c r="L460" t="s">
        <v>7235</v>
      </c>
      <c r="M460" t="s">
        <v>7236</v>
      </c>
      <c r="N460" t="s">
        <v>7237</v>
      </c>
      <c r="O460" t="s">
        <v>4962</v>
      </c>
      <c r="P460" t="s">
        <v>4963</v>
      </c>
      <c r="Q460">
        <v>0</v>
      </c>
      <c r="R460" t="s">
        <v>4922</v>
      </c>
      <c r="S460" t="s">
        <v>50</v>
      </c>
      <c r="T460" t="s">
        <v>4923</v>
      </c>
      <c r="U460" t="s">
        <v>4924</v>
      </c>
      <c r="V460" t="s">
        <v>7238</v>
      </c>
      <c r="W460" t="s">
        <v>3667</v>
      </c>
      <c r="X460">
        <v>100</v>
      </c>
    </row>
    <row r="461" spans="1:24" x14ac:dyDescent="0.25">
      <c r="A461" t="s">
        <v>5176</v>
      </c>
      <c r="B461" t="s">
        <v>7217</v>
      </c>
      <c r="C461" t="s">
        <v>7218</v>
      </c>
      <c r="D461" t="s">
        <v>30</v>
      </c>
      <c r="E461" t="s">
        <v>4913</v>
      </c>
      <c r="F461" t="s">
        <v>2142</v>
      </c>
      <c r="G461">
        <f>IF(K461="Pick-up","PICKUPS",IF(K461="Staff drop-off","STAFF_DROPOFF",IF(K461="Replacements","REPLACEMENT",IF(K461="Central Stores Dispatch","CENTRAL STORES DISPATCH",IFNA(IFNA(VLOOKUP(F461,'Raw Platform Nov 4-6 2025'!C:C,1,FALSE),VLOOKUP(F461,'Raw Platform Nov 4-6 2025'!D:D,1,FALSE)),IFNA(VLOOKUP(F461,'Glovo Raw Nov 4-6 2025'!B:B,1,FALSE),"Not Matched"))))))</f>
      </c>
      <c r="H461">
        <f>COUNTIF(F:F,F461)</f>
      </c>
      <c r="I461" t="s">
        <v>7239</v>
      </c>
      <c r="J461" t="s">
        <v>4915</v>
      </c>
      <c r="K461" t="s">
        <v>4927</v>
      </c>
      <c r="L461" t="s">
        <v>7240</v>
      </c>
      <c r="M461" t="s">
        <v>5327</v>
      </c>
      <c r="N461" t="s">
        <v>7241</v>
      </c>
      <c r="O461" t="s">
        <v>4990</v>
      </c>
      <c r="P461" t="s">
        <v>6214</v>
      </c>
      <c r="Q461">
        <v>0</v>
      </c>
      <c r="R461" t="s">
        <v>4922</v>
      </c>
      <c r="S461" t="s">
        <v>12</v>
      </c>
      <c r="T461" t="s">
        <v>4923</v>
      </c>
      <c r="U461" t="s">
        <v>4924</v>
      </c>
      <c r="V461" t="s">
        <v>7242</v>
      </c>
      <c r="W461" t="s">
        <v>3667</v>
      </c>
      <c r="X461">
        <v>100</v>
      </c>
    </row>
    <row r="462" spans="1:24" x14ac:dyDescent="0.25">
      <c r="A462" t="s">
        <v>4932</v>
      </c>
      <c r="B462" t="s">
        <v>7243</v>
      </c>
      <c r="C462" t="s">
        <v>7244</v>
      </c>
      <c r="D462" t="s">
        <v>13</v>
      </c>
      <c r="E462" t="s">
        <v>4913</v>
      </c>
      <c r="F462" t="s">
        <v>7245</v>
      </c>
      <c r="G462">
        <f>IF(K462="Pick-up","PICKUPS",IF(K462="Staff drop-off","STAFF_DROPOFF",IF(K462="Replacements","REPLACEMENT",IF(K462="Central Stores Dispatch","CENTRAL STORES DISPATCH",IFNA(IFNA(VLOOKUP(F462,'Raw Platform Nov 4-6 2025'!C:C,1,FALSE),VLOOKUP(F462,'Raw Platform Nov 4-6 2025'!D:D,1,FALSE)),IFNA(VLOOKUP(F462,'Glovo Raw Nov 4-6 2025'!B:B,1,FALSE),"Not Matched"))))))</f>
      </c>
      <c r="H462">
        <f>COUNTIF(F:F,F462)</f>
      </c>
      <c r="I462" t="s">
        <v>7246</v>
      </c>
      <c r="J462" t="s">
        <v>5289</v>
      </c>
      <c r="K462" t="s">
        <v>4927</v>
      </c>
      <c r="L462" t="s">
        <v>5290</v>
      </c>
      <c r="M462" t="s">
        <v>5291</v>
      </c>
      <c r="N462" t="s">
        <v>5292</v>
      </c>
      <c r="O462" t="s">
        <v>3676</v>
      </c>
      <c r="P462" t="s">
        <v>3676</v>
      </c>
      <c r="Q462">
        <v>0</v>
      </c>
      <c r="R462" t="s">
        <v>5118</v>
      </c>
      <c r="S462" t="s">
        <v>29</v>
      </c>
      <c r="T462" t="s">
        <v>4923</v>
      </c>
      <c r="U462" t="s">
        <v>4924</v>
      </c>
      <c r="V462" t="s">
        <v>7247</v>
      </c>
      <c r="W462" t="s">
        <v>3667</v>
      </c>
      <c r="X462">
        <v>100</v>
      </c>
    </row>
    <row r="463" spans="1:24" x14ac:dyDescent="0.25">
      <c r="A463" t="s">
        <v>5130</v>
      </c>
      <c r="B463" t="s">
        <v>7243</v>
      </c>
      <c r="C463" t="s">
        <v>7244</v>
      </c>
      <c r="D463" t="s">
        <v>24</v>
      </c>
      <c r="E463" t="s">
        <v>4913</v>
      </c>
      <c r="F463" t="s">
        <v>441</v>
      </c>
      <c r="G463">
        <f>IF(K463="Pick-up","PICKUPS",IF(K463="Staff drop-off","STAFF_DROPOFF",IF(K463="Replacements","REPLACEMENT",IF(K463="Central Stores Dispatch","CENTRAL STORES DISPATCH",IFNA(IFNA(VLOOKUP(F463,'Raw Platform Nov 4-6 2025'!C:C,1,FALSE),VLOOKUP(F463,'Raw Platform Nov 4-6 2025'!D:D,1,FALSE)),IFNA(VLOOKUP(F463,'Glovo Raw Nov 4-6 2025'!B:B,1,FALSE),"Not Matched"))))))</f>
      </c>
      <c r="H463">
        <f>COUNTIF(F:F,F463)</f>
      </c>
      <c r="I463" t="s">
        <v>7248</v>
      </c>
      <c r="J463" t="s">
        <v>4915</v>
      </c>
      <c r="K463" t="s">
        <v>4927</v>
      </c>
      <c r="L463" t="s">
        <v>7249</v>
      </c>
      <c r="M463" t="s">
        <v>7250</v>
      </c>
      <c r="N463" t="s">
        <v>7251</v>
      </c>
      <c r="O463" t="s">
        <v>4962</v>
      </c>
      <c r="P463" t="s">
        <v>4943</v>
      </c>
      <c r="Q463">
        <v>0</v>
      </c>
      <c r="R463" t="s">
        <v>5118</v>
      </c>
      <c r="S463" t="s">
        <v>116</v>
      </c>
      <c r="T463" t="s">
        <v>4923</v>
      </c>
      <c r="U463" t="s">
        <v>4924</v>
      </c>
      <c r="V463" t="s">
        <v>7252</v>
      </c>
      <c r="W463" t="s">
        <v>3667</v>
      </c>
      <c r="X463">
        <v>106.9</v>
      </c>
    </row>
    <row r="464" spans="1:24" x14ac:dyDescent="0.25">
      <c r="A464" t="s">
        <v>5130</v>
      </c>
      <c r="B464" t="s">
        <v>7243</v>
      </c>
      <c r="C464" t="s">
        <v>7244</v>
      </c>
      <c r="D464" t="s">
        <v>24</v>
      </c>
      <c r="E464" t="s">
        <v>4913</v>
      </c>
      <c r="F464" t="s">
        <v>585</v>
      </c>
      <c r="G464">
        <f>IF(K464="Pick-up","PICKUPS",IF(K464="Staff drop-off","STAFF_DROPOFF",IF(K464="Replacements","REPLACEMENT",IF(K464="Central Stores Dispatch","CENTRAL STORES DISPATCH",IFNA(IFNA(VLOOKUP(F464,'Raw Platform Nov 4-6 2025'!C:C,1,FALSE),VLOOKUP(F464,'Raw Platform Nov 4-6 2025'!D:D,1,FALSE)),IFNA(VLOOKUP(F464,'Glovo Raw Nov 4-6 2025'!B:B,1,FALSE),"Not Matched"))))))</f>
      </c>
      <c r="H464">
        <f>COUNTIF(F:F,F464)</f>
      </c>
      <c r="I464" t="s">
        <v>7253</v>
      </c>
      <c r="J464" t="s">
        <v>5341</v>
      </c>
      <c r="K464" t="s">
        <v>4916</v>
      </c>
      <c r="L464" t="s">
        <v>7254</v>
      </c>
      <c r="M464" t="s">
        <v>7255</v>
      </c>
      <c r="N464" t="s">
        <v>7256</v>
      </c>
      <c r="O464" t="s">
        <v>73</v>
      </c>
      <c r="P464" t="s">
        <v>5516</v>
      </c>
      <c r="Q464">
        <v>1420</v>
      </c>
      <c r="R464" t="s">
        <v>5118</v>
      </c>
      <c r="S464" t="s">
        <v>5136</v>
      </c>
      <c r="T464" t="s">
        <v>4923</v>
      </c>
      <c r="U464" t="s">
        <v>4924</v>
      </c>
      <c r="V464" t="s">
        <v>7257</v>
      </c>
      <c r="W464" t="s">
        <v>3667</v>
      </c>
      <c r="X464">
        <v>169</v>
      </c>
    </row>
    <row r="465" spans="1:24" x14ac:dyDescent="0.25">
      <c r="A465" t="s">
        <v>5130</v>
      </c>
      <c r="B465" t="s">
        <v>7243</v>
      </c>
      <c r="C465" t="s">
        <v>7244</v>
      </c>
      <c r="D465" t="s">
        <v>24</v>
      </c>
      <c r="E465" t="s">
        <v>4913</v>
      </c>
      <c r="F465" t="s">
        <v>1411</v>
      </c>
      <c r="G465">
        <f>IF(K465="Pick-up","PICKUPS",IF(K465="Staff drop-off","STAFF_DROPOFF",IF(K465="Replacements","REPLACEMENT",IF(K465="Central Stores Dispatch","CENTRAL STORES DISPATCH",IFNA(IFNA(VLOOKUP(F465,'Raw Platform Nov 4-6 2025'!C:C,1,FALSE),VLOOKUP(F465,'Raw Platform Nov 4-6 2025'!D:D,1,FALSE)),IFNA(VLOOKUP(F465,'Glovo Raw Nov 4-6 2025'!B:B,1,FALSE),"Not Matched"))))))</f>
      </c>
      <c r="H465">
        <f>COUNTIF(F:F,F465)</f>
      </c>
      <c r="I465" t="s">
        <v>7258</v>
      </c>
      <c r="J465" t="s">
        <v>4915</v>
      </c>
      <c r="K465" t="s">
        <v>4927</v>
      </c>
      <c r="L465" t="s">
        <v>7259</v>
      </c>
      <c r="M465" t="s">
        <v>5217</v>
      </c>
      <c r="N465" t="s">
        <v>7260</v>
      </c>
      <c r="O465" t="s">
        <v>53</v>
      </c>
      <c r="P465" t="s">
        <v>5404</v>
      </c>
      <c r="Q465">
        <v>0</v>
      </c>
      <c r="R465" t="s">
        <v>5118</v>
      </c>
      <c r="S465" t="s">
        <v>172</v>
      </c>
      <c r="T465" t="s">
        <v>4923</v>
      </c>
      <c r="U465" t="s">
        <v>4924</v>
      </c>
      <c r="V465" t="s">
        <v>7261</v>
      </c>
      <c r="W465" t="s">
        <v>3667</v>
      </c>
      <c r="X465">
        <v>123</v>
      </c>
    </row>
    <row r="466" spans="1:24" x14ac:dyDescent="0.25">
      <c r="A466" t="s">
        <v>5130</v>
      </c>
      <c r="B466" t="s">
        <v>7243</v>
      </c>
      <c r="C466" t="s">
        <v>7244</v>
      </c>
      <c r="D466" t="s">
        <v>24</v>
      </c>
      <c r="E466" t="s">
        <v>4913</v>
      </c>
      <c r="F466" t="s">
        <v>215</v>
      </c>
      <c r="G466">
        <f>IF(K466="Pick-up","PICKUPS",IF(K466="Staff drop-off","STAFF_DROPOFF",IF(K466="Replacements","REPLACEMENT",IF(K466="Central Stores Dispatch","CENTRAL STORES DISPATCH",IFNA(IFNA(VLOOKUP(F466,'Raw Platform Nov 4-6 2025'!C:C,1,FALSE),VLOOKUP(F466,'Raw Platform Nov 4-6 2025'!D:D,1,FALSE)),IFNA(VLOOKUP(F466,'Glovo Raw Nov 4-6 2025'!B:B,1,FALSE),"Not Matched"))))))</f>
      </c>
      <c r="H466">
        <f>COUNTIF(F:F,F466)</f>
      </c>
      <c r="I466" t="s">
        <v>7262</v>
      </c>
      <c r="J466" t="s">
        <v>5028</v>
      </c>
      <c r="K466" t="s">
        <v>4916</v>
      </c>
      <c r="L466" t="s">
        <v>7263</v>
      </c>
      <c r="M466" t="s">
        <v>7264</v>
      </c>
      <c r="N466" t="s">
        <v>7265</v>
      </c>
      <c r="O466" t="s">
        <v>73</v>
      </c>
      <c r="P466" t="s">
        <v>5164</v>
      </c>
      <c r="Q466">
        <v>1950</v>
      </c>
      <c r="R466" t="s">
        <v>5118</v>
      </c>
      <c r="S466" t="s">
        <v>35</v>
      </c>
      <c r="T466" t="s">
        <v>4923</v>
      </c>
      <c r="U466" t="s">
        <v>4924</v>
      </c>
      <c r="V466" t="s">
        <v>7266</v>
      </c>
      <c r="W466" t="s">
        <v>3667</v>
      </c>
      <c r="X466">
        <v>146</v>
      </c>
    </row>
    <row r="467" spans="1:24" x14ac:dyDescent="0.25">
      <c r="A467" t="s">
        <v>5130</v>
      </c>
      <c r="B467" t="s">
        <v>7243</v>
      </c>
      <c r="C467" t="s">
        <v>7244</v>
      </c>
      <c r="D467" t="s">
        <v>24</v>
      </c>
      <c r="E467" t="s">
        <v>4913</v>
      </c>
      <c r="F467" t="s">
        <v>765</v>
      </c>
      <c r="G467">
        <f>IF(K467="Pick-up","PICKUPS",IF(K467="Staff drop-off","STAFF_DROPOFF",IF(K467="Replacements","REPLACEMENT",IF(K467="Central Stores Dispatch","CENTRAL STORES DISPATCH",IFNA(IFNA(VLOOKUP(F467,'Raw Platform Nov 4-6 2025'!C:C,1,FALSE),VLOOKUP(F467,'Raw Platform Nov 4-6 2025'!D:D,1,FALSE)),IFNA(VLOOKUP(F467,'Glovo Raw Nov 4-6 2025'!B:B,1,FALSE),"Not Matched"))))))</f>
      </c>
      <c r="H467">
        <f>COUNTIF(F:F,F467)</f>
      </c>
      <c r="I467" t="s">
        <v>7267</v>
      </c>
      <c r="J467" t="s">
        <v>4915</v>
      </c>
      <c r="K467" t="s">
        <v>4916</v>
      </c>
      <c r="L467" t="s">
        <v>7268</v>
      </c>
      <c r="M467" t="s">
        <v>7269</v>
      </c>
      <c r="N467" t="s">
        <v>7270</v>
      </c>
      <c r="O467" t="s">
        <v>100</v>
      </c>
      <c r="P467" t="s">
        <v>5510</v>
      </c>
      <c r="Q467">
        <v>892</v>
      </c>
      <c r="R467" t="s">
        <v>5118</v>
      </c>
      <c r="S467" t="s">
        <v>35</v>
      </c>
      <c r="T467" t="s">
        <v>4923</v>
      </c>
      <c r="U467" t="s">
        <v>4924</v>
      </c>
      <c r="V467" t="s">
        <v>7271</v>
      </c>
      <c r="W467" t="s">
        <v>3667</v>
      </c>
      <c r="X467">
        <v>196.6</v>
      </c>
    </row>
    <row r="468" spans="1:24" x14ac:dyDescent="0.25">
      <c r="A468" t="s">
        <v>5130</v>
      </c>
      <c r="B468" t="s">
        <v>7243</v>
      </c>
      <c r="C468" t="s">
        <v>7244</v>
      </c>
      <c r="D468" t="s">
        <v>24</v>
      </c>
      <c r="E468" t="s">
        <v>4913</v>
      </c>
      <c r="F468" t="s">
        <v>383</v>
      </c>
      <c r="G468">
        <f>IF(K468="Pick-up","PICKUPS",IF(K468="Staff drop-off","STAFF_DROPOFF",IF(K468="Replacements","REPLACEMENT",IF(K468="Central Stores Dispatch","CENTRAL STORES DISPATCH",IFNA(IFNA(VLOOKUP(F468,'Raw Platform Nov 4-6 2025'!C:C,1,FALSE),VLOOKUP(F468,'Raw Platform Nov 4-6 2025'!D:D,1,FALSE)),IFNA(VLOOKUP(F468,'Glovo Raw Nov 4-6 2025'!B:B,1,FALSE),"Not Matched"))))))</f>
      </c>
      <c r="H468">
        <f>COUNTIF(F:F,F468)</f>
      </c>
      <c r="I468" t="s">
        <v>7272</v>
      </c>
      <c r="J468" t="s">
        <v>4915</v>
      </c>
      <c r="K468" t="s">
        <v>4927</v>
      </c>
      <c r="L468" t="s">
        <v>7273</v>
      </c>
      <c r="M468" t="s">
        <v>7274</v>
      </c>
      <c r="N468" t="s">
        <v>7275</v>
      </c>
      <c r="O468" t="s">
        <v>4920</v>
      </c>
      <c r="P468" t="s">
        <v>4921</v>
      </c>
      <c r="Q468">
        <v>0</v>
      </c>
      <c r="R468" t="s">
        <v>5118</v>
      </c>
      <c r="S468" t="s">
        <v>45</v>
      </c>
      <c r="T468" t="s">
        <v>4923</v>
      </c>
      <c r="U468" t="s">
        <v>4924</v>
      </c>
      <c r="V468" t="s">
        <v>7276</v>
      </c>
      <c r="W468" t="s">
        <v>3667</v>
      </c>
      <c r="X468">
        <v>100</v>
      </c>
    </row>
    <row r="469" spans="1:24" x14ac:dyDescent="0.25">
      <c r="A469" t="s">
        <v>5130</v>
      </c>
      <c r="B469" t="s">
        <v>7243</v>
      </c>
      <c r="C469" t="s">
        <v>7244</v>
      </c>
      <c r="D469" t="s">
        <v>24</v>
      </c>
      <c r="E469" t="s">
        <v>4913</v>
      </c>
      <c r="F469" t="s">
        <v>7277</v>
      </c>
      <c r="G469">
        <f>IF(K469="Pick-up","PICKUPS",IF(K469="Staff drop-off","STAFF_DROPOFF",IF(K469="Replacements","REPLACEMENT",IF(K469="Central Stores Dispatch","CENTRAL STORES DISPATCH",IFNA(IFNA(VLOOKUP(F469,'Raw Platform Nov 4-6 2025'!C:C,1,FALSE),VLOOKUP(F469,'Raw Platform Nov 4-6 2025'!D:D,1,FALSE)),IFNA(VLOOKUP(F469,'Glovo Raw Nov 4-6 2025'!B:B,1,FALSE),"Not Matched"))))))</f>
      </c>
      <c r="H469">
        <f>COUNTIF(F:F,F469)</f>
      </c>
      <c r="I469" t="s">
        <v>7278</v>
      </c>
      <c r="J469" t="s">
        <v>5289</v>
      </c>
      <c r="K469" t="s">
        <v>4927</v>
      </c>
      <c r="L469" t="s">
        <v>7279</v>
      </c>
      <c r="M469" t="s">
        <v>5217</v>
      </c>
      <c r="N469" t="s">
        <v>5386</v>
      </c>
      <c r="O469" t="s">
        <v>73</v>
      </c>
      <c r="P469" t="s">
        <v>5387</v>
      </c>
      <c r="Q469">
        <v>0</v>
      </c>
      <c r="R469" t="s">
        <v>5118</v>
      </c>
      <c r="S469" t="s">
        <v>5293</v>
      </c>
      <c r="T469" t="s">
        <v>4923</v>
      </c>
      <c r="U469" t="s">
        <v>4924</v>
      </c>
      <c r="V469" t="s">
        <v>7280</v>
      </c>
      <c r="W469" t="s">
        <v>3667</v>
      </c>
      <c r="X469">
        <v>152.9</v>
      </c>
    </row>
    <row r="470" spans="1:24" x14ac:dyDescent="0.25">
      <c r="A470" t="s">
        <v>5231</v>
      </c>
      <c r="B470" t="s">
        <v>7243</v>
      </c>
      <c r="C470" t="s">
        <v>7244</v>
      </c>
      <c r="D470" t="s">
        <v>191</v>
      </c>
      <c r="E470" t="s">
        <v>4913</v>
      </c>
      <c r="F470" t="s">
        <v>658</v>
      </c>
      <c r="G470">
        <f>IF(K470="Pick-up","PICKUPS",IF(K470="Staff drop-off","STAFF_DROPOFF",IF(K470="Replacements","REPLACEMENT",IF(K470="Central Stores Dispatch","CENTRAL STORES DISPATCH",IFNA(IFNA(VLOOKUP(F470,'Raw Platform Nov 4-6 2025'!C:C,1,FALSE),VLOOKUP(F470,'Raw Platform Nov 4-6 2025'!D:D,1,FALSE)),IFNA(VLOOKUP(F470,'Glovo Raw Nov 4-6 2025'!B:B,1,FALSE),"Not Matched"))))))</f>
      </c>
      <c r="H470">
        <f>COUNTIF(F:F,F470)</f>
      </c>
      <c r="I470" t="s">
        <v>7281</v>
      </c>
      <c r="J470" t="s">
        <v>4915</v>
      </c>
      <c r="K470" t="s">
        <v>4916</v>
      </c>
      <c r="L470" t="s">
        <v>7282</v>
      </c>
      <c r="M470" t="s">
        <v>7283</v>
      </c>
      <c r="N470" t="s">
        <v>7284</v>
      </c>
      <c r="O470" t="s">
        <v>37</v>
      </c>
      <c r="P470" t="s">
        <v>5410</v>
      </c>
      <c r="Q470">
        <v>2563</v>
      </c>
      <c r="R470" t="s">
        <v>5118</v>
      </c>
      <c r="S470" t="s">
        <v>5184</v>
      </c>
      <c r="T470" t="s">
        <v>4923</v>
      </c>
      <c r="U470" t="s">
        <v>4924</v>
      </c>
      <c r="V470" t="s">
        <v>7285</v>
      </c>
      <c r="W470" t="s">
        <v>3667</v>
      </c>
      <c r="X470">
        <v>277.1</v>
      </c>
    </row>
    <row r="471" spans="1:24" x14ac:dyDescent="0.25">
      <c r="A471" t="s">
        <v>5231</v>
      </c>
      <c r="B471" t="s">
        <v>7243</v>
      </c>
      <c r="C471" t="s">
        <v>7244</v>
      </c>
      <c r="D471" t="s">
        <v>191</v>
      </c>
      <c r="E471" t="s">
        <v>4913</v>
      </c>
      <c r="F471" t="s">
        <v>385</v>
      </c>
      <c r="G471">
        <f>IF(K471="Pick-up","PICKUPS",IF(K471="Staff drop-off","STAFF_DROPOFF",IF(K471="Replacements","REPLACEMENT",IF(K471="Central Stores Dispatch","CENTRAL STORES DISPATCH",IFNA(IFNA(VLOOKUP(F471,'Raw Platform Nov 4-6 2025'!C:C,1,FALSE),VLOOKUP(F471,'Raw Platform Nov 4-6 2025'!D:D,1,FALSE)),IFNA(VLOOKUP(F471,'Glovo Raw Nov 4-6 2025'!B:B,1,FALSE),"Not Matched"))))))</f>
      </c>
      <c r="H471">
        <f>COUNTIF(F:F,F471)</f>
      </c>
      <c r="I471" t="s">
        <v>7286</v>
      </c>
      <c r="J471" t="s">
        <v>4915</v>
      </c>
      <c r="K471" t="s">
        <v>4927</v>
      </c>
      <c r="L471" t="s">
        <v>7287</v>
      </c>
      <c r="M471" t="s">
        <v>7288</v>
      </c>
      <c r="N471" t="s">
        <v>7289</v>
      </c>
      <c r="O471" t="s">
        <v>4962</v>
      </c>
      <c r="P471" t="s">
        <v>4984</v>
      </c>
      <c r="Q471">
        <v>0</v>
      </c>
      <c r="R471" t="s">
        <v>5118</v>
      </c>
      <c r="S471" t="s">
        <v>5699</v>
      </c>
      <c r="T471" t="s">
        <v>4923</v>
      </c>
      <c r="U471" t="s">
        <v>4924</v>
      </c>
      <c r="V471" t="s">
        <v>7290</v>
      </c>
      <c r="W471" t="s">
        <v>3667</v>
      </c>
      <c r="X471">
        <v>100</v>
      </c>
    </row>
    <row r="472" spans="1:24" x14ac:dyDescent="0.25">
      <c r="A472" t="s">
        <v>5231</v>
      </c>
      <c r="B472" t="s">
        <v>7243</v>
      </c>
      <c r="C472" t="s">
        <v>7244</v>
      </c>
      <c r="D472" t="s">
        <v>191</v>
      </c>
      <c r="E472" t="s">
        <v>4913</v>
      </c>
      <c r="F472" t="s">
        <v>1293</v>
      </c>
      <c r="G472">
        <f>IF(K472="Pick-up","PICKUPS",IF(K472="Staff drop-off","STAFF_DROPOFF",IF(K472="Replacements","REPLACEMENT",IF(K472="Central Stores Dispatch","CENTRAL STORES DISPATCH",IFNA(IFNA(VLOOKUP(F472,'Raw Platform Nov 4-6 2025'!C:C,1,FALSE),VLOOKUP(F472,'Raw Platform Nov 4-6 2025'!D:D,1,FALSE)),IFNA(VLOOKUP(F472,'Glovo Raw Nov 4-6 2025'!B:B,1,FALSE),"Not Matched"))))))</f>
      </c>
      <c r="H472">
        <f>COUNTIF(F:F,F472)</f>
      </c>
      <c r="I472" t="s">
        <v>7291</v>
      </c>
      <c r="J472" t="s">
        <v>4915</v>
      </c>
      <c r="K472" t="s">
        <v>4927</v>
      </c>
      <c r="L472" t="s">
        <v>7292</v>
      </c>
      <c r="M472" t="s">
        <v>7293</v>
      </c>
      <c r="N472" t="s">
        <v>7294</v>
      </c>
      <c r="O472" t="s">
        <v>26</v>
      </c>
      <c r="P472" t="s">
        <v>4949</v>
      </c>
      <c r="Q472">
        <v>0</v>
      </c>
      <c r="R472" t="s">
        <v>5118</v>
      </c>
      <c r="S472" t="s">
        <v>5699</v>
      </c>
      <c r="T472" t="s">
        <v>4923</v>
      </c>
      <c r="U472" t="s">
        <v>4924</v>
      </c>
      <c r="V472" t="s">
        <v>7295</v>
      </c>
      <c r="W472" t="s">
        <v>3667</v>
      </c>
      <c r="X472">
        <v>157.5</v>
      </c>
    </row>
    <row r="473" spans="1:24" x14ac:dyDescent="0.25">
      <c r="A473" t="s">
        <v>5130</v>
      </c>
      <c r="B473" t="s">
        <v>7243</v>
      </c>
      <c r="C473" t="s">
        <v>7244</v>
      </c>
      <c r="D473" t="s">
        <v>24</v>
      </c>
      <c r="E473" t="s">
        <v>4913</v>
      </c>
      <c r="F473" t="s">
        <v>7296</v>
      </c>
      <c r="G473">
        <f>IF(K473="Pick-up","PICKUPS",IF(K473="Staff drop-off","STAFF_DROPOFF",IF(K473="Replacements","REPLACEMENT",IF(K473="Central Stores Dispatch","CENTRAL STORES DISPATCH",IFNA(IFNA(VLOOKUP(F473,'Raw Platform Nov 4-6 2025'!C:C,1,FALSE),VLOOKUP(F473,'Raw Platform Nov 4-6 2025'!D:D,1,FALSE)),IFNA(VLOOKUP(F473,'Glovo Raw Nov 4-6 2025'!B:B,1,FALSE),"Not Matched"))))))</f>
      </c>
      <c r="H473">
        <f>COUNTIF(F:F,F473)</f>
      </c>
      <c r="I473" t="s">
        <v>7297</v>
      </c>
      <c r="J473" t="s">
        <v>4915</v>
      </c>
      <c r="K473" t="s">
        <v>4927</v>
      </c>
      <c r="L473" t="s">
        <v>7298</v>
      </c>
      <c r="M473" t="s">
        <v>7299</v>
      </c>
      <c r="N473" t="s">
        <v>5072</v>
      </c>
      <c r="O473" t="s">
        <v>4956</v>
      </c>
      <c r="P473" t="s">
        <v>4963</v>
      </c>
      <c r="Q473">
        <v>0</v>
      </c>
      <c r="R473" t="s">
        <v>5118</v>
      </c>
      <c r="S473" t="s">
        <v>116</v>
      </c>
      <c r="T473" t="s">
        <v>4923</v>
      </c>
      <c r="U473" t="s">
        <v>4924</v>
      </c>
      <c r="V473" t="s">
        <v>7300</v>
      </c>
      <c r="W473" t="s">
        <v>3667</v>
      </c>
      <c r="X473">
        <v>100</v>
      </c>
    </row>
    <row r="474" spans="1:24" x14ac:dyDescent="0.25">
      <c r="A474" t="s">
        <v>5130</v>
      </c>
      <c r="B474" t="s">
        <v>7243</v>
      </c>
      <c r="C474" t="s">
        <v>7244</v>
      </c>
      <c r="D474" t="s">
        <v>24</v>
      </c>
      <c r="E474" t="s">
        <v>5034</v>
      </c>
      <c r="F474" t="s">
        <v>2153</v>
      </c>
      <c r="G474">
        <f>IF(K474="Pick-up","PICKUPS",IF(K474="Staff drop-off","STAFF_DROPOFF",IF(K474="Replacements","REPLACEMENT",IF(K474="Central Stores Dispatch","CENTRAL STORES DISPATCH",IFNA(IFNA(VLOOKUP(F474,'Raw Platform Nov 4-6 2025'!C:C,1,FALSE),VLOOKUP(F474,'Raw Platform Nov 4-6 2025'!D:D,1,FALSE)),IFNA(VLOOKUP(F474,'Glovo Raw Nov 4-6 2025'!B:B,1,FALSE),"Not Matched"))))))</f>
      </c>
      <c r="H474">
        <f>COUNTIF(F:F,F474)</f>
      </c>
      <c r="I474" t="s">
        <v>7107</v>
      </c>
      <c r="J474" t="s">
        <v>4915</v>
      </c>
      <c r="K474" t="s">
        <v>4927</v>
      </c>
      <c r="L474" t="s">
        <v>7108</v>
      </c>
      <c r="M474" t="s">
        <v>7109</v>
      </c>
      <c r="N474" t="s">
        <v>7110</v>
      </c>
      <c r="O474" t="s">
        <v>53</v>
      </c>
      <c r="P474" t="s">
        <v>4984</v>
      </c>
      <c r="Q474">
        <v>0</v>
      </c>
      <c r="R474" t="s">
        <v>5118</v>
      </c>
      <c r="S474" t="s">
        <v>116</v>
      </c>
      <c r="T474" t="s">
        <v>4923</v>
      </c>
      <c r="U474" t="s">
        <v>4923</v>
      </c>
      <c r="V474" t="s">
        <v>7301</v>
      </c>
      <c r="W474" t="s">
        <v>3667</v>
      </c>
      <c r="X474">
        <v>0</v>
      </c>
    </row>
    <row r="475" spans="1:24" x14ac:dyDescent="0.25">
      <c r="A475" t="s">
        <v>5130</v>
      </c>
      <c r="B475" t="s">
        <v>7243</v>
      </c>
      <c r="C475" t="s">
        <v>7244</v>
      </c>
      <c r="D475" t="s">
        <v>24</v>
      </c>
      <c r="E475" t="s">
        <v>4913</v>
      </c>
      <c r="F475" t="s">
        <v>1450</v>
      </c>
      <c r="G475">
        <f>IF(K475="Pick-up","PICKUPS",IF(K475="Staff drop-off","STAFF_DROPOFF",IF(K475="Replacements","REPLACEMENT",IF(K475="Central Stores Dispatch","CENTRAL STORES DISPATCH",IFNA(IFNA(VLOOKUP(F475,'Raw Platform Nov 4-6 2025'!C:C,1,FALSE),VLOOKUP(F475,'Raw Platform Nov 4-6 2025'!D:D,1,FALSE)),IFNA(VLOOKUP(F475,'Glovo Raw Nov 4-6 2025'!B:B,1,FALSE),"Not Matched"))))))</f>
      </c>
      <c r="H475">
        <f>COUNTIF(F:F,F475)</f>
      </c>
      <c r="I475" t="s">
        <v>7302</v>
      </c>
      <c r="J475" t="s">
        <v>4915</v>
      </c>
      <c r="K475" t="s">
        <v>4916</v>
      </c>
      <c r="L475" t="s">
        <v>7303</v>
      </c>
      <c r="M475" t="s">
        <v>7304</v>
      </c>
      <c r="N475" t="s">
        <v>6356</v>
      </c>
      <c r="O475" t="s">
        <v>5469</v>
      </c>
      <c r="P475" t="s">
        <v>9</v>
      </c>
      <c r="Q475">
        <v>1882</v>
      </c>
      <c r="R475" t="s">
        <v>5118</v>
      </c>
      <c r="S475" t="s">
        <v>172</v>
      </c>
      <c r="T475" t="s">
        <v>4923</v>
      </c>
      <c r="U475" t="s">
        <v>4924</v>
      </c>
      <c r="V475" t="s">
        <v>7305</v>
      </c>
      <c r="W475" t="s">
        <v>3667</v>
      </c>
      <c r="X475">
        <v>341.5</v>
      </c>
    </row>
    <row r="476" spans="1:24" x14ac:dyDescent="0.25">
      <c r="A476" t="s">
        <v>5130</v>
      </c>
      <c r="B476" t="s">
        <v>7243</v>
      </c>
      <c r="C476" t="s">
        <v>7244</v>
      </c>
      <c r="D476" t="s">
        <v>24</v>
      </c>
      <c r="E476" t="s">
        <v>4913</v>
      </c>
      <c r="F476" t="s">
        <v>1480</v>
      </c>
      <c r="G476">
        <f>IF(K476="Pick-up","PICKUPS",IF(K476="Staff drop-off","STAFF_DROPOFF",IF(K476="Replacements","REPLACEMENT",IF(K476="Central Stores Dispatch","CENTRAL STORES DISPATCH",IFNA(IFNA(VLOOKUP(F476,'Raw Platform Nov 4-6 2025'!C:C,1,FALSE),VLOOKUP(F476,'Raw Platform Nov 4-6 2025'!D:D,1,FALSE)),IFNA(VLOOKUP(F476,'Glovo Raw Nov 4-6 2025'!B:B,1,FALSE),"Not Matched"))))))</f>
      </c>
      <c r="H476">
        <f>COUNTIF(F:F,F476)</f>
      </c>
      <c r="I476" t="s">
        <v>7306</v>
      </c>
      <c r="J476" t="s">
        <v>4915</v>
      </c>
      <c r="K476" t="s">
        <v>4927</v>
      </c>
      <c r="L476" t="s">
        <v>5507</v>
      </c>
      <c r="M476" t="s">
        <v>7307</v>
      </c>
      <c r="N476" t="s">
        <v>7308</v>
      </c>
      <c r="O476" t="s">
        <v>16</v>
      </c>
      <c r="P476" t="s">
        <v>6220</v>
      </c>
      <c r="Q476">
        <v>0</v>
      </c>
      <c r="R476" t="s">
        <v>5118</v>
      </c>
      <c r="S476" t="s">
        <v>116</v>
      </c>
      <c r="T476" t="s">
        <v>4923</v>
      </c>
      <c r="U476" t="s">
        <v>4924</v>
      </c>
      <c r="V476" t="s">
        <v>7309</v>
      </c>
      <c r="W476" t="s">
        <v>3667</v>
      </c>
      <c r="X476">
        <v>265.6</v>
      </c>
    </row>
    <row r="477" spans="1:24" x14ac:dyDescent="0.25">
      <c r="A477" t="s">
        <v>5130</v>
      </c>
      <c r="B477" t="s">
        <v>7243</v>
      </c>
      <c r="C477" t="s">
        <v>7244</v>
      </c>
      <c r="D477" t="s">
        <v>24</v>
      </c>
      <c r="E477" t="s">
        <v>4913</v>
      </c>
      <c r="F477" t="s">
        <v>2366</v>
      </c>
      <c r="G477">
        <f>IF(K477="Pick-up","PICKUPS",IF(K477="Staff drop-off","STAFF_DROPOFF",IF(K477="Replacements","REPLACEMENT",IF(K477="Central Stores Dispatch","CENTRAL STORES DISPATCH",IFNA(IFNA(VLOOKUP(F477,'Raw Platform Nov 4-6 2025'!C:C,1,FALSE),VLOOKUP(F477,'Raw Platform Nov 4-6 2025'!D:D,1,FALSE)),IFNA(VLOOKUP(F477,'Glovo Raw Nov 4-6 2025'!B:B,1,FALSE),"Not Matched"))))))</f>
      </c>
      <c r="H477">
        <f>COUNTIF(F:F,F477)</f>
      </c>
      <c r="I477" t="s">
        <v>7310</v>
      </c>
      <c r="J477" t="s">
        <v>4915</v>
      </c>
      <c r="K477" t="s">
        <v>4927</v>
      </c>
      <c r="L477" t="s">
        <v>7311</v>
      </c>
      <c r="M477" t="s">
        <v>7312</v>
      </c>
      <c r="N477" t="s">
        <v>7313</v>
      </c>
      <c r="O477" t="s">
        <v>26</v>
      </c>
      <c r="P477" t="s">
        <v>4949</v>
      </c>
      <c r="Q477">
        <v>0</v>
      </c>
      <c r="R477" t="s">
        <v>5118</v>
      </c>
      <c r="S477" t="s">
        <v>35</v>
      </c>
      <c r="T477" t="s">
        <v>4923</v>
      </c>
      <c r="U477" t="s">
        <v>4924</v>
      </c>
      <c r="V477" t="s">
        <v>7314</v>
      </c>
      <c r="W477" t="s">
        <v>3667</v>
      </c>
      <c r="X477">
        <v>157.5</v>
      </c>
    </row>
    <row r="478" spans="1:24" x14ac:dyDescent="0.25">
      <c r="A478" t="s">
        <v>5130</v>
      </c>
      <c r="B478" t="s">
        <v>7243</v>
      </c>
      <c r="C478" t="s">
        <v>7244</v>
      </c>
      <c r="D478" t="s">
        <v>24</v>
      </c>
      <c r="E478" t="s">
        <v>4913</v>
      </c>
      <c r="F478" t="s">
        <v>1603</v>
      </c>
      <c r="G478">
        <f>IF(K478="Pick-up","PICKUPS",IF(K478="Staff drop-off","STAFF_DROPOFF",IF(K478="Replacements","REPLACEMENT",IF(K478="Central Stores Dispatch","CENTRAL STORES DISPATCH",IFNA(IFNA(VLOOKUP(F478,'Raw Platform Nov 4-6 2025'!C:C,1,FALSE),VLOOKUP(F478,'Raw Platform Nov 4-6 2025'!D:D,1,FALSE)),IFNA(VLOOKUP(F478,'Glovo Raw Nov 4-6 2025'!B:B,1,FALSE),"Not Matched"))))))</f>
      </c>
      <c r="H478">
        <f>COUNTIF(F:F,F478)</f>
      </c>
      <c r="I478" t="s">
        <v>7315</v>
      </c>
      <c r="J478" t="s">
        <v>4915</v>
      </c>
      <c r="K478" t="s">
        <v>4927</v>
      </c>
      <c r="L478" t="s">
        <v>7316</v>
      </c>
      <c r="M478" t="s">
        <v>7317</v>
      </c>
      <c r="N478" t="s">
        <v>7313</v>
      </c>
      <c r="O478" t="s">
        <v>26</v>
      </c>
      <c r="P478" t="s">
        <v>4949</v>
      </c>
      <c r="Q478">
        <v>0</v>
      </c>
      <c r="R478" t="s">
        <v>5118</v>
      </c>
      <c r="S478" t="s">
        <v>5136</v>
      </c>
      <c r="T478" t="s">
        <v>4923</v>
      </c>
      <c r="U478" t="s">
        <v>4924</v>
      </c>
      <c r="V478" t="s">
        <v>7318</v>
      </c>
      <c r="W478" t="s">
        <v>3667</v>
      </c>
      <c r="X478">
        <v>157.5</v>
      </c>
    </row>
    <row r="479" spans="1:24" x14ac:dyDescent="0.25">
      <c r="A479" t="s">
        <v>5130</v>
      </c>
      <c r="B479" t="s">
        <v>7243</v>
      </c>
      <c r="C479" t="s">
        <v>7244</v>
      </c>
      <c r="D479" t="s">
        <v>24</v>
      </c>
      <c r="E479" t="s">
        <v>4913</v>
      </c>
      <c r="F479" t="s">
        <v>2006</v>
      </c>
      <c r="G479">
        <f>IF(K479="Pick-up","PICKUPS",IF(K479="Staff drop-off","STAFF_DROPOFF",IF(K479="Replacements","REPLACEMENT",IF(K479="Central Stores Dispatch","CENTRAL STORES DISPATCH",IFNA(IFNA(VLOOKUP(F479,'Raw Platform Nov 4-6 2025'!C:C,1,FALSE),VLOOKUP(F479,'Raw Platform Nov 4-6 2025'!D:D,1,FALSE)),IFNA(VLOOKUP(F479,'Glovo Raw Nov 4-6 2025'!B:B,1,FALSE),"Not Matched"))))))</f>
      </c>
      <c r="H479">
        <f>COUNTIF(F:F,F479)</f>
      </c>
      <c r="I479" t="s">
        <v>7319</v>
      </c>
      <c r="J479" t="s">
        <v>4915</v>
      </c>
      <c r="K479" t="s">
        <v>4927</v>
      </c>
      <c r="L479" t="s">
        <v>7320</v>
      </c>
      <c r="M479" t="s">
        <v>7321</v>
      </c>
      <c r="N479" t="s">
        <v>7322</v>
      </c>
      <c r="O479" t="s">
        <v>26</v>
      </c>
      <c r="P479" t="s">
        <v>6592</v>
      </c>
      <c r="Q479">
        <v>0</v>
      </c>
      <c r="R479" t="s">
        <v>5118</v>
      </c>
      <c r="S479" t="s">
        <v>35</v>
      </c>
      <c r="T479" t="s">
        <v>4923</v>
      </c>
      <c r="U479" t="s">
        <v>4924</v>
      </c>
      <c r="V479" t="s">
        <v>7323</v>
      </c>
      <c r="W479" t="s">
        <v>3667</v>
      </c>
      <c r="X479">
        <v>155.2</v>
      </c>
    </row>
    <row r="480" spans="1:24" x14ac:dyDescent="0.25">
      <c r="A480" t="s">
        <v>5130</v>
      </c>
      <c r="B480" t="s">
        <v>7243</v>
      </c>
      <c r="C480" t="s">
        <v>7244</v>
      </c>
      <c r="D480" t="s">
        <v>24</v>
      </c>
      <c r="E480" t="s">
        <v>4913</v>
      </c>
      <c r="F480" t="s">
        <v>1664</v>
      </c>
      <c r="G480">
        <f>IF(K480="Pick-up","PICKUPS",IF(K480="Staff drop-off","STAFF_DROPOFF",IF(K480="Replacements","REPLACEMENT",IF(K480="Central Stores Dispatch","CENTRAL STORES DISPATCH",IFNA(IFNA(VLOOKUP(F480,'Raw Platform Nov 4-6 2025'!C:C,1,FALSE),VLOOKUP(F480,'Raw Platform Nov 4-6 2025'!D:D,1,FALSE)),IFNA(VLOOKUP(F480,'Glovo Raw Nov 4-6 2025'!B:B,1,FALSE),"Not Matched"))))))</f>
      </c>
      <c r="H480">
        <f>COUNTIF(F:F,F480)</f>
      </c>
      <c r="I480" t="s">
        <v>7324</v>
      </c>
      <c r="J480" t="s">
        <v>4915</v>
      </c>
      <c r="K480" t="s">
        <v>4927</v>
      </c>
      <c r="L480" t="s">
        <v>7325</v>
      </c>
      <c r="M480" t="s">
        <v>5217</v>
      </c>
      <c r="N480" t="s">
        <v>5607</v>
      </c>
      <c r="O480" t="s">
        <v>47</v>
      </c>
      <c r="P480" t="s">
        <v>5953</v>
      </c>
      <c r="Q480">
        <v>0</v>
      </c>
      <c r="R480" t="s">
        <v>5118</v>
      </c>
      <c r="S480" t="s">
        <v>45</v>
      </c>
      <c r="T480" t="s">
        <v>4923</v>
      </c>
      <c r="U480" t="s">
        <v>4924</v>
      </c>
      <c r="V480" t="s">
        <v>7326</v>
      </c>
      <c r="W480" t="s">
        <v>3667</v>
      </c>
      <c r="X480">
        <v>118.4</v>
      </c>
    </row>
    <row r="481" spans="1:24" x14ac:dyDescent="0.25">
      <c r="A481" t="s">
        <v>5130</v>
      </c>
      <c r="B481" t="s">
        <v>7243</v>
      </c>
      <c r="C481" t="s">
        <v>7244</v>
      </c>
      <c r="D481" t="s">
        <v>24</v>
      </c>
      <c r="E481" t="s">
        <v>4913</v>
      </c>
      <c r="F481" t="s">
        <v>3137</v>
      </c>
      <c r="G481">
        <f>IF(K481="Pick-up","PICKUPS",IF(K481="Staff drop-off","STAFF_DROPOFF",IF(K481="Replacements","REPLACEMENT",IF(K481="Central Stores Dispatch","CENTRAL STORES DISPATCH",IFNA(IFNA(VLOOKUP(F481,'Raw Platform Nov 4-6 2025'!C:C,1,FALSE),VLOOKUP(F481,'Raw Platform Nov 4-6 2025'!D:D,1,FALSE)),IFNA(VLOOKUP(F481,'Glovo Raw Nov 4-6 2025'!B:B,1,FALSE),"Not Matched"))))))</f>
      </c>
      <c r="H481">
        <f>COUNTIF(F:F,F481)</f>
      </c>
      <c r="I481" t="s">
        <v>7327</v>
      </c>
      <c r="J481" t="s">
        <v>63</v>
      </c>
      <c r="K481" t="s">
        <v>4927</v>
      </c>
      <c r="L481" t="s">
        <v>7328</v>
      </c>
      <c r="M481" t="s">
        <v>7329</v>
      </c>
      <c r="N481" t="s">
        <v>7330</v>
      </c>
      <c r="O481" t="s">
        <v>37</v>
      </c>
      <c r="P481" t="s">
        <v>5236</v>
      </c>
      <c r="Q481">
        <v>0</v>
      </c>
      <c r="R481" t="s">
        <v>5118</v>
      </c>
      <c r="S481" t="s">
        <v>5136</v>
      </c>
      <c r="T481" t="s">
        <v>4923</v>
      </c>
      <c r="U481" t="s">
        <v>4924</v>
      </c>
      <c r="V481" t="s">
        <v>7331</v>
      </c>
      <c r="W481" t="s">
        <v>3667</v>
      </c>
      <c r="X481">
        <v>210.4</v>
      </c>
    </row>
    <row r="482" spans="1:24" x14ac:dyDescent="0.25">
      <c r="A482" t="s">
        <v>5130</v>
      </c>
      <c r="B482" t="s">
        <v>7243</v>
      </c>
      <c r="C482" t="s">
        <v>7244</v>
      </c>
      <c r="D482" t="s">
        <v>24</v>
      </c>
      <c r="E482" t="s">
        <v>4913</v>
      </c>
      <c r="F482" t="s">
        <v>3433</v>
      </c>
      <c r="G482">
        <f>IF(K482="Pick-up","PICKUPS",IF(K482="Staff drop-off","STAFF_DROPOFF",IF(K482="Replacements","REPLACEMENT",IF(K482="Central Stores Dispatch","CENTRAL STORES DISPATCH",IFNA(IFNA(VLOOKUP(F482,'Raw Platform Nov 4-6 2025'!C:C,1,FALSE),VLOOKUP(F482,'Raw Platform Nov 4-6 2025'!D:D,1,FALSE)),IFNA(VLOOKUP(F482,'Glovo Raw Nov 4-6 2025'!B:B,1,FALSE),"Not Matched"))))))</f>
      </c>
      <c r="H482">
        <f>COUNTIF(F:F,F482)</f>
      </c>
      <c r="I482" t="s">
        <v>7332</v>
      </c>
      <c r="J482" t="s">
        <v>5341</v>
      </c>
      <c r="K482" t="s">
        <v>4927</v>
      </c>
      <c r="L482" t="s">
        <v>7333</v>
      </c>
      <c r="M482" t="s">
        <v>7334</v>
      </c>
      <c r="N482" t="s">
        <v>7335</v>
      </c>
      <c r="O482" t="s">
        <v>123</v>
      </c>
      <c r="P482" t="s">
        <v>5698</v>
      </c>
      <c r="Q482">
        <v>0</v>
      </c>
      <c r="R482" t="s">
        <v>5118</v>
      </c>
      <c r="S482" t="s">
        <v>5136</v>
      </c>
      <c r="T482" t="s">
        <v>4923</v>
      </c>
      <c r="U482" t="s">
        <v>4924</v>
      </c>
      <c r="V482" t="s">
        <v>7336</v>
      </c>
      <c r="W482" t="s">
        <v>3667</v>
      </c>
      <c r="X482">
        <v>173.6</v>
      </c>
    </row>
    <row r="483" spans="1:24" x14ac:dyDescent="0.25">
      <c r="A483" t="s">
        <v>5130</v>
      </c>
      <c r="B483" t="s">
        <v>7243</v>
      </c>
      <c r="C483" t="s">
        <v>7244</v>
      </c>
      <c r="D483" t="s">
        <v>24</v>
      </c>
      <c r="E483" t="s">
        <v>4913</v>
      </c>
      <c r="F483" t="s">
        <v>2596</v>
      </c>
      <c r="G483">
        <f>IF(K483="Pick-up","PICKUPS",IF(K483="Staff drop-off","STAFF_DROPOFF",IF(K483="Replacements","REPLACEMENT",IF(K483="Central Stores Dispatch","CENTRAL STORES DISPATCH",IFNA(IFNA(VLOOKUP(F483,'Raw Platform Nov 4-6 2025'!C:C,1,FALSE),VLOOKUP(F483,'Raw Platform Nov 4-6 2025'!D:D,1,FALSE)),IFNA(VLOOKUP(F483,'Glovo Raw Nov 4-6 2025'!B:B,1,FALSE),"Not Matched"))))))</f>
      </c>
      <c r="H483">
        <f>COUNTIF(F:F,F483)</f>
      </c>
      <c r="I483" t="s">
        <v>7337</v>
      </c>
      <c r="J483" t="s">
        <v>4915</v>
      </c>
      <c r="K483" t="s">
        <v>4916</v>
      </c>
      <c r="L483" t="s">
        <v>7338</v>
      </c>
      <c r="M483" t="s">
        <v>7339</v>
      </c>
      <c r="N483" t="s">
        <v>6182</v>
      </c>
      <c r="O483" t="s">
        <v>5937</v>
      </c>
      <c r="P483" t="s">
        <v>6183</v>
      </c>
      <c r="Q483">
        <v>1557</v>
      </c>
      <c r="R483" t="s">
        <v>5118</v>
      </c>
      <c r="S483" t="s">
        <v>5136</v>
      </c>
      <c r="T483" t="s">
        <v>4923</v>
      </c>
      <c r="U483" t="s">
        <v>4924</v>
      </c>
      <c r="V483" t="s">
        <v>7340</v>
      </c>
      <c r="W483" t="s">
        <v>3667</v>
      </c>
      <c r="X483">
        <v>373.7</v>
      </c>
    </row>
    <row r="484" spans="1:24" x14ac:dyDescent="0.25">
      <c r="A484" t="s">
        <v>5130</v>
      </c>
      <c r="B484" t="s">
        <v>7243</v>
      </c>
      <c r="C484" t="s">
        <v>7244</v>
      </c>
      <c r="D484" t="s">
        <v>24</v>
      </c>
      <c r="E484" t="s">
        <v>4913</v>
      </c>
      <c r="F484" t="s">
        <v>2695</v>
      </c>
      <c r="G484">
        <f>IF(K484="Pick-up","PICKUPS",IF(K484="Staff drop-off","STAFF_DROPOFF",IF(K484="Replacements","REPLACEMENT",IF(K484="Central Stores Dispatch","CENTRAL STORES DISPATCH",IFNA(IFNA(VLOOKUP(F484,'Raw Platform Nov 4-6 2025'!C:C,1,FALSE),VLOOKUP(F484,'Raw Platform Nov 4-6 2025'!D:D,1,FALSE)),IFNA(VLOOKUP(F484,'Glovo Raw Nov 4-6 2025'!B:B,1,FALSE),"Not Matched"))))))</f>
      </c>
      <c r="H484">
        <f>COUNTIF(F:F,F484)</f>
      </c>
      <c r="I484" t="s">
        <v>7341</v>
      </c>
      <c r="J484" t="s">
        <v>4915</v>
      </c>
      <c r="K484" t="s">
        <v>4916</v>
      </c>
      <c r="L484" t="s">
        <v>7342</v>
      </c>
      <c r="M484" t="s">
        <v>5217</v>
      </c>
      <c r="N484" t="s">
        <v>7343</v>
      </c>
      <c r="O484" t="s">
        <v>113</v>
      </c>
      <c r="P484" t="s">
        <v>5285</v>
      </c>
      <c r="Q484">
        <v>1320</v>
      </c>
      <c r="R484" t="s">
        <v>5118</v>
      </c>
      <c r="S484" t="s">
        <v>35</v>
      </c>
      <c r="T484" t="s">
        <v>4923</v>
      </c>
      <c r="U484" t="s">
        <v>4924</v>
      </c>
      <c r="V484" t="s">
        <v>7344</v>
      </c>
      <c r="W484" t="s">
        <v>3667</v>
      </c>
      <c r="X484">
        <v>175.9</v>
      </c>
    </row>
    <row r="485" spans="1:24" x14ac:dyDescent="0.25">
      <c r="A485" t="s">
        <v>5130</v>
      </c>
      <c r="B485" t="s">
        <v>7243</v>
      </c>
      <c r="C485" t="s">
        <v>7244</v>
      </c>
      <c r="D485" t="s">
        <v>24</v>
      </c>
      <c r="E485" t="s">
        <v>4913</v>
      </c>
      <c r="F485" t="s">
        <v>3038</v>
      </c>
      <c r="G485">
        <f>IF(K485="Pick-up","PICKUPS",IF(K485="Staff drop-off","STAFF_DROPOFF",IF(K485="Replacements","REPLACEMENT",IF(K485="Central Stores Dispatch","CENTRAL STORES DISPATCH",IFNA(IFNA(VLOOKUP(F485,'Raw Platform Nov 4-6 2025'!C:C,1,FALSE),VLOOKUP(F485,'Raw Platform Nov 4-6 2025'!D:D,1,FALSE)),IFNA(VLOOKUP(F485,'Glovo Raw Nov 4-6 2025'!B:B,1,FALSE),"Not Matched"))))))</f>
      </c>
      <c r="H485">
        <f>COUNTIF(F:F,F485)</f>
      </c>
      <c r="I485" t="s">
        <v>7345</v>
      </c>
      <c r="J485" t="s">
        <v>5028</v>
      </c>
      <c r="K485" t="s">
        <v>4927</v>
      </c>
      <c r="L485" t="s">
        <v>7346</v>
      </c>
      <c r="M485" t="s">
        <v>7347</v>
      </c>
      <c r="N485" t="s">
        <v>7348</v>
      </c>
      <c r="O485" t="s">
        <v>6079</v>
      </c>
      <c r="P485" t="s">
        <v>7349</v>
      </c>
      <c r="Q485">
        <v>0</v>
      </c>
      <c r="R485" t="s">
        <v>5118</v>
      </c>
      <c r="S485" t="s">
        <v>45</v>
      </c>
      <c r="T485" t="s">
        <v>4923</v>
      </c>
      <c r="U485" t="s">
        <v>4924</v>
      </c>
      <c r="V485" t="s">
        <v>7350</v>
      </c>
      <c r="W485" t="s">
        <v>3667</v>
      </c>
      <c r="X485">
        <v>382.9</v>
      </c>
    </row>
    <row r="486" spans="1:24" x14ac:dyDescent="0.25">
      <c r="A486" t="s">
        <v>5130</v>
      </c>
      <c r="B486" t="s">
        <v>7243</v>
      </c>
      <c r="C486" t="s">
        <v>7244</v>
      </c>
      <c r="D486" t="s">
        <v>24</v>
      </c>
      <c r="E486" t="s">
        <v>4913</v>
      </c>
      <c r="F486" t="s">
        <v>7351</v>
      </c>
      <c r="G486">
        <f>IF(K486="Pick-up","PICKUPS",IF(K486="Staff drop-off","STAFF_DROPOFF",IF(K486="Replacements","REPLACEMENT",IF(K486="Central Stores Dispatch","CENTRAL STORES DISPATCH",IFNA(IFNA(VLOOKUP(F486,'Raw Platform Nov 4-6 2025'!C:C,1,FALSE),VLOOKUP(F486,'Raw Platform Nov 4-6 2025'!D:D,1,FALSE)),IFNA(VLOOKUP(F486,'Glovo Raw Nov 4-6 2025'!B:B,1,FALSE),"Not Matched"))))))</f>
      </c>
      <c r="H486">
        <f>COUNTIF(F:F,F486)</f>
      </c>
      <c r="I486" t="s">
        <v>7352</v>
      </c>
      <c r="J486" t="s">
        <v>4915</v>
      </c>
      <c r="K486" t="s">
        <v>4927</v>
      </c>
      <c r="L486" t="s">
        <v>7353</v>
      </c>
      <c r="M486" t="s">
        <v>5217</v>
      </c>
      <c r="N486" t="s">
        <v>7354</v>
      </c>
      <c r="O486" t="s">
        <v>4990</v>
      </c>
      <c r="P486" t="s">
        <v>6558</v>
      </c>
      <c r="Q486">
        <v>0</v>
      </c>
      <c r="R486" t="s">
        <v>5118</v>
      </c>
      <c r="S486" t="s">
        <v>5437</v>
      </c>
      <c r="T486" t="s">
        <v>4923</v>
      </c>
      <c r="U486" t="s">
        <v>4924</v>
      </c>
      <c r="V486" t="s">
        <v>7355</v>
      </c>
      <c r="W486" t="s">
        <v>3667</v>
      </c>
      <c r="X486">
        <v>100</v>
      </c>
    </row>
    <row r="487" spans="1:24" x14ac:dyDescent="0.25">
      <c r="A487" t="s">
        <v>5130</v>
      </c>
      <c r="B487" t="s">
        <v>7243</v>
      </c>
      <c r="C487" t="s">
        <v>7244</v>
      </c>
      <c r="D487" t="s">
        <v>24</v>
      </c>
      <c r="E487" t="s">
        <v>4913</v>
      </c>
      <c r="F487" t="s">
        <v>2756</v>
      </c>
      <c r="G487">
        <f>IF(K487="Pick-up","PICKUPS",IF(K487="Staff drop-off","STAFF_DROPOFF",IF(K487="Replacements","REPLACEMENT",IF(K487="Central Stores Dispatch","CENTRAL STORES DISPATCH",IFNA(IFNA(VLOOKUP(F487,'Raw Platform Nov 4-6 2025'!C:C,1,FALSE),VLOOKUP(F487,'Raw Platform Nov 4-6 2025'!D:D,1,FALSE)),IFNA(VLOOKUP(F487,'Glovo Raw Nov 4-6 2025'!B:B,1,FALSE),"Not Matched"))))))</f>
      </c>
      <c r="H487">
        <f>COUNTIF(F:F,F487)</f>
      </c>
      <c r="I487" t="s">
        <v>7356</v>
      </c>
      <c r="J487" t="s">
        <v>4915</v>
      </c>
      <c r="K487" t="s">
        <v>4927</v>
      </c>
      <c r="L487" t="s">
        <v>7357</v>
      </c>
      <c r="M487" t="s">
        <v>7358</v>
      </c>
      <c r="N487" t="s">
        <v>7359</v>
      </c>
      <c r="O487" t="s">
        <v>9</v>
      </c>
      <c r="P487" t="s">
        <v>7100</v>
      </c>
      <c r="Q487">
        <v>0</v>
      </c>
      <c r="R487" t="s">
        <v>5118</v>
      </c>
      <c r="S487" t="s">
        <v>45</v>
      </c>
      <c r="T487" t="s">
        <v>4923</v>
      </c>
      <c r="U487" t="s">
        <v>4924</v>
      </c>
      <c r="V487" t="s">
        <v>7360</v>
      </c>
      <c r="W487" t="s">
        <v>3667</v>
      </c>
      <c r="X487">
        <v>166.7</v>
      </c>
    </row>
    <row r="488" spans="1:24" x14ac:dyDescent="0.25">
      <c r="A488" t="s">
        <v>5130</v>
      </c>
      <c r="B488" t="s">
        <v>7243</v>
      </c>
      <c r="C488" t="s">
        <v>7244</v>
      </c>
      <c r="D488" t="s">
        <v>24</v>
      </c>
      <c r="E488" t="s">
        <v>4913</v>
      </c>
      <c r="F488" t="s">
        <v>3089</v>
      </c>
      <c r="G488">
        <f>IF(K488="Pick-up","PICKUPS",IF(K488="Staff drop-off","STAFF_DROPOFF",IF(K488="Replacements","REPLACEMENT",IF(K488="Central Stores Dispatch","CENTRAL STORES DISPATCH",IFNA(IFNA(VLOOKUP(F488,'Raw Platform Nov 4-6 2025'!C:C,1,FALSE),VLOOKUP(F488,'Raw Platform Nov 4-6 2025'!D:D,1,FALSE)),IFNA(VLOOKUP(F488,'Glovo Raw Nov 4-6 2025'!B:B,1,FALSE),"Not Matched"))))))</f>
      </c>
      <c r="H488">
        <f>COUNTIF(F:F,F488)</f>
      </c>
      <c r="I488" t="s">
        <v>7361</v>
      </c>
      <c r="J488" t="s">
        <v>63</v>
      </c>
      <c r="K488" t="s">
        <v>4927</v>
      </c>
      <c r="L488" t="s">
        <v>7362</v>
      </c>
      <c r="M488" t="s">
        <v>7363</v>
      </c>
      <c r="N488" t="s">
        <v>7364</v>
      </c>
      <c r="O488" t="s">
        <v>4949</v>
      </c>
      <c r="P488" t="s">
        <v>4950</v>
      </c>
      <c r="Q488">
        <v>0</v>
      </c>
      <c r="R488" t="s">
        <v>5118</v>
      </c>
      <c r="S488" t="s">
        <v>35</v>
      </c>
      <c r="T488" t="s">
        <v>4923</v>
      </c>
      <c r="U488" t="s">
        <v>4924</v>
      </c>
      <c r="V488" t="s">
        <v>7365</v>
      </c>
      <c r="W488" t="s">
        <v>3667</v>
      </c>
      <c r="X488">
        <v>100</v>
      </c>
    </row>
    <row r="489" spans="1:24" x14ac:dyDescent="0.25">
      <c r="A489" t="s">
        <v>5176</v>
      </c>
      <c r="B489" t="s">
        <v>7366</v>
      </c>
      <c r="C489" t="s">
        <v>7367</v>
      </c>
      <c r="D489" t="s">
        <v>30</v>
      </c>
      <c r="E489" t="s">
        <v>4913</v>
      </c>
      <c r="F489" t="s">
        <v>2048</v>
      </c>
      <c r="G489">
        <f>IF(K489="Pick-up","PICKUPS",IF(K489="Staff drop-off","STAFF_DROPOFF",IF(K489="Replacements","REPLACEMENT",IF(K489="Central Stores Dispatch","CENTRAL STORES DISPATCH",IFNA(IFNA(VLOOKUP(F489,'Raw Platform Nov 4-6 2025'!C:C,1,FALSE),VLOOKUP(F489,'Raw Platform Nov 4-6 2025'!D:D,1,FALSE)),IFNA(VLOOKUP(F489,'Glovo Raw Nov 4-6 2025'!B:B,1,FALSE),"Not Matched"))))))</f>
      </c>
      <c r="H489">
        <f>COUNTIF(F:F,F489)</f>
      </c>
      <c r="I489" t="s">
        <v>7368</v>
      </c>
      <c r="J489" t="s">
        <v>5028</v>
      </c>
      <c r="K489" t="s">
        <v>4927</v>
      </c>
      <c r="L489" t="s">
        <v>7369</v>
      </c>
      <c r="M489" t="s">
        <v>7370</v>
      </c>
      <c r="N489" t="s">
        <v>7371</v>
      </c>
      <c r="O489" t="s">
        <v>123</v>
      </c>
      <c r="P489" t="s">
        <v>5062</v>
      </c>
      <c r="Q489">
        <v>1190</v>
      </c>
      <c r="R489" t="s">
        <v>5118</v>
      </c>
      <c r="S489" t="s">
        <v>172</v>
      </c>
      <c r="T489" t="s">
        <v>4923</v>
      </c>
      <c r="U489" t="s">
        <v>4924</v>
      </c>
      <c r="V489" t="s">
        <v>7372</v>
      </c>
      <c r="W489" t="s">
        <v>3667</v>
      </c>
      <c r="X489">
        <v>127.6</v>
      </c>
    </row>
    <row r="490" spans="1:24" x14ac:dyDescent="0.25">
      <c r="A490" t="s">
        <v>5176</v>
      </c>
      <c r="B490" t="s">
        <v>7366</v>
      </c>
      <c r="C490" t="s">
        <v>7367</v>
      </c>
      <c r="D490" t="s">
        <v>30</v>
      </c>
      <c r="E490" t="s">
        <v>4913</v>
      </c>
      <c r="F490" t="s">
        <v>7373</v>
      </c>
      <c r="G490">
        <f>IF(K490="Pick-up","PICKUPS",IF(K490="Staff drop-off","STAFF_DROPOFF",IF(K490="Replacements","REPLACEMENT",IF(K490="Central Stores Dispatch","CENTRAL STORES DISPATCH",IFNA(IFNA(VLOOKUP(F490,'Raw Platform Nov 4-6 2025'!C:C,1,FALSE),VLOOKUP(F490,'Raw Platform Nov 4-6 2025'!D:D,1,FALSE)),IFNA(VLOOKUP(F490,'Glovo Raw Nov 4-6 2025'!B:B,1,FALSE),"Not Matched"))))))</f>
      </c>
      <c r="H490">
        <f>COUNTIF(F:F,F490)</f>
      </c>
      <c r="I490" t="s">
        <v>7374</v>
      </c>
      <c r="J490" t="s">
        <v>5289</v>
      </c>
      <c r="K490" t="s">
        <v>4927</v>
      </c>
      <c r="L490" t="s">
        <v>5326</v>
      </c>
      <c r="M490" t="s">
        <v>5327</v>
      </c>
      <c r="N490" t="s">
        <v>5292</v>
      </c>
      <c r="O490" t="s">
        <v>100</v>
      </c>
      <c r="P490" t="s">
        <v>5328</v>
      </c>
      <c r="Q490">
        <v>0</v>
      </c>
      <c r="R490" t="s">
        <v>5118</v>
      </c>
      <c r="S490" t="s">
        <v>116</v>
      </c>
      <c r="T490" t="s">
        <v>4923</v>
      </c>
      <c r="U490" t="s">
        <v>4924</v>
      </c>
      <c r="V490" t="s">
        <v>7375</v>
      </c>
      <c r="W490" t="s">
        <v>3667</v>
      </c>
      <c r="X490">
        <v>205.8</v>
      </c>
    </row>
    <row r="491" spans="1:24" x14ac:dyDescent="0.25">
      <c r="A491" t="s">
        <v>5176</v>
      </c>
      <c r="B491" t="s">
        <v>7366</v>
      </c>
      <c r="C491" t="s">
        <v>7367</v>
      </c>
      <c r="D491" t="s">
        <v>30</v>
      </c>
      <c r="E491" t="s">
        <v>4913</v>
      </c>
      <c r="F491" t="s">
        <v>7376</v>
      </c>
      <c r="G491">
        <f>IF(K491="Pick-up","PICKUPS",IF(K491="Staff drop-off","STAFF_DROPOFF",IF(K491="Replacements","REPLACEMENT",IF(K491="Central Stores Dispatch","CENTRAL STORES DISPATCH",IFNA(IFNA(VLOOKUP(F491,'Raw Platform Nov 4-6 2025'!C:C,1,FALSE),VLOOKUP(F491,'Raw Platform Nov 4-6 2025'!D:D,1,FALSE)),IFNA(VLOOKUP(F491,'Glovo Raw Nov 4-6 2025'!B:B,1,FALSE),"Not Matched"))))))</f>
      </c>
      <c r="H491">
        <f>COUNTIF(F:F,F491)</f>
      </c>
      <c r="I491" t="s">
        <v>7377</v>
      </c>
      <c r="J491" t="s">
        <v>5289</v>
      </c>
      <c r="K491" t="s">
        <v>4927</v>
      </c>
      <c r="L491" t="s">
        <v>5326</v>
      </c>
      <c r="M491" t="s">
        <v>5327</v>
      </c>
      <c r="N491" t="s">
        <v>5292</v>
      </c>
      <c r="O491" t="s">
        <v>100</v>
      </c>
      <c r="P491" t="s">
        <v>5328</v>
      </c>
      <c r="Q491">
        <v>0</v>
      </c>
      <c r="R491" t="s">
        <v>5118</v>
      </c>
      <c r="S491" t="s">
        <v>116</v>
      </c>
      <c r="T491" t="s">
        <v>4923</v>
      </c>
      <c r="U491" t="s">
        <v>4924</v>
      </c>
      <c r="V491" t="s">
        <v>7378</v>
      </c>
      <c r="W491" t="s">
        <v>3667</v>
      </c>
      <c r="X491">
        <v>205.8</v>
      </c>
    </row>
    <row r="492" spans="1:24" x14ac:dyDescent="0.25">
      <c r="A492" t="s">
        <v>5176</v>
      </c>
      <c r="B492" t="s">
        <v>7366</v>
      </c>
      <c r="C492" t="s">
        <v>7367</v>
      </c>
      <c r="D492" t="s">
        <v>30</v>
      </c>
      <c r="E492" t="s">
        <v>4913</v>
      </c>
      <c r="F492" t="s">
        <v>7379</v>
      </c>
      <c r="G492">
        <f>IF(K492="Pick-up","PICKUPS",IF(K492="Staff drop-off","STAFF_DROPOFF",IF(K492="Replacements","REPLACEMENT",IF(K492="Central Stores Dispatch","CENTRAL STORES DISPATCH",IFNA(IFNA(VLOOKUP(F492,'Raw Platform Nov 4-6 2025'!C:C,1,FALSE),VLOOKUP(F492,'Raw Platform Nov 4-6 2025'!D:D,1,FALSE)),IFNA(VLOOKUP(F492,'Glovo Raw Nov 4-6 2025'!B:B,1,FALSE),"Not Matched"))))))</f>
      </c>
      <c r="H492">
        <f>COUNTIF(F:F,F492)</f>
      </c>
      <c r="I492" t="s">
        <v>7380</v>
      </c>
      <c r="J492" t="s">
        <v>5289</v>
      </c>
      <c r="K492" t="s">
        <v>4927</v>
      </c>
      <c r="L492" t="s">
        <v>5326</v>
      </c>
      <c r="M492" t="s">
        <v>5327</v>
      </c>
      <c r="N492" t="s">
        <v>7381</v>
      </c>
      <c r="O492" t="s">
        <v>100</v>
      </c>
      <c r="P492" t="s">
        <v>2009</v>
      </c>
      <c r="Q492">
        <v>0</v>
      </c>
      <c r="R492" t="s">
        <v>5118</v>
      </c>
      <c r="S492" t="s">
        <v>5293</v>
      </c>
      <c r="T492" t="s">
        <v>4923</v>
      </c>
      <c r="U492" t="s">
        <v>4924</v>
      </c>
      <c r="V492" t="s">
        <v>7382</v>
      </c>
      <c r="W492" t="s">
        <v>3667</v>
      </c>
      <c r="X492">
        <v>203.5</v>
      </c>
    </row>
    <row r="493" spans="1:24" x14ac:dyDescent="0.25">
      <c r="A493" t="s">
        <v>5176</v>
      </c>
      <c r="B493" t="s">
        <v>7366</v>
      </c>
      <c r="C493" t="s">
        <v>7367</v>
      </c>
      <c r="D493" t="s">
        <v>30</v>
      </c>
      <c r="E493" t="s">
        <v>4913</v>
      </c>
      <c r="F493" t="s">
        <v>7383</v>
      </c>
      <c r="G493">
        <f>IF(K493="Pick-up","PICKUPS",IF(K493="Staff drop-off","STAFF_DROPOFF",IF(K493="Replacements","REPLACEMENT",IF(K493="Central Stores Dispatch","CENTRAL STORES DISPATCH",IFNA(IFNA(VLOOKUP(F493,'Raw Platform Nov 4-6 2025'!C:C,1,FALSE),VLOOKUP(F493,'Raw Platform Nov 4-6 2025'!D:D,1,FALSE)),IFNA(VLOOKUP(F493,'Glovo Raw Nov 4-6 2025'!B:B,1,FALSE),"Not Matched"))))))</f>
      </c>
      <c r="H493">
        <f>COUNTIF(F:F,F493)</f>
      </c>
      <c r="I493" t="s">
        <v>7384</v>
      </c>
      <c r="J493" t="s">
        <v>5289</v>
      </c>
      <c r="K493" t="s">
        <v>4927</v>
      </c>
      <c r="L493" t="s">
        <v>5326</v>
      </c>
      <c r="M493" t="s">
        <v>5327</v>
      </c>
      <c r="N493" t="s">
        <v>7385</v>
      </c>
      <c r="O493" t="s">
        <v>26</v>
      </c>
      <c r="P493" t="s">
        <v>5387</v>
      </c>
      <c r="Q493">
        <v>0</v>
      </c>
      <c r="R493" t="s">
        <v>5118</v>
      </c>
      <c r="S493" t="s">
        <v>5293</v>
      </c>
      <c r="T493" t="s">
        <v>4923</v>
      </c>
      <c r="U493" t="s">
        <v>4924</v>
      </c>
      <c r="V493" t="s">
        <v>7386</v>
      </c>
      <c r="W493" t="s">
        <v>3667</v>
      </c>
      <c r="X493">
        <v>152.9</v>
      </c>
    </row>
    <row r="494" spans="1:24" x14ac:dyDescent="0.25">
      <c r="A494" t="s">
        <v>5176</v>
      </c>
      <c r="B494" t="s">
        <v>7366</v>
      </c>
      <c r="C494" t="s">
        <v>7367</v>
      </c>
      <c r="D494" t="s">
        <v>30</v>
      </c>
      <c r="E494" t="s">
        <v>4913</v>
      </c>
      <c r="F494" t="s">
        <v>7387</v>
      </c>
      <c r="G494">
        <f>IF(K494="Pick-up","PICKUPS",IF(K494="Staff drop-off","STAFF_DROPOFF",IF(K494="Replacements","REPLACEMENT",IF(K494="Central Stores Dispatch","CENTRAL STORES DISPATCH",IFNA(IFNA(VLOOKUP(F494,'Raw Platform Nov 4-6 2025'!C:C,1,FALSE),VLOOKUP(F494,'Raw Platform Nov 4-6 2025'!D:D,1,FALSE)),IFNA(VLOOKUP(F494,'Glovo Raw Nov 4-6 2025'!B:B,1,FALSE),"Not Matched"))))))</f>
      </c>
      <c r="H494">
        <f>COUNTIF(F:F,F494)</f>
      </c>
      <c r="I494" t="s">
        <v>7388</v>
      </c>
      <c r="J494" t="s">
        <v>5289</v>
      </c>
      <c r="K494" t="s">
        <v>4927</v>
      </c>
      <c r="L494" t="s">
        <v>5326</v>
      </c>
      <c r="M494" t="s">
        <v>5327</v>
      </c>
      <c r="N494" t="s">
        <v>5292</v>
      </c>
      <c r="O494" t="s">
        <v>100</v>
      </c>
      <c r="P494" t="s">
        <v>5328</v>
      </c>
      <c r="Q494">
        <v>0</v>
      </c>
      <c r="R494" t="s">
        <v>5118</v>
      </c>
      <c r="S494" t="s">
        <v>116</v>
      </c>
      <c r="T494" t="s">
        <v>4923</v>
      </c>
      <c r="U494" t="s">
        <v>4924</v>
      </c>
      <c r="V494" t="s">
        <v>7389</v>
      </c>
      <c r="W494" t="s">
        <v>3667</v>
      </c>
      <c r="X494">
        <v>205.8</v>
      </c>
    </row>
    <row r="495" spans="1:24" x14ac:dyDescent="0.25">
      <c r="A495" t="s">
        <v>5176</v>
      </c>
      <c r="B495" t="s">
        <v>7366</v>
      </c>
      <c r="C495" t="s">
        <v>7367</v>
      </c>
      <c r="D495" t="s">
        <v>30</v>
      </c>
      <c r="E495" t="s">
        <v>4913</v>
      </c>
      <c r="F495" t="s">
        <v>2138</v>
      </c>
      <c r="G495">
        <f>IF(K495="Pick-up","PICKUPS",IF(K495="Staff drop-off","STAFF_DROPOFF",IF(K495="Replacements","REPLACEMENT",IF(K495="Central Stores Dispatch","CENTRAL STORES DISPATCH",IFNA(IFNA(VLOOKUP(F495,'Raw Platform Nov 4-6 2025'!C:C,1,FALSE),VLOOKUP(F495,'Raw Platform Nov 4-6 2025'!D:D,1,FALSE)),IFNA(VLOOKUP(F495,'Glovo Raw Nov 4-6 2025'!B:B,1,FALSE),"Not Matched"))))))</f>
      </c>
      <c r="H495">
        <f>COUNTIF(F:F,F495)</f>
      </c>
      <c r="I495" t="s">
        <v>7390</v>
      </c>
      <c r="J495" t="s">
        <v>4915</v>
      </c>
      <c r="K495" t="s">
        <v>4927</v>
      </c>
      <c r="L495" t="s">
        <v>7391</v>
      </c>
      <c r="M495" t="s">
        <v>5284</v>
      </c>
      <c r="N495" t="s">
        <v>4973</v>
      </c>
      <c r="O495" t="s">
        <v>123</v>
      </c>
      <c r="P495" t="s">
        <v>5820</v>
      </c>
      <c r="Q495">
        <v>0</v>
      </c>
      <c r="R495" t="s">
        <v>5118</v>
      </c>
      <c r="S495" t="s">
        <v>116</v>
      </c>
      <c r="T495" t="s">
        <v>4923</v>
      </c>
      <c r="U495" t="s">
        <v>4924</v>
      </c>
      <c r="V495" t="s">
        <v>7392</v>
      </c>
      <c r="W495" t="s">
        <v>3667</v>
      </c>
      <c r="X495">
        <v>139.1</v>
      </c>
    </row>
    <row r="496" spans="1:24" x14ac:dyDescent="0.25">
      <c r="A496" t="s">
        <v>5176</v>
      </c>
      <c r="B496" t="s">
        <v>7366</v>
      </c>
      <c r="C496" t="s">
        <v>7367</v>
      </c>
      <c r="D496" t="s">
        <v>30</v>
      </c>
      <c r="E496" t="s">
        <v>4913</v>
      </c>
      <c r="F496" t="s">
        <v>7393</v>
      </c>
      <c r="G496">
        <f>IF(K496="Pick-up","PICKUPS",IF(K496="Staff drop-off","STAFF_DROPOFF",IF(K496="Replacements","REPLACEMENT",IF(K496="Central Stores Dispatch","CENTRAL STORES DISPATCH",IFNA(IFNA(VLOOKUP(F496,'Raw Platform Nov 4-6 2025'!C:C,1,FALSE),VLOOKUP(F496,'Raw Platform Nov 4-6 2025'!D:D,1,FALSE)),IFNA(VLOOKUP(F496,'Glovo Raw Nov 4-6 2025'!B:B,1,FALSE),"Not Matched"))))))</f>
      </c>
      <c r="H496">
        <f>COUNTIF(F:F,F496)</f>
      </c>
      <c r="I496" t="s">
        <v>7394</v>
      </c>
      <c r="J496" t="s">
        <v>5289</v>
      </c>
      <c r="K496" t="s">
        <v>4927</v>
      </c>
      <c r="L496" t="s">
        <v>5326</v>
      </c>
      <c r="M496" t="s">
        <v>5327</v>
      </c>
      <c r="N496" t="s">
        <v>5292</v>
      </c>
      <c r="O496" t="s">
        <v>100</v>
      </c>
      <c r="P496" t="s">
        <v>5328</v>
      </c>
      <c r="Q496">
        <v>0</v>
      </c>
      <c r="R496" t="s">
        <v>5118</v>
      </c>
      <c r="S496" t="s">
        <v>116</v>
      </c>
      <c r="T496" t="s">
        <v>4923</v>
      </c>
      <c r="U496" t="s">
        <v>4924</v>
      </c>
      <c r="V496" t="s">
        <v>7395</v>
      </c>
      <c r="W496" t="s">
        <v>3667</v>
      </c>
      <c r="X496">
        <v>205.8</v>
      </c>
    </row>
    <row r="497" spans="1:24" x14ac:dyDescent="0.25">
      <c r="A497" t="s">
        <v>5176</v>
      </c>
      <c r="B497" t="s">
        <v>7366</v>
      </c>
      <c r="C497" t="s">
        <v>7367</v>
      </c>
      <c r="D497" t="s">
        <v>30</v>
      </c>
      <c r="E497" t="s">
        <v>4913</v>
      </c>
      <c r="F497" t="s">
        <v>1460</v>
      </c>
      <c r="G497">
        <f>IF(K497="Pick-up","PICKUPS",IF(K497="Staff drop-off","STAFF_DROPOFF",IF(K497="Replacements","REPLACEMENT",IF(K497="Central Stores Dispatch","CENTRAL STORES DISPATCH",IFNA(IFNA(VLOOKUP(F497,'Raw Platform Nov 4-6 2025'!C:C,1,FALSE),VLOOKUP(F497,'Raw Platform Nov 4-6 2025'!D:D,1,FALSE)),IFNA(VLOOKUP(F497,'Glovo Raw Nov 4-6 2025'!B:B,1,FALSE),"Not Matched"))))))</f>
      </c>
      <c r="H497">
        <f>COUNTIF(F:F,F497)</f>
      </c>
      <c r="I497" t="s">
        <v>7396</v>
      </c>
      <c r="J497" t="s">
        <v>5028</v>
      </c>
      <c r="K497" t="s">
        <v>4927</v>
      </c>
      <c r="L497" t="s">
        <v>7397</v>
      </c>
      <c r="M497" t="s">
        <v>7398</v>
      </c>
      <c r="N497" t="s">
        <v>7399</v>
      </c>
      <c r="O497" t="s">
        <v>123</v>
      </c>
      <c r="P497" t="s">
        <v>6305</v>
      </c>
      <c r="Q497">
        <v>0</v>
      </c>
      <c r="R497" t="s">
        <v>5118</v>
      </c>
      <c r="S497" t="s">
        <v>172</v>
      </c>
      <c r="T497" t="s">
        <v>4923</v>
      </c>
      <c r="U497" t="s">
        <v>4924</v>
      </c>
      <c r="V497" t="s">
        <v>7400</v>
      </c>
      <c r="W497" t="s">
        <v>3667</v>
      </c>
      <c r="X497">
        <v>143.7</v>
      </c>
    </row>
    <row r="498" spans="1:24" x14ac:dyDescent="0.25">
      <c r="A498" t="s">
        <v>5130</v>
      </c>
      <c r="B498" t="s">
        <v>7401</v>
      </c>
      <c r="C498" t="s">
        <v>7402</v>
      </c>
      <c r="D498" t="s">
        <v>24</v>
      </c>
      <c r="E498" t="s">
        <v>4913</v>
      </c>
      <c r="F498" t="s">
        <v>870</v>
      </c>
      <c r="G498">
        <f>IF(K498="Pick-up","PICKUPS",IF(K498="Staff drop-off","STAFF_DROPOFF",IF(K498="Replacements","REPLACEMENT",IF(K498="Central Stores Dispatch","CENTRAL STORES DISPATCH",IFNA(IFNA(VLOOKUP(F498,'Raw Platform Nov 4-6 2025'!C:C,1,FALSE),VLOOKUP(F498,'Raw Platform Nov 4-6 2025'!D:D,1,FALSE)),IFNA(VLOOKUP(F498,'Glovo Raw Nov 4-6 2025'!B:B,1,FALSE),"Not Matched"))))))</f>
      </c>
      <c r="H498">
        <f>COUNTIF(F:F,F498)</f>
      </c>
      <c r="I498" t="s">
        <v>7403</v>
      </c>
      <c r="J498" t="s">
        <v>4915</v>
      </c>
      <c r="K498" t="s">
        <v>4927</v>
      </c>
      <c r="L498" t="s">
        <v>7404</v>
      </c>
      <c r="M498" t="s">
        <v>7405</v>
      </c>
      <c r="N498" t="s">
        <v>5127</v>
      </c>
      <c r="O498" t="s">
        <v>47</v>
      </c>
      <c r="P498" t="s">
        <v>4990</v>
      </c>
      <c r="Q498">
        <v>0</v>
      </c>
      <c r="R498" t="s">
        <v>5118</v>
      </c>
      <c r="S498" t="s">
        <v>50</v>
      </c>
      <c r="T498" t="s">
        <v>4923</v>
      </c>
      <c r="U498" t="s">
        <v>4924</v>
      </c>
      <c r="V498" t="s">
        <v>7406</v>
      </c>
      <c r="W498" t="s">
        <v>3667</v>
      </c>
      <c r="X498">
        <v>111.5</v>
      </c>
    </row>
    <row r="499" spans="1:24" x14ac:dyDescent="0.25">
      <c r="A499" t="s">
        <v>5130</v>
      </c>
      <c r="B499" t="s">
        <v>7401</v>
      </c>
      <c r="C499" t="s">
        <v>7402</v>
      </c>
      <c r="D499" t="s">
        <v>24</v>
      </c>
      <c r="E499" t="s">
        <v>4913</v>
      </c>
      <c r="F499" t="s">
        <v>683</v>
      </c>
      <c r="G499">
        <f>IF(K499="Pick-up","PICKUPS",IF(K499="Staff drop-off","STAFF_DROPOFF",IF(K499="Replacements","REPLACEMENT",IF(K499="Central Stores Dispatch","CENTRAL STORES DISPATCH",IFNA(IFNA(VLOOKUP(F499,'Raw Platform Nov 4-6 2025'!C:C,1,FALSE),VLOOKUP(F499,'Raw Platform Nov 4-6 2025'!D:D,1,FALSE)),IFNA(VLOOKUP(F499,'Glovo Raw Nov 4-6 2025'!B:B,1,FALSE),"Not Matched"))))))</f>
      </c>
      <c r="H499">
        <f>COUNTIF(F:F,F499)</f>
      </c>
      <c r="I499" t="s">
        <v>7407</v>
      </c>
      <c r="J499" t="s">
        <v>4915</v>
      </c>
      <c r="K499" t="s">
        <v>4927</v>
      </c>
      <c r="L499" t="s">
        <v>7408</v>
      </c>
      <c r="M499" t="s">
        <v>7409</v>
      </c>
      <c r="N499" t="s">
        <v>5012</v>
      </c>
      <c r="O499" t="s">
        <v>4920</v>
      </c>
      <c r="P499" t="s">
        <v>5056</v>
      </c>
      <c r="Q499">
        <v>0</v>
      </c>
      <c r="R499" t="s">
        <v>5118</v>
      </c>
      <c r="S499" t="s">
        <v>5136</v>
      </c>
      <c r="T499" t="s">
        <v>4923</v>
      </c>
      <c r="U499" t="s">
        <v>4924</v>
      </c>
      <c r="V499" t="s">
        <v>7410</v>
      </c>
      <c r="W499" t="s">
        <v>3667</v>
      </c>
      <c r="X499">
        <v>100</v>
      </c>
    </row>
    <row r="500" spans="1:24" x14ac:dyDescent="0.25">
      <c r="A500" t="s">
        <v>5130</v>
      </c>
      <c r="B500" t="s">
        <v>7401</v>
      </c>
      <c r="C500" t="s">
        <v>7402</v>
      </c>
      <c r="D500" t="s">
        <v>24</v>
      </c>
      <c r="E500" t="s">
        <v>4913</v>
      </c>
      <c r="F500" t="s">
        <v>1215</v>
      </c>
      <c r="G500">
        <f>IF(K500="Pick-up","PICKUPS",IF(K500="Staff drop-off","STAFF_DROPOFF",IF(K500="Replacements","REPLACEMENT",IF(K500="Central Stores Dispatch","CENTRAL STORES DISPATCH",IFNA(IFNA(VLOOKUP(F500,'Raw Platform Nov 4-6 2025'!C:C,1,FALSE),VLOOKUP(F500,'Raw Platform Nov 4-6 2025'!D:D,1,FALSE)),IFNA(VLOOKUP(F500,'Glovo Raw Nov 4-6 2025'!B:B,1,FALSE),"Not Matched"))))))</f>
      </c>
      <c r="H500">
        <f>COUNTIF(F:F,F500)</f>
      </c>
      <c r="I500" t="s">
        <v>7411</v>
      </c>
      <c r="J500" t="s">
        <v>4915</v>
      </c>
      <c r="K500" t="s">
        <v>4927</v>
      </c>
      <c r="L500" t="s">
        <v>7412</v>
      </c>
      <c r="M500" t="s">
        <v>7413</v>
      </c>
      <c r="N500" t="s">
        <v>7414</v>
      </c>
      <c r="O500" t="s">
        <v>9</v>
      </c>
      <c r="P500" t="s">
        <v>7415</v>
      </c>
      <c r="Q500">
        <v>0</v>
      </c>
      <c r="R500" t="s">
        <v>5118</v>
      </c>
      <c r="S500" t="s">
        <v>5136</v>
      </c>
      <c r="T500" t="s">
        <v>4923</v>
      </c>
      <c r="U500" t="s">
        <v>4924</v>
      </c>
      <c r="V500" t="s">
        <v>7416</v>
      </c>
      <c r="W500" t="s">
        <v>3667</v>
      </c>
      <c r="X500">
        <v>284</v>
      </c>
    </row>
    <row r="501" spans="1:24" x14ac:dyDescent="0.25">
      <c r="A501" t="s">
        <v>5130</v>
      </c>
      <c r="B501" t="s">
        <v>7401</v>
      </c>
      <c r="C501" t="s">
        <v>7402</v>
      </c>
      <c r="D501" t="s">
        <v>24</v>
      </c>
      <c r="E501" t="s">
        <v>4913</v>
      </c>
      <c r="F501" t="s">
        <v>340</v>
      </c>
      <c r="G501">
        <f>IF(K501="Pick-up","PICKUPS",IF(K501="Staff drop-off","STAFF_DROPOFF",IF(K501="Replacements","REPLACEMENT",IF(K501="Central Stores Dispatch","CENTRAL STORES DISPATCH",IFNA(IFNA(VLOOKUP(F501,'Raw Platform Nov 4-6 2025'!C:C,1,FALSE),VLOOKUP(F501,'Raw Platform Nov 4-6 2025'!D:D,1,FALSE)),IFNA(VLOOKUP(F501,'Glovo Raw Nov 4-6 2025'!B:B,1,FALSE),"Not Matched"))))))</f>
      </c>
      <c r="H501">
        <f>COUNTIF(F:F,F501)</f>
      </c>
      <c r="I501" t="s">
        <v>7417</v>
      </c>
      <c r="J501" t="s">
        <v>4915</v>
      </c>
      <c r="K501" t="s">
        <v>4927</v>
      </c>
      <c r="L501" t="s">
        <v>7418</v>
      </c>
      <c r="M501" t="s">
        <v>7419</v>
      </c>
      <c r="N501" t="s">
        <v>7420</v>
      </c>
      <c r="O501" t="s">
        <v>9</v>
      </c>
      <c r="P501" t="s">
        <v>5436</v>
      </c>
      <c r="Q501">
        <v>0</v>
      </c>
      <c r="R501" t="s">
        <v>5118</v>
      </c>
      <c r="S501" t="s">
        <v>5136</v>
      </c>
      <c r="T501" t="s">
        <v>4923</v>
      </c>
      <c r="U501" t="s">
        <v>4924</v>
      </c>
      <c r="V501" t="s">
        <v>7421</v>
      </c>
      <c r="W501" t="s">
        <v>3667</v>
      </c>
      <c r="X501">
        <v>164.4</v>
      </c>
    </row>
    <row r="502" spans="1:24" x14ac:dyDescent="0.25">
      <c r="A502" t="s">
        <v>5130</v>
      </c>
      <c r="B502" t="s">
        <v>7401</v>
      </c>
      <c r="C502" t="s">
        <v>7402</v>
      </c>
      <c r="D502" t="s">
        <v>24</v>
      </c>
      <c r="E502" t="s">
        <v>4913</v>
      </c>
      <c r="F502" t="s">
        <v>590</v>
      </c>
      <c r="G502">
        <f>IF(K502="Pick-up","PICKUPS",IF(K502="Staff drop-off","STAFF_DROPOFF",IF(K502="Replacements","REPLACEMENT",IF(K502="Central Stores Dispatch","CENTRAL STORES DISPATCH",IFNA(IFNA(VLOOKUP(F502,'Raw Platform Nov 4-6 2025'!C:C,1,FALSE),VLOOKUP(F502,'Raw Platform Nov 4-6 2025'!D:D,1,FALSE)),IFNA(VLOOKUP(F502,'Glovo Raw Nov 4-6 2025'!B:B,1,FALSE),"Not Matched"))))))</f>
      </c>
      <c r="H502">
        <f>COUNTIF(F:F,F502)</f>
      </c>
      <c r="I502" t="s">
        <v>7422</v>
      </c>
      <c r="J502" t="s">
        <v>63</v>
      </c>
      <c r="K502" t="s">
        <v>4927</v>
      </c>
      <c r="L502" t="s">
        <v>7423</v>
      </c>
      <c r="M502" t="s">
        <v>7424</v>
      </c>
      <c r="N502" t="s">
        <v>5270</v>
      </c>
      <c r="O502" t="s">
        <v>77</v>
      </c>
      <c r="P502" t="s">
        <v>5271</v>
      </c>
      <c r="Q502">
        <v>0</v>
      </c>
      <c r="R502" t="s">
        <v>5118</v>
      </c>
      <c r="S502" t="s">
        <v>35</v>
      </c>
      <c r="T502" t="s">
        <v>4923</v>
      </c>
      <c r="U502" t="s">
        <v>4924</v>
      </c>
      <c r="V502" t="s">
        <v>7425</v>
      </c>
      <c r="W502" t="s">
        <v>3667</v>
      </c>
      <c r="X502">
        <v>182.8</v>
      </c>
    </row>
    <row r="503" spans="1:24" x14ac:dyDescent="0.25">
      <c r="A503" t="s">
        <v>5231</v>
      </c>
      <c r="B503" t="s">
        <v>7401</v>
      </c>
      <c r="C503" t="s">
        <v>7402</v>
      </c>
      <c r="D503" t="s">
        <v>191</v>
      </c>
      <c r="E503" t="s">
        <v>4913</v>
      </c>
      <c r="F503" t="s">
        <v>190</v>
      </c>
      <c r="G503">
        <f>IF(K503="Pick-up","PICKUPS",IF(K503="Staff drop-off","STAFF_DROPOFF",IF(K503="Replacements","REPLACEMENT",IF(K503="Central Stores Dispatch","CENTRAL STORES DISPATCH",IFNA(IFNA(VLOOKUP(F503,'Raw Platform Nov 4-6 2025'!C:C,1,FALSE),VLOOKUP(F503,'Raw Platform Nov 4-6 2025'!D:D,1,FALSE)),IFNA(VLOOKUP(F503,'Glovo Raw Nov 4-6 2025'!B:B,1,FALSE),"Not Matched"))))))</f>
      </c>
      <c r="H503">
        <f>COUNTIF(F:F,F503)</f>
      </c>
      <c r="I503" t="s">
        <v>7426</v>
      </c>
      <c r="J503" t="s">
        <v>63</v>
      </c>
      <c r="K503" t="s">
        <v>4916</v>
      </c>
      <c r="L503" t="s">
        <v>7427</v>
      </c>
      <c r="M503" t="s">
        <v>7428</v>
      </c>
      <c r="N503" t="s">
        <v>5630</v>
      </c>
      <c r="O503" t="s">
        <v>37</v>
      </c>
      <c r="P503" t="s">
        <v>5631</v>
      </c>
      <c r="Q503">
        <v>3919</v>
      </c>
      <c r="R503" t="s">
        <v>5118</v>
      </c>
      <c r="S503" t="s">
        <v>5699</v>
      </c>
      <c r="T503" t="s">
        <v>4923</v>
      </c>
      <c r="U503" t="s">
        <v>4924</v>
      </c>
      <c r="V503" t="s">
        <v>7429</v>
      </c>
      <c r="W503" t="s">
        <v>3667</v>
      </c>
      <c r="X503">
        <v>307</v>
      </c>
    </row>
    <row r="504" spans="1:24" x14ac:dyDescent="0.25">
      <c r="A504" t="s">
        <v>5231</v>
      </c>
      <c r="B504" t="s">
        <v>7401</v>
      </c>
      <c r="C504" t="s">
        <v>7402</v>
      </c>
      <c r="D504" t="s">
        <v>191</v>
      </c>
      <c r="E504" t="s">
        <v>4913</v>
      </c>
      <c r="F504" t="s">
        <v>1153</v>
      </c>
      <c r="G504">
        <f>IF(K504="Pick-up","PICKUPS",IF(K504="Staff drop-off","STAFF_DROPOFF",IF(K504="Replacements","REPLACEMENT",IF(K504="Central Stores Dispatch","CENTRAL STORES DISPATCH",IFNA(IFNA(VLOOKUP(F504,'Raw Platform Nov 4-6 2025'!C:C,1,FALSE),VLOOKUP(F504,'Raw Platform Nov 4-6 2025'!D:D,1,FALSE)),IFNA(VLOOKUP(F504,'Glovo Raw Nov 4-6 2025'!B:B,1,FALSE),"Not Matched"))))))</f>
      </c>
      <c r="H504">
        <f>COUNTIF(F:F,F504)</f>
      </c>
      <c r="I504" t="s">
        <v>7280</v>
      </c>
      <c r="J504" t="s">
        <v>4915</v>
      </c>
      <c r="K504" t="s">
        <v>4916</v>
      </c>
      <c r="L504" t="s">
        <v>7430</v>
      </c>
      <c r="M504" t="s">
        <v>7431</v>
      </c>
      <c r="N504" t="s">
        <v>7432</v>
      </c>
      <c r="O504" t="s">
        <v>5534</v>
      </c>
      <c r="P504" t="s">
        <v>5535</v>
      </c>
      <c r="Q504">
        <v>1092</v>
      </c>
      <c r="R504" t="s">
        <v>5118</v>
      </c>
      <c r="S504" t="s">
        <v>467</v>
      </c>
      <c r="T504" t="s">
        <v>4923</v>
      </c>
      <c r="U504" t="s">
        <v>4924</v>
      </c>
      <c r="V504" t="s">
        <v>7433</v>
      </c>
      <c r="W504" t="s">
        <v>3667</v>
      </c>
      <c r="X504">
        <v>346.1</v>
      </c>
    </row>
    <row r="505" spans="1:24" x14ac:dyDescent="0.25">
      <c r="A505" t="s">
        <v>4932</v>
      </c>
      <c r="B505" t="s">
        <v>7401</v>
      </c>
      <c r="C505" t="s">
        <v>7402</v>
      </c>
      <c r="D505" t="s">
        <v>13</v>
      </c>
      <c r="E505" t="s">
        <v>4913</v>
      </c>
      <c r="F505" t="s">
        <v>1580</v>
      </c>
      <c r="G505">
        <f>IF(K505="Pick-up","PICKUPS",IF(K505="Staff drop-off","STAFF_DROPOFF",IF(K505="Replacements","REPLACEMENT",IF(K505="Central Stores Dispatch","CENTRAL STORES DISPATCH",IFNA(IFNA(VLOOKUP(F505,'Raw Platform Nov 4-6 2025'!C:C,1,FALSE),VLOOKUP(F505,'Raw Platform Nov 4-6 2025'!D:D,1,FALSE)),IFNA(VLOOKUP(F505,'Glovo Raw Nov 4-6 2025'!B:B,1,FALSE),"Not Matched"))))))</f>
      </c>
      <c r="H505">
        <f>COUNTIF(F:F,F505)</f>
      </c>
      <c r="I505" t="s">
        <v>7434</v>
      </c>
      <c r="J505" t="s">
        <v>4915</v>
      </c>
      <c r="K505" t="s">
        <v>4916</v>
      </c>
      <c r="L505" t="s">
        <v>7435</v>
      </c>
      <c r="M505" t="s">
        <v>7436</v>
      </c>
      <c r="N505" t="s">
        <v>6261</v>
      </c>
      <c r="O505" t="s">
        <v>42</v>
      </c>
      <c r="P505" t="s">
        <v>5631</v>
      </c>
      <c r="Q505">
        <v>896</v>
      </c>
      <c r="R505" t="s">
        <v>5118</v>
      </c>
      <c r="S505" t="s">
        <v>29</v>
      </c>
      <c r="T505" t="s">
        <v>4923</v>
      </c>
      <c r="U505" t="s">
        <v>4924</v>
      </c>
      <c r="V505" t="s">
        <v>7437</v>
      </c>
      <c r="W505" t="s">
        <v>3667</v>
      </c>
      <c r="X505">
        <v>307</v>
      </c>
    </row>
    <row r="506" spans="1:24" x14ac:dyDescent="0.25">
      <c r="A506" t="s">
        <v>5130</v>
      </c>
      <c r="B506" t="s">
        <v>7401</v>
      </c>
      <c r="C506" t="s">
        <v>7402</v>
      </c>
      <c r="D506" t="s">
        <v>24</v>
      </c>
      <c r="E506" t="s">
        <v>4913</v>
      </c>
      <c r="F506" t="s">
        <v>7438</v>
      </c>
      <c r="G506">
        <f>IF(K506="Pick-up","PICKUPS",IF(K506="Staff drop-off","STAFF_DROPOFF",IF(K506="Replacements","REPLACEMENT",IF(K506="Central Stores Dispatch","CENTRAL STORES DISPATCH",IFNA(IFNA(VLOOKUP(F506,'Raw Platform Nov 4-6 2025'!C:C,1,FALSE),VLOOKUP(F506,'Raw Platform Nov 4-6 2025'!D:D,1,FALSE)),IFNA(VLOOKUP(F506,'Glovo Raw Nov 4-6 2025'!B:B,1,FALSE),"Not Matched"))))))</f>
      </c>
      <c r="H506">
        <f>COUNTIF(F:F,F506)</f>
      </c>
      <c r="I506" t="s">
        <v>7439</v>
      </c>
      <c r="J506" t="s">
        <v>4915</v>
      </c>
      <c r="K506" t="s">
        <v>4927</v>
      </c>
      <c r="L506" t="s">
        <v>7440</v>
      </c>
      <c r="M506" t="s">
        <v>5217</v>
      </c>
      <c r="N506" t="s">
        <v>7441</v>
      </c>
      <c r="O506" t="s">
        <v>7232</v>
      </c>
      <c r="P506" t="s">
        <v>7442</v>
      </c>
      <c r="Q506">
        <v>0</v>
      </c>
      <c r="R506" t="s">
        <v>5118</v>
      </c>
      <c r="S506" t="s">
        <v>172</v>
      </c>
      <c r="T506" t="s">
        <v>4923</v>
      </c>
      <c r="U506" t="s">
        <v>4924</v>
      </c>
      <c r="V506" t="s">
        <v>7443</v>
      </c>
      <c r="W506" t="s">
        <v>3667</v>
      </c>
      <c r="X506">
        <v>371.4</v>
      </c>
    </row>
    <row r="507" spans="1:24" x14ac:dyDescent="0.25">
      <c r="A507" t="s">
        <v>5231</v>
      </c>
      <c r="B507" t="s">
        <v>7401</v>
      </c>
      <c r="C507" t="s">
        <v>7402</v>
      </c>
      <c r="D507" t="s">
        <v>191</v>
      </c>
      <c r="E507" t="s">
        <v>4913</v>
      </c>
      <c r="F507" t="s">
        <v>2360</v>
      </c>
      <c r="G507">
        <f>IF(K507="Pick-up","PICKUPS",IF(K507="Staff drop-off","STAFF_DROPOFF",IF(K507="Replacements","REPLACEMENT",IF(K507="Central Stores Dispatch","CENTRAL STORES DISPATCH",IFNA(IFNA(VLOOKUP(F507,'Raw Platform Nov 4-6 2025'!C:C,1,FALSE),VLOOKUP(F507,'Raw Platform Nov 4-6 2025'!D:D,1,FALSE)),IFNA(VLOOKUP(F507,'Glovo Raw Nov 4-6 2025'!B:B,1,FALSE),"Not Matched"))))))</f>
      </c>
      <c r="H507">
        <f>COUNTIF(F:F,F507)</f>
      </c>
      <c r="I507" t="s">
        <v>7444</v>
      </c>
      <c r="J507" t="s">
        <v>4915</v>
      </c>
      <c r="K507" t="s">
        <v>4927</v>
      </c>
      <c r="L507" t="s">
        <v>7445</v>
      </c>
      <c r="M507" t="s">
        <v>7446</v>
      </c>
      <c r="N507" t="s">
        <v>7447</v>
      </c>
      <c r="O507" t="s">
        <v>42</v>
      </c>
      <c r="P507" t="s">
        <v>5685</v>
      </c>
      <c r="Q507">
        <v>0</v>
      </c>
      <c r="R507" t="s">
        <v>5118</v>
      </c>
      <c r="S507" t="s">
        <v>5184</v>
      </c>
      <c r="T507" t="s">
        <v>4923</v>
      </c>
      <c r="U507" t="s">
        <v>4924</v>
      </c>
      <c r="V507" t="s">
        <v>7448</v>
      </c>
      <c r="W507" t="s">
        <v>3667</v>
      </c>
      <c r="X507">
        <v>261</v>
      </c>
    </row>
    <row r="508" spans="1:24" x14ac:dyDescent="0.25">
      <c r="A508" t="s">
        <v>5130</v>
      </c>
      <c r="B508" t="s">
        <v>7401</v>
      </c>
      <c r="C508" t="s">
        <v>7402</v>
      </c>
      <c r="D508" t="s">
        <v>24</v>
      </c>
      <c r="E508" t="s">
        <v>4913</v>
      </c>
      <c r="F508" t="s">
        <v>1524</v>
      </c>
      <c r="G508">
        <f>IF(K508="Pick-up","PICKUPS",IF(K508="Staff drop-off","STAFF_DROPOFF",IF(K508="Replacements","REPLACEMENT",IF(K508="Central Stores Dispatch","CENTRAL STORES DISPATCH",IFNA(IFNA(VLOOKUP(F508,'Raw Platform Nov 4-6 2025'!C:C,1,FALSE),VLOOKUP(F508,'Raw Platform Nov 4-6 2025'!D:D,1,FALSE)),IFNA(VLOOKUP(F508,'Glovo Raw Nov 4-6 2025'!B:B,1,FALSE),"Not Matched"))))))</f>
      </c>
      <c r="H508">
        <f>COUNTIF(F:F,F508)</f>
      </c>
      <c r="I508" t="s">
        <v>7449</v>
      </c>
      <c r="J508" t="s">
        <v>63</v>
      </c>
      <c r="K508" t="s">
        <v>4916</v>
      </c>
      <c r="L508" t="s">
        <v>7450</v>
      </c>
      <c r="M508" t="s">
        <v>7451</v>
      </c>
      <c r="N508" t="s">
        <v>7452</v>
      </c>
      <c r="O508" t="s">
        <v>4962</v>
      </c>
      <c r="P508" t="s">
        <v>5019</v>
      </c>
      <c r="Q508">
        <v>3219</v>
      </c>
      <c r="R508" t="s">
        <v>5118</v>
      </c>
      <c r="S508" t="s">
        <v>5136</v>
      </c>
      <c r="T508" t="s">
        <v>4923</v>
      </c>
      <c r="U508" t="s">
        <v>4924</v>
      </c>
      <c r="V508" t="s">
        <v>7453</v>
      </c>
      <c r="W508" t="s">
        <v>3667</v>
      </c>
      <c r="X508">
        <v>100</v>
      </c>
    </row>
    <row r="509" spans="1:24" x14ac:dyDescent="0.25">
      <c r="A509" t="s">
        <v>5130</v>
      </c>
      <c r="B509" t="s">
        <v>7401</v>
      </c>
      <c r="C509" t="s">
        <v>7402</v>
      </c>
      <c r="D509" t="s">
        <v>24</v>
      </c>
      <c r="E509" t="s">
        <v>4913</v>
      </c>
      <c r="F509" t="s">
        <v>2207</v>
      </c>
      <c r="G509">
        <f>IF(K509="Pick-up","PICKUPS",IF(K509="Staff drop-off","STAFF_DROPOFF",IF(K509="Replacements","REPLACEMENT",IF(K509="Central Stores Dispatch","CENTRAL STORES DISPATCH",IFNA(IFNA(VLOOKUP(F509,'Raw Platform Nov 4-6 2025'!C:C,1,FALSE),VLOOKUP(F509,'Raw Platform Nov 4-6 2025'!D:D,1,FALSE)),IFNA(VLOOKUP(F509,'Glovo Raw Nov 4-6 2025'!B:B,1,FALSE),"Not Matched"))))))</f>
      </c>
      <c r="H509">
        <f>COUNTIF(F:F,F509)</f>
      </c>
      <c r="I509" t="s">
        <v>7454</v>
      </c>
      <c r="J509" t="s">
        <v>5341</v>
      </c>
      <c r="K509" t="s">
        <v>4927</v>
      </c>
      <c r="L509" t="s">
        <v>7455</v>
      </c>
      <c r="M509" t="s">
        <v>7456</v>
      </c>
      <c r="N509" t="s">
        <v>7457</v>
      </c>
      <c r="O509" t="s">
        <v>5937</v>
      </c>
      <c r="P509" t="s">
        <v>7458</v>
      </c>
      <c r="Q509">
        <v>0</v>
      </c>
      <c r="R509" t="s">
        <v>5118</v>
      </c>
      <c r="S509" t="s">
        <v>5136</v>
      </c>
      <c r="T509" t="s">
        <v>4923</v>
      </c>
      <c r="U509" t="s">
        <v>4924</v>
      </c>
      <c r="V509" t="s">
        <v>7459</v>
      </c>
      <c r="W509" t="s">
        <v>3667</v>
      </c>
      <c r="X509">
        <v>486.4</v>
      </c>
    </row>
    <row r="510" spans="1:24" x14ac:dyDescent="0.25">
      <c r="A510" t="s">
        <v>5130</v>
      </c>
      <c r="B510" t="s">
        <v>7401</v>
      </c>
      <c r="C510" t="s">
        <v>7402</v>
      </c>
      <c r="D510" t="s">
        <v>24</v>
      </c>
      <c r="E510" t="s">
        <v>4913</v>
      </c>
      <c r="F510" t="s">
        <v>7460</v>
      </c>
      <c r="G510">
        <f>IF(K510="Pick-up","PICKUPS",IF(K510="Staff drop-off","STAFF_DROPOFF",IF(K510="Replacements","REPLACEMENT",IF(K510="Central Stores Dispatch","CENTRAL STORES DISPATCH",IFNA(IFNA(VLOOKUP(F510,'Raw Platform Nov 4-6 2025'!C:C,1,FALSE),VLOOKUP(F510,'Raw Platform Nov 4-6 2025'!D:D,1,FALSE)),IFNA(VLOOKUP(F510,'Glovo Raw Nov 4-6 2025'!B:B,1,FALSE),"Not Matched"))))))</f>
      </c>
      <c r="H510">
        <f>COUNTIF(F:F,F510)</f>
      </c>
      <c r="I510" t="s">
        <v>7461</v>
      </c>
      <c r="J510" t="s">
        <v>5289</v>
      </c>
      <c r="K510" t="s">
        <v>4927</v>
      </c>
      <c r="L510" t="s">
        <v>7462</v>
      </c>
      <c r="M510" t="s">
        <v>5217</v>
      </c>
      <c r="N510" t="s">
        <v>5350</v>
      </c>
      <c r="O510" t="s">
        <v>123</v>
      </c>
      <c r="P510" t="s">
        <v>6305</v>
      </c>
      <c r="Q510">
        <v>0</v>
      </c>
      <c r="R510" t="s">
        <v>5118</v>
      </c>
      <c r="S510" t="s">
        <v>116</v>
      </c>
      <c r="T510" t="s">
        <v>4923</v>
      </c>
      <c r="U510" t="s">
        <v>4924</v>
      </c>
      <c r="V510" t="s">
        <v>7463</v>
      </c>
      <c r="W510" t="s">
        <v>3667</v>
      </c>
      <c r="X510">
        <v>143.7</v>
      </c>
    </row>
    <row r="511" spans="1:24" x14ac:dyDescent="0.25">
      <c r="A511" t="s">
        <v>5130</v>
      </c>
      <c r="B511" t="s">
        <v>7401</v>
      </c>
      <c r="C511" t="s">
        <v>7402</v>
      </c>
      <c r="D511" t="s">
        <v>24</v>
      </c>
      <c r="E511" t="s">
        <v>4913</v>
      </c>
      <c r="F511" t="s">
        <v>2040</v>
      </c>
      <c r="G511">
        <f>IF(K511="Pick-up","PICKUPS",IF(K511="Staff drop-off","STAFF_DROPOFF",IF(K511="Replacements","REPLACEMENT",IF(K511="Central Stores Dispatch","CENTRAL STORES DISPATCH",IFNA(IFNA(VLOOKUP(F511,'Raw Platform Nov 4-6 2025'!C:C,1,FALSE),VLOOKUP(F511,'Raw Platform Nov 4-6 2025'!D:D,1,FALSE)),IFNA(VLOOKUP(F511,'Glovo Raw Nov 4-6 2025'!B:B,1,FALSE),"Not Matched"))))))</f>
      </c>
      <c r="H511">
        <f>COUNTIF(F:F,F511)</f>
      </c>
      <c r="I511" t="s">
        <v>7464</v>
      </c>
      <c r="J511" t="s">
        <v>4915</v>
      </c>
      <c r="K511" t="s">
        <v>4927</v>
      </c>
      <c r="L511" t="s">
        <v>7465</v>
      </c>
      <c r="M511" t="s">
        <v>5217</v>
      </c>
      <c r="N511" t="s">
        <v>6085</v>
      </c>
      <c r="O511" t="s">
        <v>6086</v>
      </c>
      <c r="P511" t="s">
        <v>6087</v>
      </c>
      <c r="Q511">
        <v>0</v>
      </c>
      <c r="R511" t="s">
        <v>5118</v>
      </c>
      <c r="S511" t="s">
        <v>5136</v>
      </c>
      <c r="T511" t="s">
        <v>4923</v>
      </c>
      <c r="U511" t="s">
        <v>4924</v>
      </c>
      <c r="V511" t="s">
        <v>7466</v>
      </c>
      <c r="W511" t="s">
        <v>3667</v>
      </c>
      <c r="X511">
        <v>491</v>
      </c>
    </row>
    <row r="512" spans="1:24" x14ac:dyDescent="0.25">
      <c r="A512" t="s">
        <v>5130</v>
      </c>
      <c r="B512" t="s">
        <v>7401</v>
      </c>
      <c r="C512" t="s">
        <v>7402</v>
      </c>
      <c r="D512" t="s">
        <v>24</v>
      </c>
      <c r="E512" t="s">
        <v>4913</v>
      </c>
      <c r="F512" t="s">
        <v>2436</v>
      </c>
      <c r="G512">
        <f>IF(K512="Pick-up","PICKUPS",IF(K512="Staff drop-off","STAFF_DROPOFF",IF(K512="Replacements","REPLACEMENT",IF(K512="Central Stores Dispatch","CENTRAL STORES DISPATCH",IFNA(IFNA(VLOOKUP(F512,'Raw Platform Nov 4-6 2025'!C:C,1,FALSE),VLOOKUP(F512,'Raw Platform Nov 4-6 2025'!D:D,1,FALSE)),IFNA(VLOOKUP(F512,'Glovo Raw Nov 4-6 2025'!B:B,1,FALSE),"Not Matched"))))))</f>
      </c>
      <c r="H512">
        <f>COUNTIF(F:F,F512)</f>
      </c>
      <c r="I512" t="s">
        <v>7467</v>
      </c>
      <c r="J512" t="s">
        <v>5341</v>
      </c>
      <c r="K512" t="s">
        <v>4927</v>
      </c>
      <c r="L512" t="s">
        <v>7468</v>
      </c>
      <c r="M512" t="s">
        <v>5217</v>
      </c>
      <c r="N512" t="s">
        <v>7167</v>
      </c>
      <c r="O512" t="s">
        <v>53</v>
      </c>
      <c r="P512" t="s">
        <v>4949</v>
      </c>
      <c r="Q512">
        <v>0</v>
      </c>
      <c r="R512" t="s">
        <v>5118</v>
      </c>
      <c r="S512" t="s">
        <v>5136</v>
      </c>
      <c r="T512" t="s">
        <v>4923</v>
      </c>
      <c r="U512" t="s">
        <v>4924</v>
      </c>
      <c r="V512" t="s">
        <v>7469</v>
      </c>
      <c r="W512" t="s">
        <v>3667</v>
      </c>
      <c r="X512">
        <v>157.5</v>
      </c>
    </row>
    <row r="513" spans="1:24" x14ac:dyDescent="0.25">
      <c r="A513" t="s">
        <v>5130</v>
      </c>
      <c r="B513" t="s">
        <v>7401</v>
      </c>
      <c r="C513" t="s">
        <v>7402</v>
      </c>
      <c r="D513" t="s">
        <v>24</v>
      </c>
      <c r="E513" t="s">
        <v>4913</v>
      </c>
      <c r="F513" t="s">
        <v>2484</v>
      </c>
      <c r="G513">
        <f>IF(K513="Pick-up","PICKUPS",IF(K513="Staff drop-off","STAFF_DROPOFF",IF(K513="Replacements","REPLACEMENT",IF(K513="Central Stores Dispatch","CENTRAL STORES DISPATCH",IFNA(IFNA(VLOOKUP(F513,'Raw Platform Nov 4-6 2025'!C:C,1,FALSE),VLOOKUP(F513,'Raw Platform Nov 4-6 2025'!D:D,1,FALSE)),IFNA(VLOOKUP(F513,'Glovo Raw Nov 4-6 2025'!B:B,1,FALSE),"Not Matched"))))))</f>
      </c>
      <c r="H513">
        <f>COUNTIF(F:F,F513)</f>
      </c>
      <c r="I513" t="s">
        <v>7470</v>
      </c>
      <c r="J513" t="s">
        <v>5341</v>
      </c>
      <c r="K513" t="s">
        <v>4927</v>
      </c>
      <c r="L513" t="s">
        <v>7471</v>
      </c>
      <c r="M513" t="s">
        <v>7472</v>
      </c>
      <c r="N513" t="s">
        <v>7473</v>
      </c>
      <c r="O513" t="s">
        <v>100</v>
      </c>
      <c r="P513" t="s">
        <v>5672</v>
      </c>
      <c r="Q513">
        <v>0</v>
      </c>
      <c r="R513" t="s">
        <v>5118</v>
      </c>
      <c r="S513" t="s">
        <v>5136</v>
      </c>
      <c r="T513" t="s">
        <v>4923</v>
      </c>
      <c r="U513" t="s">
        <v>4924</v>
      </c>
      <c r="V513" t="s">
        <v>7474</v>
      </c>
      <c r="W513" t="s">
        <v>3667</v>
      </c>
      <c r="X513">
        <v>244.9</v>
      </c>
    </row>
    <row r="514" spans="1:24" x14ac:dyDescent="0.25">
      <c r="A514" t="s">
        <v>5130</v>
      </c>
      <c r="B514" t="s">
        <v>7401</v>
      </c>
      <c r="C514" t="s">
        <v>7402</v>
      </c>
      <c r="D514" t="s">
        <v>24</v>
      </c>
      <c r="E514" t="s">
        <v>4913</v>
      </c>
      <c r="F514" t="s">
        <v>3375</v>
      </c>
      <c r="G514">
        <f>IF(K514="Pick-up","PICKUPS",IF(K514="Staff drop-off","STAFF_DROPOFF",IF(K514="Replacements","REPLACEMENT",IF(K514="Central Stores Dispatch","CENTRAL STORES DISPATCH",IFNA(IFNA(VLOOKUP(F514,'Raw Platform Nov 4-6 2025'!C:C,1,FALSE),VLOOKUP(F514,'Raw Platform Nov 4-6 2025'!D:D,1,FALSE)),IFNA(VLOOKUP(F514,'Glovo Raw Nov 4-6 2025'!B:B,1,FALSE),"Not Matched"))))))</f>
      </c>
      <c r="H514">
        <f>COUNTIF(F:F,F514)</f>
      </c>
      <c r="I514" t="s">
        <v>7475</v>
      </c>
      <c r="J514" t="s">
        <v>5341</v>
      </c>
      <c r="K514" t="s">
        <v>4927</v>
      </c>
      <c r="L514" t="s">
        <v>7476</v>
      </c>
      <c r="M514" t="s">
        <v>7477</v>
      </c>
      <c r="N514" t="s">
        <v>7478</v>
      </c>
      <c r="O514" t="s">
        <v>73</v>
      </c>
      <c r="P514" t="s">
        <v>5795</v>
      </c>
      <c r="Q514">
        <v>0</v>
      </c>
      <c r="R514" t="s">
        <v>5118</v>
      </c>
      <c r="S514" t="s">
        <v>50</v>
      </c>
      <c r="T514" t="s">
        <v>4923</v>
      </c>
      <c r="U514" t="s">
        <v>4924</v>
      </c>
      <c r="V514" t="s">
        <v>7479</v>
      </c>
      <c r="W514" t="s">
        <v>3667</v>
      </c>
      <c r="X514">
        <v>150.6</v>
      </c>
    </row>
    <row r="515" spans="1:24" x14ac:dyDescent="0.25">
      <c r="A515" t="s">
        <v>5130</v>
      </c>
      <c r="B515" t="s">
        <v>7401</v>
      </c>
      <c r="C515" t="s">
        <v>7402</v>
      </c>
      <c r="D515" t="s">
        <v>24</v>
      </c>
      <c r="E515" t="s">
        <v>5034</v>
      </c>
      <c r="F515" t="s">
        <v>3231</v>
      </c>
      <c r="G515">
        <f>IF(K515="Pick-up","PICKUPS",IF(K515="Staff drop-off","STAFF_DROPOFF",IF(K515="Replacements","REPLACEMENT",IF(K515="Central Stores Dispatch","CENTRAL STORES DISPATCH",IFNA(IFNA(VLOOKUP(F515,'Raw Platform Nov 4-6 2025'!C:C,1,FALSE),VLOOKUP(F515,'Raw Platform Nov 4-6 2025'!D:D,1,FALSE)),IFNA(VLOOKUP(F515,'Glovo Raw Nov 4-6 2025'!B:B,1,FALSE),"Not Matched"))))))</f>
      </c>
      <c r="H515">
        <f>COUNTIF(F:F,F515)</f>
      </c>
      <c r="I515" t="s">
        <v>7002</v>
      </c>
      <c r="J515" t="s">
        <v>4915</v>
      </c>
      <c r="K515" t="s">
        <v>4927</v>
      </c>
      <c r="L515" t="s">
        <v>7003</v>
      </c>
      <c r="M515" t="s">
        <v>7004</v>
      </c>
      <c r="N515" t="s">
        <v>7005</v>
      </c>
      <c r="O515" t="s">
        <v>2009</v>
      </c>
      <c r="P515" t="s">
        <v>5128</v>
      </c>
      <c r="Q515">
        <v>0</v>
      </c>
      <c r="R515" t="s">
        <v>5118</v>
      </c>
      <c r="S515" t="s">
        <v>116</v>
      </c>
      <c r="T515" t="s">
        <v>4923</v>
      </c>
      <c r="U515" t="s">
        <v>4923</v>
      </c>
      <c r="V515" t="s">
        <v>7480</v>
      </c>
      <c r="W515" t="s">
        <v>3667</v>
      </c>
      <c r="X515">
        <v>0</v>
      </c>
    </row>
    <row r="516" spans="1:24" x14ac:dyDescent="0.25">
      <c r="A516" t="s">
        <v>5130</v>
      </c>
      <c r="B516" t="s">
        <v>7401</v>
      </c>
      <c r="C516" t="s">
        <v>7402</v>
      </c>
      <c r="D516" t="s">
        <v>24</v>
      </c>
      <c r="E516" t="s">
        <v>4913</v>
      </c>
      <c r="F516" t="s">
        <v>2634</v>
      </c>
      <c r="G516">
        <f>IF(K516="Pick-up","PICKUPS",IF(K516="Staff drop-off","STAFF_DROPOFF",IF(K516="Replacements","REPLACEMENT",IF(K516="Central Stores Dispatch","CENTRAL STORES DISPATCH",IFNA(IFNA(VLOOKUP(F516,'Raw Platform Nov 4-6 2025'!C:C,1,FALSE),VLOOKUP(F516,'Raw Platform Nov 4-6 2025'!D:D,1,FALSE)),IFNA(VLOOKUP(F516,'Glovo Raw Nov 4-6 2025'!B:B,1,FALSE),"Not Matched"))))))</f>
      </c>
      <c r="H516">
        <f>COUNTIF(F:F,F516)</f>
      </c>
      <c r="I516" t="s">
        <v>7481</v>
      </c>
      <c r="J516" t="s">
        <v>4915</v>
      </c>
      <c r="K516" t="s">
        <v>4927</v>
      </c>
      <c r="L516" t="s">
        <v>7482</v>
      </c>
      <c r="M516" t="s">
        <v>5217</v>
      </c>
      <c r="N516" t="s">
        <v>7483</v>
      </c>
      <c r="O516" t="s">
        <v>4990</v>
      </c>
      <c r="P516" t="s">
        <v>5578</v>
      </c>
      <c r="Q516">
        <v>0</v>
      </c>
      <c r="R516" t="s">
        <v>5118</v>
      </c>
      <c r="S516" t="s">
        <v>432</v>
      </c>
      <c r="T516" t="s">
        <v>4923</v>
      </c>
      <c r="U516" t="s">
        <v>4924</v>
      </c>
      <c r="V516" t="s">
        <v>7484</v>
      </c>
      <c r="W516" t="s">
        <v>3667</v>
      </c>
      <c r="X516">
        <v>100</v>
      </c>
    </row>
    <row r="517" spans="1:24" x14ac:dyDescent="0.25">
      <c r="A517" t="s">
        <v>5130</v>
      </c>
      <c r="B517" t="s">
        <v>7401</v>
      </c>
      <c r="C517" t="s">
        <v>7402</v>
      </c>
      <c r="D517" t="s">
        <v>24</v>
      </c>
      <c r="E517" t="s">
        <v>4913</v>
      </c>
      <c r="F517" t="s">
        <v>2500</v>
      </c>
      <c r="G517">
        <f>IF(K517="Pick-up","PICKUPS",IF(K517="Staff drop-off","STAFF_DROPOFF",IF(K517="Replacements","REPLACEMENT",IF(K517="Central Stores Dispatch","CENTRAL STORES DISPATCH",IFNA(IFNA(VLOOKUP(F517,'Raw Platform Nov 4-6 2025'!C:C,1,FALSE),VLOOKUP(F517,'Raw Platform Nov 4-6 2025'!D:D,1,FALSE)),IFNA(VLOOKUP(F517,'Glovo Raw Nov 4-6 2025'!B:B,1,FALSE),"Not Matched"))))))</f>
      </c>
      <c r="H517">
        <f>COUNTIF(F:F,F517)</f>
      </c>
      <c r="I517" t="s">
        <v>7485</v>
      </c>
      <c r="J517" t="s">
        <v>63</v>
      </c>
      <c r="K517" t="s">
        <v>4916</v>
      </c>
      <c r="L517" t="s">
        <v>7423</v>
      </c>
      <c r="M517" t="s">
        <v>7424</v>
      </c>
      <c r="N517" t="s">
        <v>5270</v>
      </c>
      <c r="O517" t="s">
        <v>77</v>
      </c>
      <c r="P517" t="s">
        <v>5271</v>
      </c>
      <c r="Q517">
        <v>1230</v>
      </c>
      <c r="R517" t="s">
        <v>5118</v>
      </c>
      <c r="S517" t="s">
        <v>35</v>
      </c>
      <c r="T517" t="s">
        <v>4923</v>
      </c>
      <c r="U517" t="s">
        <v>4924</v>
      </c>
      <c r="V517" t="s">
        <v>7486</v>
      </c>
      <c r="W517" t="s">
        <v>3667</v>
      </c>
      <c r="X517">
        <v>182.8</v>
      </c>
    </row>
    <row r="518" spans="1:24" x14ac:dyDescent="0.25">
      <c r="A518" t="s">
        <v>5130</v>
      </c>
      <c r="B518" t="s">
        <v>7401</v>
      </c>
      <c r="C518" t="s">
        <v>7402</v>
      </c>
      <c r="D518" t="s">
        <v>24</v>
      </c>
      <c r="E518" t="s">
        <v>4913</v>
      </c>
      <c r="F518" t="s">
        <v>2598</v>
      </c>
      <c r="G518">
        <f>IF(K518="Pick-up","PICKUPS",IF(K518="Staff drop-off","STAFF_DROPOFF",IF(K518="Replacements","REPLACEMENT",IF(K518="Central Stores Dispatch","CENTRAL STORES DISPATCH",IFNA(IFNA(VLOOKUP(F518,'Raw Platform Nov 4-6 2025'!C:C,1,FALSE),VLOOKUP(F518,'Raw Platform Nov 4-6 2025'!D:D,1,FALSE)),IFNA(VLOOKUP(F518,'Glovo Raw Nov 4-6 2025'!B:B,1,FALSE),"Not Matched"))))))</f>
      </c>
      <c r="H518">
        <f>COUNTIF(F:F,F518)</f>
      </c>
      <c r="I518" t="s">
        <v>7487</v>
      </c>
      <c r="J518" t="s">
        <v>63</v>
      </c>
      <c r="K518" t="s">
        <v>4916</v>
      </c>
      <c r="L518" t="s">
        <v>7488</v>
      </c>
      <c r="M518" t="s">
        <v>7489</v>
      </c>
      <c r="N518" t="s">
        <v>7490</v>
      </c>
      <c r="O518" t="s">
        <v>9</v>
      </c>
      <c r="P518" t="s">
        <v>5482</v>
      </c>
      <c r="Q518">
        <v>1230</v>
      </c>
      <c r="R518" t="s">
        <v>5118</v>
      </c>
      <c r="S518" t="s">
        <v>35</v>
      </c>
      <c r="T518" t="s">
        <v>4923</v>
      </c>
      <c r="U518" t="s">
        <v>4924</v>
      </c>
      <c r="V518" t="s">
        <v>7491</v>
      </c>
      <c r="W518" t="s">
        <v>3667</v>
      </c>
      <c r="X518">
        <v>187.4</v>
      </c>
    </row>
    <row r="519" spans="1:24" x14ac:dyDescent="0.25">
      <c r="A519" t="s">
        <v>5130</v>
      </c>
      <c r="B519" t="s">
        <v>7401</v>
      </c>
      <c r="C519" t="s">
        <v>7402</v>
      </c>
      <c r="D519" t="s">
        <v>24</v>
      </c>
      <c r="E519" t="s">
        <v>4913</v>
      </c>
      <c r="F519" t="s">
        <v>2924</v>
      </c>
      <c r="G519">
        <f>IF(K519="Pick-up","PICKUPS",IF(K519="Staff drop-off","STAFF_DROPOFF",IF(K519="Replacements","REPLACEMENT",IF(K519="Central Stores Dispatch","CENTRAL STORES DISPATCH",IFNA(IFNA(VLOOKUP(F519,'Raw Platform Nov 4-6 2025'!C:C,1,FALSE),VLOOKUP(F519,'Raw Platform Nov 4-6 2025'!D:D,1,FALSE)),IFNA(VLOOKUP(F519,'Glovo Raw Nov 4-6 2025'!B:B,1,FALSE),"Not Matched"))))))</f>
      </c>
      <c r="H519">
        <f>COUNTIF(F:F,F519)</f>
      </c>
      <c r="I519" t="s">
        <v>7492</v>
      </c>
      <c r="J519" t="s">
        <v>4915</v>
      </c>
      <c r="K519" t="s">
        <v>4916</v>
      </c>
      <c r="L519" t="s">
        <v>7493</v>
      </c>
      <c r="M519" t="s">
        <v>7494</v>
      </c>
      <c r="N519" t="s">
        <v>7495</v>
      </c>
      <c r="O519" t="s">
        <v>5183</v>
      </c>
      <c r="P519" t="s">
        <v>42</v>
      </c>
      <c r="Q519">
        <v>2182</v>
      </c>
      <c r="R519" t="s">
        <v>5118</v>
      </c>
      <c r="S519" t="s">
        <v>35</v>
      </c>
      <c r="T519" t="s">
        <v>4923</v>
      </c>
      <c r="U519" t="s">
        <v>4924</v>
      </c>
      <c r="V519" t="s">
        <v>7496</v>
      </c>
      <c r="W519" t="s">
        <v>3667</v>
      </c>
      <c r="X519">
        <v>479.5</v>
      </c>
    </row>
    <row r="520" spans="1:24" x14ac:dyDescent="0.25">
      <c r="A520" t="s">
        <v>5130</v>
      </c>
      <c r="B520" t="s">
        <v>7401</v>
      </c>
      <c r="C520" t="s">
        <v>7402</v>
      </c>
      <c r="D520" t="s">
        <v>24</v>
      </c>
      <c r="E520" t="s">
        <v>4913</v>
      </c>
      <c r="F520" t="s">
        <v>3404</v>
      </c>
      <c r="G520">
        <f>IF(K520="Pick-up","PICKUPS",IF(K520="Staff drop-off","STAFF_DROPOFF",IF(K520="Replacements","REPLACEMENT",IF(K520="Central Stores Dispatch","CENTRAL STORES DISPATCH",IFNA(IFNA(VLOOKUP(F520,'Raw Platform Nov 4-6 2025'!C:C,1,FALSE),VLOOKUP(F520,'Raw Platform Nov 4-6 2025'!D:D,1,FALSE)),IFNA(VLOOKUP(F520,'Glovo Raw Nov 4-6 2025'!B:B,1,FALSE),"Not Matched"))))))</f>
      </c>
      <c r="H520">
        <f>COUNTIF(F:F,F520)</f>
      </c>
      <c r="I520" t="s">
        <v>7497</v>
      </c>
      <c r="J520" t="s">
        <v>4915</v>
      </c>
      <c r="K520" t="s">
        <v>4916</v>
      </c>
      <c r="L520" t="s">
        <v>7498</v>
      </c>
      <c r="M520" t="s">
        <v>7499</v>
      </c>
      <c r="N520" t="s">
        <v>7500</v>
      </c>
      <c r="O520" t="s">
        <v>4949</v>
      </c>
      <c r="P520" t="s">
        <v>5007</v>
      </c>
      <c r="Q520">
        <v>792</v>
      </c>
      <c r="R520" t="s">
        <v>5118</v>
      </c>
      <c r="S520" t="s">
        <v>5136</v>
      </c>
      <c r="T520" t="s">
        <v>4923</v>
      </c>
      <c r="U520" t="s">
        <v>4924</v>
      </c>
      <c r="V520" t="s">
        <v>7501</v>
      </c>
      <c r="W520" t="s">
        <v>3667</v>
      </c>
      <c r="X520">
        <v>100</v>
      </c>
    </row>
    <row r="521" spans="1:24" x14ac:dyDescent="0.25">
      <c r="A521" t="s">
        <v>5130</v>
      </c>
      <c r="B521" t="s">
        <v>7401</v>
      </c>
      <c r="C521" t="s">
        <v>7402</v>
      </c>
      <c r="D521" t="s">
        <v>24</v>
      </c>
      <c r="E521" t="s">
        <v>4913</v>
      </c>
      <c r="F521" t="s">
        <v>2739</v>
      </c>
      <c r="G521">
        <f>IF(K521="Pick-up","PICKUPS",IF(K521="Staff drop-off","STAFF_DROPOFF",IF(K521="Replacements","REPLACEMENT",IF(K521="Central Stores Dispatch","CENTRAL STORES DISPATCH",IFNA(IFNA(VLOOKUP(F521,'Raw Platform Nov 4-6 2025'!C:C,1,FALSE),VLOOKUP(F521,'Raw Platform Nov 4-6 2025'!D:D,1,FALSE)),IFNA(VLOOKUP(F521,'Glovo Raw Nov 4-6 2025'!B:B,1,FALSE),"Not Matched"))))))</f>
      </c>
      <c r="H521">
        <f>COUNTIF(F:F,F521)</f>
      </c>
      <c r="I521" t="s">
        <v>7502</v>
      </c>
      <c r="J521" t="s">
        <v>4915</v>
      </c>
      <c r="K521" t="s">
        <v>4927</v>
      </c>
      <c r="L521" t="s">
        <v>7503</v>
      </c>
      <c r="M521" t="s">
        <v>7504</v>
      </c>
      <c r="N521" t="s">
        <v>7505</v>
      </c>
      <c r="O521" t="s">
        <v>100</v>
      </c>
      <c r="P521" t="s">
        <v>4962</v>
      </c>
      <c r="Q521">
        <v>0</v>
      </c>
      <c r="R521" t="s">
        <v>5118</v>
      </c>
      <c r="S521" t="s">
        <v>432</v>
      </c>
      <c r="T521" t="s">
        <v>4923</v>
      </c>
      <c r="U521" t="s">
        <v>4924</v>
      </c>
      <c r="V521" t="s">
        <v>7506</v>
      </c>
      <c r="W521" t="s">
        <v>3667</v>
      </c>
      <c r="X521">
        <v>180.5</v>
      </c>
    </row>
    <row r="522" spans="1:24" x14ac:dyDescent="0.25">
      <c r="A522" t="s">
        <v>5176</v>
      </c>
      <c r="B522" t="s">
        <v>7507</v>
      </c>
      <c r="C522" t="s">
        <v>7508</v>
      </c>
      <c r="D522" t="s">
        <v>30</v>
      </c>
      <c r="E522" t="s">
        <v>4913</v>
      </c>
      <c r="F522" t="s">
        <v>1164</v>
      </c>
      <c r="G522">
        <f>IF(K522="Pick-up","PICKUPS",IF(K522="Staff drop-off","STAFF_DROPOFF",IF(K522="Replacements","REPLACEMENT",IF(K522="Central Stores Dispatch","CENTRAL STORES DISPATCH",IFNA(IFNA(VLOOKUP(F522,'Raw Platform Nov 4-6 2025'!C:C,1,FALSE),VLOOKUP(F522,'Raw Platform Nov 4-6 2025'!D:D,1,FALSE)),IFNA(VLOOKUP(F522,'Glovo Raw Nov 4-6 2025'!B:B,1,FALSE),"Not Matched"))))))</f>
      </c>
      <c r="H522">
        <f>COUNTIF(F:F,F522)</f>
      </c>
      <c r="I522" t="s">
        <v>7509</v>
      </c>
      <c r="J522" t="s">
        <v>4915</v>
      </c>
      <c r="K522" t="s">
        <v>4927</v>
      </c>
      <c r="L522" t="s">
        <v>7510</v>
      </c>
      <c r="M522" t="s">
        <v>5327</v>
      </c>
      <c r="N522" t="s">
        <v>7511</v>
      </c>
      <c r="O522" t="s">
        <v>77</v>
      </c>
      <c r="P522" t="s">
        <v>6808</v>
      </c>
      <c r="Q522">
        <v>0</v>
      </c>
      <c r="R522" t="s">
        <v>4922</v>
      </c>
      <c r="S522" t="s">
        <v>29</v>
      </c>
      <c r="T522" t="s">
        <v>4923</v>
      </c>
      <c r="U522" t="s">
        <v>4924</v>
      </c>
      <c r="V522" t="s">
        <v>7512</v>
      </c>
      <c r="W522" t="s">
        <v>3667</v>
      </c>
      <c r="X522">
        <v>194.3</v>
      </c>
    </row>
    <row r="523" spans="1:24" x14ac:dyDescent="0.25">
      <c r="A523" t="s">
        <v>5176</v>
      </c>
      <c r="B523" t="s">
        <v>7507</v>
      </c>
      <c r="C523" t="s">
        <v>7508</v>
      </c>
      <c r="D523" t="s">
        <v>30</v>
      </c>
      <c r="E523" t="s">
        <v>5034</v>
      </c>
      <c r="F523" t="s">
        <v>1164</v>
      </c>
      <c r="G523">
        <f>IF(K523="Pick-up","PICKUPS",IF(K523="Staff drop-off","STAFF_DROPOFF",IF(K523="Replacements","REPLACEMENT",IF(K523="Central Stores Dispatch","CENTRAL STORES DISPATCH",IFNA(IFNA(VLOOKUP(F523,'Raw Platform Nov 4-6 2025'!C:C,1,FALSE),VLOOKUP(F523,'Raw Platform Nov 4-6 2025'!D:D,1,FALSE)),IFNA(VLOOKUP(F523,'Glovo Raw Nov 4-6 2025'!B:B,1,FALSE),"Not Matched"))))))</f>
      </c>
      <c r="H523">
        <f>COUNTIF(F:F,F523)</f>
      </c>
      <c r="I523" t="s">
        <v>7509</v>
      </c>
      <c r="J523" t="s">
        <v>4915</v>
      </c>
      <c r="K523" t="s">
        <v>4927</v>
      </c>
      <c r="L523" t="s">
        <v>7510</v>
      </c>
      <c r="M523" t="s">
        <v>5327</v>
      </c>
      <c r="N523" t="s">
        <v>7511</v>
      </c>
      <c r="O523" t="s">
        <v>77</v>
      </c>
      <c r="P523" t="s">
        <v>6808</v>
      </c>
      <c r="Q523">
        <v>0</v>
      </c>
      <c r="R523" t="s">
        <v>4922</v>
      </c>
      <c r="S523" t="s">
        <v>29</v>
      </c>
      <c r="T523" t="s">
        <v>4923</v>
      </c>
      <c r="U523" t="s">
        <v>4923</v>
      </c>
      <c r="V523" t="s">
        <v>7513</v>
      </c>
      <c r="W523" t="s">
        <v>3667</v>
      </c>
      <c r="X523">
        <v>0</v>
      </c>
    </row>
    <row r="524" spans="1:24" x14ac:dyDescent="0.25">
      <c r="A524" t="s">
        <v>5176</v>
      </c>
      <c r="B524" t="s">
        <v>7507</v>
      </c>
      <c r="C524" t="s">
        <v>7508</v>
      </c>
      <c r="D524" t="s">
        <v>30</v>
      </c>
      <c r="E524" t="s">
        <v>4913</v>
      </c>
      <c r="F524" t="s">
        <v>7514</v>
      </c>
      <c r="G524">
        <f>IF(K524="Pick-up","PICKUPS",IF(K524="Staff drop-off","STAFF_DROPOFF",IF(K524="Replacements","REPLACEMENT",IF(K524="Central Stores Dispatch","CENTRAL STORES DISPATCH",IFNA(IFNA(VLOOKUP(F524,'Raw Platform Nov 4-6 2025'!C:C,1,FALSE),VLOOKUP(F524,'Raw Platform Nov 4-6 2025'!D:D,1,FALSE)),IFNA(VLOOKUP(F524,'Glovo Raw Nov 4-6 2025'!B:B,1,FALSE),"Not Matched"))))))</f>
      </c>
      <c r="H524">
        <f>COUNTIF(F:F,F524)</f>
      </c>
      <c r="I524" t="s">
        <v>7515</v>
      </c>
      <c r="J524" t="s">
        <v>4915</v>
      </c>
      <c r="K524" t="s">
        <v>4927</v>
      </c>
      <c r="L524" t="s">
        <v>7516</v>
      </c>
      <c r="M524" t="s">
        <v>7517</v>
      </c>
      <c r="N524" t="s">
        <v>7518</v>
      </c>
      <c r="O524" t="s">
        <v>4956</v>
      </c>
      <c r="P524" t="s">
        <v>6558</v>
      </c>
      <c r="Q524">
        <v>0</v>
      </c>
      <c r="R524" t="s">
        <v>4922</v>
      </c>
      <c r="S524" t="s">
        <v>45</v>
      </c>
      <c r="T524" t="s">
        <v>4923</v>
      </c>
      <c r="U524" t="s">
        <v>4924</v>
      </c>
      <c r="V524" t="s">
        <v>7519</v>
      </c>
      <c r="W524" t="s">
        <v>3667</v>
      </c>
      <c r="X524">
        <v>100</v>
      </c>
    </row>
    <row r="525" spans="1:24" x14ac:dyDescent="0.25">
      <c r="A525" t="s">
        <v>5176</v>
      </c>
      <c r="B525" t="s">
        <v>7507</v>
      </c>
      <c r="C525" t="s">
        <v>7508</v>
      </c>
      <c r="D525" t="s">
        <v>30</v>
      </c>
      <c r="E525" t="s">
        <v>4913</v>
      </c>
      <c r="F525" t="s">
        <v>7520</v>
      </c>
      <c r="G525">
        <f>IF(K525="Pick-up","PICKUPS",IF(K525="Staff drop-off","STAFF_DROPOFF",IF(K525="Replacements","REPLACEMENT",IF(K525="Central Stores Dispatch","CENTRAL STORES DISPATCH",IFNA(IFNA(VLOOKUP(F525,'Raw Platform Nov 4-6 2025'!C:C,1,FALSE),VLOOKUP(F525,'Raw Platform Nov 4-6 2025'!D:D,1,FALSE)),IFNA(VLOOKUP(F525,'Glovo Raw Nov 4-6 2025'!B:B,1,FALSE),"Not Matched"))))))</f>
      </c>
      <c r="H525">
        <f>COUNTIF(F:F,F525)</f>
      </c>
      <c r="I525" t="s">
        <v>7521</v>
      </c>
      <c r="J525" t="s">
        <v>5289</v>
      </c>
      <c r="K525" t="s">
        <v>4927</v>
      </c>
      <c r="L525" t="s">
        <v>5326</v>
      </c>
      <c r="M525" t="s">
        <v>5327</v>
      </c>
      <c r="N525" t="s">
        <v>7522</v>
      </c>
      <c r="O525" t="s">
        <v>26</v>
      </c>
      <c r="P525" t="s">
        <v>5795</v>
      </c>
      <c r="Q525">
        <v>0</v>
      </c>
      <c r="R525" t="s">
        <v>4922</v>
      </c>
      <c r="S525" t="s">
        <v>5293</v>
      </c>
      <c r="T525" t="s">
        <v>4923</v>
      </c>
      <c r="U525" t="s">
        <v>4924</v>
      </c>
      <c r="V525" t="s">
        <v>7523</v>
      </c>
      <c r="W525" t="s">
        <v>3667</v>
      </c>
      <c r="X525">
        <v>150.6</v>
      </c>
    </row>
    <row r="526" spans="1:24" x14ac:dyDescent="0.25">
      <c r="A526" t="s">
        <v>5176</v>
      </c>
      <c r="B526" t="s">
        <v>7507</v>
      </c>
      <c r="C526" t="s">
        <v>7508</v>
      </c>
      <c r="D526" t="s">
        <v>30</v>
      </c>
      <c r="E526" t="s">
        <v>4913</v>
      </c>
      <c r="F526" t="s">
        <v>27</v>
      </c>
      <c r="G526">
        <f>IF(K526="Pick-up","PICKUPS",IF(K526="Staff drop-off","STAFF_DROPOFF",IF(K526="Replacements","REPLACEMENT",IF(K526="Central Stores Dispatch","CENTRAL STORES DISPATCH",IFNA(IFNA(VLOOKUP(F526,'Raw Platform Nov 4-6 2025'!C:C,1,FALSE),VLOOKUP(F526,'Raw Platform Nov 4-6 2025'!D:D,1,FALSE)),IFNA(VLOOKUP(F526,'Glovo Raw Nov 4-6 2025'!B:B,1,FALSE),"Not Matched"))))))</f>
      </c>
      <c r="H526">
        <f>COUNTIF(F:F,F526)</f>
      </c>
      <c r="I526" t="s">
        <v>7524</v>
      </c>
      <c r="J526" t="s">
        <v>4915</v>
      </c>
      <c r="K526" t="s">
        <v>4927</v>
      </c>
      <c r="L526" t="s">
        <v>7525</v>
      </c>
      <c r="M526" t="s">
        <v>7526</v>
      </c>
      <c r="N526" t="s">
        <v>7527</v>
      </c>
      <c r="O526" t="s">
        <v>26</v>
      </c>
      <c r="P526" t="s">
        <v>5387</v>
      </c>
      <c r="Q526">
        <v>0</v>
      </c>
      <c r="R526" t="s">
        <v>4922</v>
      </c>
      <c r="S526" t="s">
        <v>29</v>
      </c>
      <c r="T526" t="s">
        <v>4923</v>
      </c>
      <c r="U526" t="s">
        <v>4924</v>
      </c>
      <c r="V526" t="s">
        <v>7528</v>
      </c>
      <c r="W526" t="s">
        <v>3667</v>
      </c>
      <c r="X526">
        <v>152.9</v>
      </c>
    </row>
    <row r="527" spans="1:24" x14ac:dyDescent="0.25">
      <c r="A527" t="s">
        <v>5176</v>
      </c>
      <c r="B527" t="s">
        <v>7507</v>
      </c>
      <c r="C527" t="s">
        <v>7508</v>
      </c>
      <c r="D527" t="s">
        <v>30</v>
      </c>
      <c r="E527" t="s">
        <v>4913</v>
      </c>
      <c r="F527" t="s">
        <v>422</v>
      </c>
      <c r="G527">
        <f>IF(K527="Pick-up","PICKUPS",IF(K527="Staff drop-off","STAFF_DROPOFF",IF(K527="Replacements","REPLACEMENT",IF(K527="Central Stores Dispatch","CENTRAL STORES DISPATCH",IFNA(IFNA(VLOOKUP(F527,'Raw Platform Nov 4-6 2025'!C:C,1,FALSE),VLOOKUP(F527,'Raw Platform Nov 4-6 2025'!D:D,1,FALSE)),IFNA(VLOOKUP(F527,'Glovo Raw Nov 4-6 2025'!B:B,1,FALSE),"Not Matched"))))))</f>
      </c>
      <c r="H527">
        <f>COUNTIF(F:F,F527)</f>
      </c>
      <c r="I527" t="s">
        <v>7529</v>
      </c>
      <c r="J527" t="s">
        <v>4915</v>
      </c>
      <c r="K527" t="s">
        <v>4927</v>
      </c>
      <c r="L527" t="s">
        <v>7530</v>
      </c>
      <c r="M527" t="s">
        <v>5327</v>
      </c>
      <c r="N527" t="s">
        <v>6024</v>
      </c>
      <c r="O527" t="s">
        <v>73</v>
      </c>
      <c r="P527" t="s">
        <v>5128</v>
      </c>
      <c r="Q527">
        <v>0</v>
      </c>
      <c r="R527" t="s">
        <v>4922</v>
      </c>
      <c r="S527" t="s">
        <v>172</v>
      </c>
      <c r="T527" t="s">
        <v>4923</v>
      </c>
      <c r="U527" t="s">
        <v>4924</v>
      </c>
      <c r="V527" t="s">
        <v>7531</v>
      </c>
      <c r="W527" t="s">
        <v>3667</v>
      </c>
      <c r="X527">
        <v>116.1</v>
      </c>
    </row>
    <row r="528" spans="1:24" x14ac:dyDescent="0.25">
      <c r="A528" t="s">
        <v>5176</v>
      </c>
      <c r="B528" t="s">
        <v>7507</v>
      </c>
      <c r="C528" t="s">
        <v>7508</v>
      </c>
      <c r="D528" t="s">
        <v>30</v>
      </c>
      <c r="E528" t="s">
        <v>4913</v>
      </c>
      <c r="F528" t="s">
        <v>1767</v>
      </c>
      <c r="G528">
        <f>IF(K528="Pick-up","PICKUPS",IF(K528="Staff drop-off","STAFF_DROPOFF",IF(K528="Replacements","REPLACEMENT",IF(K528="Central Stores Dispatch","CENTRAL STORES DISPATCH",IFNA(IFNA(VLOOKUP(F528,'Raw Platform Nov 4-6 2025'!C:C,1,FALSE),VLOOKUP(F528,'Raw Platform Nov 4-6 2025'!D:D,1,FALSE)),IFNA(VLOOKUP(F528,'Glovo Raw Nov 4-6 2025'!B:B,1,FALSE),"Not Matched"))))))</f>
      </c>
      <c r="H528">
        <f>COUNTIF(F:F,F528)</f>
      </c>
      <c r="I528" t="s">
        <v>7532</v>
      </c>
      <c r="J528" t="s">
        <v>63</v>
      </c>
      <c r="K528" t="s">
        <v>4927</v>
      </c>
      <c r="L528" t="s">
        <v>7533</v>
      </c>
      <c r="M528" t="s">
        <v>7534</v>
      </c>
      <c r="N528" t="s">
        <v>7535</v>
      </c>
      <c r="O528" t="s">
        <v>77</v>
      </c>
      <c r="P528" t="s">
        <v>7536</v>
      </c>
      <c r="Q528">
        <v>0</v>
      </c>
      <c r="R528" t="s">
        <v>4922</v>
      </c>
      <c r="S528" t="s">
        <v>29</v>
      </c>
      <c r="T528" t="s">
        <v>4923</v>
      </c>
      <c r="U528" t="s">
        <v>4924</v>
      </c>
      <c r="V528" t="s">
        <v>7537</v>
      </c>
      <c r="W528" t="s">
        <v>3667</v>
      </c>
      <c r="X528">
        <v>141.4</v>
      </c>
    </row>
    <row r="529" spans="1:24" x14ac:dyDescent="0.25">
      <c r="A529" t="s">
        <v>5176</v>
      </c>
      <c r="B529" t="s">
        <v>7507</v>
      </c>
      <c r="C529" t="s">
        <v>7508</v>
      </c>
      <c r="D529" t="s">
        <v>30</v>
      </c>
      <c r="E529" t="s">
        <v>4913</v>
      </c>
      <c r="F529" t="s">
        <v>1935</v>
      </c>
      <c r="G529">
        <f>IF(K529="Pick-up","PICKUPS",IF(K529="Staff drop-off","STAFF_DROPOFF",IF(K529="Replacements","REPLACEMENT",IF(K529="Central Stores Dispatch","CENTRAL STORES DISPATCH",IFNA(IFNA(VLOOKUP(F529,'Raw Platform Nov 4-6 2025'!C:C,1,FALSE),VLOOKUP(F529,'Raw Platform Nov 4-6 2025'!D:D,1,FALSE)),IFNA(VLOOKUP(F529,'Glovo Raw Nov 4-6 2025'!B:B,1,FALSE),"Not Matched"))))))</f>
      </c>
      <c r="H529">
        <f>COUNTIF(F:F,F529)</f>
      </c>
      <c r="I529" t="s">
        <v>7538</v>
      </c>
      <c r="J529" t="s">
        <v>4915</v>
      </c>
      <c r="K529" t="s">
        <v>4916</v>
      </c>
      <c r="L529" t="s">
        <v>7539</v>
      </c>
      <c r="M529" t="s">
        <v>7540</v>
      </c>
      <c r="N529" t="s">
        <v>7541</v>
      </c>
      <c r="O529" t="s">
        <v>26</v>
      </c>
      <c r="P529" t="s">
        <v>5001</v>
      </c>
      <c r="Q529">
        <v>2336</v>
      </c>
      <c r="R529" t="s">
        <v>4922</v>
      </c>
      <c r="S529" t="s">
        <v>116</v>
      </c>
      <c r="T529" t="s">
        <v>4923</v>
      </c>
      <c r="U529" t="s">
        <v>4924</v>
      </c>
      <c r="V529" t="s">
        <v>7542</v>
      </c>
      <c r="W529" t="s">
        <v>3667</v>
      </c>
      <c r="X529">
        <v>120.7</v>
      </c>
    </row>
    <row r="530" spans="1:24" x14ac:dyDescent="0.25">
      <c r="A530" t="s">
        <v>5176</v>
      </c>
      <c r="B530" t="s">
        <v>7507</v>
      </c>
      <c r="C530" t="s">
        <v>7508</v>
      </c>
      <c r="D530" t="s">
        <v>191</v>
      </c>
      <c r="E530" t="s">
        <v>4913</v>
      </c>
      <c r="F530" t="s">
        <v>2303</v>
      </c>
      <c r="G530">
        <f>IF(K530="Pick-up","PICKUPS",IF(K530="Staff drop-off","STAFF_DROPOFF",IF(K530="Replacements","REPLACEMENT",IF(K530="Central Stores Dispatch","CENTRAL STORES DISPATCH",IFNA(IFNA(VLOOKUP(F530,'Raw Platform Nov 4-6 2025'!C:C,1,FALSE),VLOOKUP(F530,'Raw Platform Nov 4-6 2025'!D:D,1,FALSE)),IFNA(VLOOKUP(F530,'Glovo Raw Nov 4-6 2025'!B:B,1,FALSE),"Not Matched"))))))</f>
      </c>
      <c r="H530">
        <f>COUNTIF(F:F,F530)</f>
      </c>
      <c r="I530" t="s">
        <v>7543</v>
      </c>
      <c r="J530" t="s">
        <v>4915</v>
      </c>
      <c r="K530" t="s">
        <v>4916</v>
      </c>
      <c r="L530" t="s">
        <v>6949</v>
      </c>
      <c r="M530" t="s">
        <v>6950</v>
      </c>
      <c r="N530" t="s">
        <v>6951</v>
      </c>
      <c r="O530" t="s">
        <v>2009</v>
      </c>
      <c r="P530" t="s">
        <v>4950</v>
      </c>
      <c r="Q530">
        <v>1255</v>
      </c>
      <c r="R530" t="s">
        <v>4922</v>
      </c>
      <c r="S530" t="s">
        <v>5184</v>
      </c>
      <c r="T530" t="s">
        <v>4923</v>
      </c>
      <c r="U530" t="s">
        <v>4924</v>
      </c>
      <c r="V530" t="s">
        <v>7544</v>
      </c>
      <c r="W530" t="s">
        <v>3667</v>
      </c>
      <c r="X530">
        <v>100</v>
      </c>
    </row>
    <row r="531" spans="1:24" x14ac:dyDescent="0.25">
      <c r="A531" t="s">
        <v>5176</v>
      </c>
      <c r="B531" t="s">
        <v>7507</v>
      </c>
      <c r="C531" t="s">
        <v>7508</v>
      </c>
      <c r="D531" t="s">
        <v>30</v>
      </c>
      <c r="E531" t="s">
        <v>4913</v>
      </c>
      <c r="F531" t="s">
        <v>2371</v>
      </c>
      <c r="G531">
        <f>IF(K531="Pick-up","PICKUPS",IF(K531="Staff drop-off","STAFF_DROPOFF",IF(K531="Replacements","REPLACEMENT",IF(K531="Central Stores Dispatch","CENTRAL STORES DISPATCH",IFNA(IFNA(VLOOKUP(F531,'Raw Platform Nov 4-6 2025'!C:C,1,FALSE),VLOOKUP(F531,'Raw Platform Nov 4-6 2025'!D:D,1,FALSE)),IFNA(VLOOKUP(F531,'Glovo Raw Nov 4-6 2025'!B:B,1,FALSE),"Not Matched"))))))</f>
      </c>
      <c r="H531">
        <f>COUNTIF(F:F,F531)</f>
      </c>
      <c r="I531" t="s">
        <v>7545</v>
      </c>
      <c r="J531" t="s">
        <v>4915</v>
      </c>
      <c r="K531" t="s">
        <v>4927</v>
      </c>
      <c r="L531" t="s">
        <v>5991</v>
      </c>
      <c r="M531" t="s">
        <v>7546</v>
      </c>
      <c r="N531" t="s">
        <v>5972</v>
      </c>
      <c r="O531" t="s">
        <v>123</v>
      </c>
      <c r="P531" t="s">
        <v>5820</v>
      </c>
      <c r="Q531">
        <v>0</v>
      </c>
      <c r="R531" t="s">
        <v>4922</v>
      </c>
      <c r="S531" t="s">
        <v>12</v>
      </c>
      <c r="T531" t="s">
        <v>4923</v>
      </c>
      <c r="U531" t="s">
        <v>4924</v>
      </c>
      <c r="V531" t="s">
        <v>7547</v>
      </c>
      <c r="W531" t="s">
        <v>3667</v>
      </c>
      <c r="X531">
        <v>139.1</v>
      </c>
    </row>
    <row r="532" spans="1:24" x14ac:dyDescent="0.25">
      <c r="A532" t="s">
        <v>5176</v>
      </c>
      <c r="B532" t="s">
        <v>7507</v>
      </c>
      <c r="C532" t="s">
        <v>7508</v>
      </c>
      <c r="D532" t="s">
        <v>30</v>
      </c>
      <c r="E532" t="s">
        <v>4913</v>
      </c>
      <c r="F532" t="s">
        <v>1928</v>
      </c>
      <c r="G532">
        <f>IF(K532="Pick-up","PICKUPS",IF(K532="Staff drop-off","STAFF_DROPOFF",IF(K532="Replacements","REPLACEMENT",IF(K532="Central Stores Dispatch","CENTRAL STORES DISPATCH",IFNA(IFNA(VLOOKUP(F532,'Raw Platform Nov 4-6 2025'!C:C,1,FALSE),VLOOKUP(F532,'Raw Platform Nov 4-6 2025'!D:D,1,FALSE)),IFNA(VLOOKUP(F532,'Glovo Raw Nov 4-6 2025'!B:B,1,FALSE),"Not Matched"))))))</f>
      </c>
      <c r="H532">
        <f>COUNTIF(F:F,F532)</f>
      </c>
      <c r="I532" t="s">
        <v>7548</v>
      </c>
      <c r="J532" t="s">
        <v>4915</v>
      </c>
      <c r="K532" t="s">
        <v>4916</v>
      </c>
      <c r="L532" t="s">
        <v>7549</v>
      </c>
      <c r="M532" t="s">
        <v>7550</v>
      </c>
      <c r="N532" t="s">
        <v>7551</v>
      </c>
      <c r="O532" t="s">
        <v>123</v>
      </c>
      <c r="P532" t="s">
        <v>6305</v>
      </c>
      <c r="Q532">
        <v>1138</v>
      </c>
      <c r="R532" t="s">
        <v>4922</v>
      </c>
      <c r="S532" t="s">
        <v>29</v>
      </c>
      <c r="T532" t="s">
        <v>4923</v>
      </c>
      <c r="U532" t="s">
        <v>4924</v>
      </c>
      <c r="V532" t="s">
        <v>7552</v>
      </c>
      <c r="W532" t="s">
        <v>3667</v>
      </c>
      <c r="X532">
        <v>143.7</v>
      </c>
    </row>
    <row r="533" spans="1:24" x14ac:dyDescent="0.25">
      <c r="A533" t="s">
        <v>5176</v>
      </c>
      <c r="B533" t="s">
        <v>7507</v>
      </c>
      <c r="C533" t="s">
        <v>7508</v>
      </c>
      <c r="D533" t="s">
        <v>30</v>
      </c>
      <c r="E533" t="s">
        <v>4913</v>
      </c>
      <c r="F533" t="s">
        <v>2010</v>
      </c>
      <c r="G533">
        <f>IF(K533="Pick-up","PICKUPS",IF(K533="Staff drop-off","STAFF_DROPOFF",IF(K533="Replacements","REPLACEMENT",IF(K533="Central Stores Dispatch","CENTRAL STORES DISPATCH",IFNA(IFNA(VLOOKUP(F533,'Raw Platform Nov 4-6 2025'!C:C,1,FALSE),VLOOKUP(F533,'Raw Platform Nov 4-6 2025'!D:D,1,FALSE)),IFNA(VLOOKUP(F533,'Glovo Raw Nov 4-6 2025'!B:B,1,FALSE),"Not Matched"))))))</f>
      </c>
      <c r="H533">
        <f>COUNTIF(F:F,F533)</f>
      </c>
      <c r="I533" t="s">
        <v>7553</v>
      </c>
      <c r="J533" t="s">
        <v>5028</v>
      </c>
      <c r="K533" t="s">
        <v>4927</v>
      </c>
      <c r="L533" t="s">
        <v>7397</v>
      </c>
      <c r="M533" t="s">
        <v>7398</v>
      </c>
      <c r="N533" t="s">
        <v>7554</v>
      </c>
      <c r="O533" t="s">
        <v>123</v>
      </c>
      <c r="P533" t="s">
        <v>6305</v>
      </c>
      <c r="Q533">
        <v>1970</v>
      </c>
      <c r="R533" t="s">
        <v>4922</v>
      </c>
      <c r="S533" t="s">
        <v>172</v>
      </c>
      <c r="T533" t="s">
        <v>4923</v>
      </c>
      <c r="U533" t="s">
        <v>4924</v>
      </c>
      <c r="V533" t="s">
        <v>7555</v>
      </c>
      <c r="W533" t="s">
        <v>3667</v>
      </c>
      <c r="X533">
        <v>143.7</v>
      </c>
    </row>
    <row r="534" spans="1:24" x14ac:dyDescent="0.25">
      <c r="A534" t="s">
        <v>5176</v>
      </c>
      <c r="B534" t="s">
        <v>7507</v>
      </c>
      <c r="C534" t="s">
        <v>7508</v>
      </c>
      <c r="D534" t="s">
        <v>30</v>
      </c>
      <c r="E534" t="s">
        <v>5034</v>
      </c>
      <c r="F534" t="s">
        <v>2010</v>
      </c>
      <c r="G534">
        <f>IF(K534="Pick-up","PICKUPS",IF(K534="Staff drop-off","STAFF_DROPOFF",IF(K534="Replacements","REPLACEMENT",IF(K534="Central Stores Dispatch","CENTRAL STORES DISPATCH",IFNA(IFNA(VLOOKUP(F534,'Raw Platform Nov 4-6 2025'!C:C,1,FALSE),VLOOKUP(F534,'Raw Platform Nov 4-6 2025'!D:D,1,FALSE)),IFNA(VLOOKUP(F534,'Glovo Raw Nov 4-6 2025'!B:B,1,FALSE),"Not Matched"))))))</f>
      </c>
      <c r="H534">
        <f>COUNTIF(F:F,F534)</f>
      </c>
      <c r="I534" t="s">
        <v>7553</v>
      </c>
      <c r="J534" t="s">
        <v>5028</v>
      </c>
      <c r="K534" t="s">
        <v>4927</v>
      </c>
      <c r="L534" t="s">
        <v>7397</v>
      </c>
      <c r="M534" t="s">
        <v>7398</v>
      </c>
      <c r="N534" t="s">
        <v>7554</v>
      </c>
      <c r="O534" t="s">
        <v>123</v>
      </c>
      <c r="P534" t="s">
        <v>6305</v>
      </c>
      <c r="Q534">
        <v>1970</v>
      </c>
      <c r="R534" t="s">
        <v>4922</v>
      </c>
      <c r="S534" t="s">
        <v>172</v>
      </c>
      <c r="T534" t="s">
        <v>4923</v>
      </c>
      <c r="U534" t="s">
        <v>4923</v>
      </c>
      <c r="V534" t="s">
        <v>7556</v>
      </c>
      <c r="W534" t="s">
        <v>3667</v>
      </c>
      <c r="X534">
        <v>0</v>
      </c>
    </row>
    <row r="535" spans="1:24" x14ac:dyDescent="0.25">
      <c r="A535" t="s">
        <v>5176</v>
      </c>
      <c r="B535" t="s">
        <v>7507</v>
      </c>
      <c r="C535" t="s">
        <v>7508</v>
      </c>
      <c r="D535" t="s">
        <v>30</v>
      </c>
      <c r="E535" t="s">
        <v>4913</v>
      </c>
      <c r="F535" t="s">
        <v>3551</v>
      </c>
      <c r="G535">
        <f>IF(K535="Pick-up","PICKUPS",IF(K535="Staff drop-off","STAFF_DROPOFF",IF(K535="Replacements","REPLACEMENT",IF(K535="Central Stores Dispatch","CENTRAL STORES DISPATCH",IFNA(IFNA(VLOOKUP(F535,'Raw Platform Nov 4-6 2025'!C:C,1,FALSE),VLOOKUP(F535,'Raw Platform Nov 4-6 2025'!D:D,1,FALSE)),IFNA(VLOOKUP(F535,'Glovo Raw Nov 4-6 2025'!B:B,1,FALSE),"Not Matched"))))))</f>
      </c>
      <c r="H535">
        <f>COUNTIF(F:F,F535)</f>
      </c>
      <c r="I535" t="s">
        <v>7557</v>
      </c>
      <c r="J535" t="s">
        <v>4915</v>
      </c>
      <c r="K535" t="s">
        <v>4927</v>
      </c>
      <c r="L535" t="s">
        <v>7558</v>
      </c>
      <c r="M535" t="s">
        <v>7559</v>
      </c>
      <c r="N535" t="s">
        <v>7560</v>
      </c>
      <c r="O535" t="s">
        <v>26</v>
      </c>
      <c r="P535" t="s">
        <v>6093</v>
      </c>
      <c r="Q535">
        <v>0</v>
      </c>
      <c r="R535" t="s">
        <v>4922</v>
      </c>
      <c r="S535" t="s">
        <v>29</v>
      </c>
      <c r="T535" t="s">
        <v>4923</v>
      </c>
      <c r="U535" t="s">
        <v>4924</v>
      </c>
      <c r="V535" t="s">
        <v>7561</v>
      </c>
      <c r="W535" t="s">
        <v>3667</v>
      </c>
      <c r="X535">
        <v>132.2</v>
      </c>
    </row>
    <row r="536" spans="1:24" x14ac:dyDescent="0.25">
      <c r="A536" t="s">
        <v>5176</v>
      </c>
      <c r="B536" t="s">
        <v>7507</v>
      </c>
      <c r="C536" t="s">
        <v>7508</v>
      </c>
      <c r="D536" t="s">
        <v>30</v>
      </c>
      <c r="E536" t="s">
        <v>5034</v>
      </c>
      <c r="F536" t="s">
        <v>3551</v>
      </c>
      <c r="G536">
        <f>IF(K536="Pick-up","PICKUPS",IF(K536="Staff drop-off","STAFF_DROPOFF",IF(K536="Replacements","REPLACEMENT",IF(K536="Central Stores Dispatch","CENTRAL STORES DISPATCH",IFNA(IFNA(VLOOKUP(F536,'Raw Platform Nov 4-6 2025'!C:C,1,FALSE),VLOOKUP(F536,'Raw Platform Nov 4-6 2025'!D:D,1,FALSE)),IFNA(VLOOKUP(F536,'Glovo Raw Nov 4-6 2025'!B:B,1,FALSE),"Not Matched"))))))</f>
      </c>
      <c r="H536">
        <f>COUNTIF(F:F,F536)</f>
      </c>
      <c r="I536" t="s">
        <v>7557</v>
      </c>
      <c r="J536" t="s">
        <v>4915</v>
      </c>
      <c r="K536" t="s">
        <v>4927</v>
      </c>
      <c r="L536" t="s">
        <v>7558</v>
      </c>
      <c r="M536" t="s">
        <v>7559</v>
      </c>
      <c r="N536" t="s">
        <v>7560</v>
      </c>
      <c r="O536" t="s">
        <v>26</v>
      </c>
      <c r="P536" t="s">
        <v>6093</v>
      </c>
      <c r="Q536">
        <v>0</v>
      </c>
      <c r="R536" t="s">
        <v>4922</v>
      </c>
      <c r="S536" t="s">
        <v>29</v>
      </c>
      <c r="T536" t="s">
        <v>4923</v>
      </c>
      <c r="U536" t="s">
        <v>4923</v>
      </c>
      <c r="V536" t="s">
        <v>7562</v>
      </c>
      <c r="W536" t="s">
        <v>3667</v>
      </c>
      <c r="X536">
        <v>0</v>
      </c>
    </row>
    <row r="537" spans="1:24" x14ac:dyDescent="0.25">
      <c r="A537" t="s">
        <v>5176</v>
      </c>
      <c r="B537" t="s">
        <v>7507</v>
      </c>
      <c r="C537" t="s">
        <v>7508</v>
      </c>
      <c r="D537" t="s">
        <v>30</v>
      </c>
      <c r="E537" t="s">
        <v>4913</v>
      </c>
      <c r="F537" t="s">
        <v>3480</v>
      </c>
      <c r="G537">
        <f>IF(K537="Pick-up","PICKUPS",IF(K537="Staff drop-off","STAFF_DROPOFF",IF(K537="Replacements","REPLACEMENT",IF(K537="Central Stores Dispatch","CENTRAL STORES DISPATCH",IFNA(IFNA(VLOOKUP(F537,'Raw Platform Nov 4-6 2025'!C:C,1,FALSE),VLOOKUP(F537,'Raw Platform Nov 4-6 2025'!D:D,1,FALSE)),IFNA(VLOOKUP(F537,'Glovo Raw Nov 4-6 2025'!B:B,1,FALSE),"Not Matched"))))))</f>
      </c>
      <c r="H537">
        <f>COUNTIF(F:F,F537)</f>
      </c>
      <c r="I537" t="s">
        <v>7563</v>
      </c>
      <c r="J537" t="s">
        <v>4915</v>
      </c>
      <c r="K537" t="s">
        <v>4916</v>
      </c>
      <c r="L537" t="s">
        <v>7564</v>
      </c>
      <c r="M537" t="s">
        <v>7565</v>
      </c>
      <c r="N537" t="s">
        <v>7566</v>
      </c>
      <c r="O537" t="s">
        <v>123</v>
      </c>
      <c r="P537" t="s">
        <v>5164</v>
      </c>
      <c r="Q537">
        <v>1589</v>
      </c>
      <c r="R537" t="s">
        <v>4922</v>
      </c>
      <c r="S537" t="s">
        <v>12</v>
      </c>
      <c r="T537" t="s">
        <v>4923</v>
      </c>
      <c r="U537" t="s">
        <v>4924</v>
      </c>
      <c r="V537" t="s">
        <v>7567</v>
      </c>
      <c r="W537" t="s">
        <v>3667</v>
      </c>
      <c r="X537">
        <v>146</v>
      </c>
    </row>
    <row r="538" spans="1:24" x14ac:dyDescent="0.25">
      <c r="A538" t="s">
        <v>5176</v>
      </c>
      <c r="B538" t="s">
        <v>7507</v>
      </c>
      <c r="C538" t="s">
        <v>7508</v>
      </c>
      <c r="D538" t="s">
        <v>30</v>
      </c>
      <c r="E538" t="s">
        <v>4913</v>
      </c>
      <c r="F538" t="s">
        <v>2689</v>
      </c>
      <c r="G538">
        <f>IF(K538="Pick-up","PICKUPS",IF(K538="Staff drop-off","STAFF_DROPOFF",IF(K538="Replacements","REPLACEMENT",IF(K538="Central Stores Dispatch","CENTRAL STORES DISPATCH",IFNA(IFNA(VLOOKUP(F538,'Raw Platform Nov 4-6 2025'!C:C,1,FALSE),VLOOKUP(F538,'Raw Platform Nov 4-6 2025'!D:D,1,FALSE)),IFNA(VLOOKUP(F538,'Glovo Raw Nov 4-6 2025'!B:B,1,FALSE),"Not Matched"))))))</f>
      </c>
      <c r="H538">
        <f>COUNTIF(F:F,F538)</f>
      </c>
      <c r="I538" t="s">
        <v>7568</v>
      </c>
      <c r="J538" t="s">
        <v>4915</v>
      </c>
      <c r="K538" t="s">
        <v>4927</v>
      </c>
      <c r="L538" t="s">
        <v>7569</v>
      </c>
      <c r="M538" t="s">
        <v>7321</v>
      </c>
      <c r="N538" t="s">
        <v>7322</v>
      </c>
      <c r="O538" t="s">
        <v>4962</v>
      </c>
      <c r="P538" t="s">
        <v>5025</v>
      </c>
      <c r="Q538">
        <v>0</v>
      </c>
      <c r="R538" t="s">
        <v>4922</v>
      </c>
      <c r="S538" t="s">
        <v>116</v>
      </c>
      <c r="T538" t="s">
        <v>4923</v>
      </c>
      <c r="U538" t="s">
        <v>4924</v>
      </c>
      <c r="V538" t="s">
        <v>7570</v>
      </c>
      <c r="W538" t="s">
        <v>3667</v>
      </c>
      <c r="X538">
        <v>100</v>
      </c>
    </row>
    <row r="539" spans="1:24" x14ac:dyDescent="0.25">
      <c r="A539" t="s">
        <v>5176</v>
      </c>
      <c r="B539" t="s">
        <v>7507</v>
      </c>
      <c r="C539" t="s">
        <v>7508</v>
      </c>
      <c r="D539" t="s">
        <v>30</v>
      </c>
      <c r="E539" t="s">
        <v>4913</v>
      </c>
      <c r="F539" t="s">
        <v>2499</v>
      </c>
      <c r="G539">
        <f>IF(K539="Pick-up","PICKUPS",IF(K539="Staff drop-off","STAFF_DROPOFF",IF(K539="Replacements","REPLACEMENT",IF(K539="Central Stores Dispatch","CENTRAL STORES DISPATCH",IFNA(IFNA(VLOOKUP(F539,'Raw Platform Nov 4-6 2025'!C:C,1,FALSE),VLOOKUP(F539,'Raw Platform Nov 4-6 2025'!D:D,1,FALSE)),IFNA(VLOOKUP(F539,'Glovo Raw Nov 4-6 2025'!B:B,1,FALSE),"Not Matched"))))))</f>
      </c>
      <c r="H539">
        <f>COUNTIF(F:F,F539)</f>
      </c>
      <c r="I539" t="s">
        <v>7571</v>
      </c>
      <c r="J539" t="s">
        <v>63</v>
      </c>
      <c r="K539" t="s">
        <v>4927</v>
      </c>
      <c r="L539" t="s">
        <v>7572</v>
      </c>
      <c r="M539" t="s">
        <v>7573</v>
      </c>
      <c r="N539" t="s">
        <v>7574</v>
      </c>
      <c r="O539" t="s">
        <v>53</v>
      </c>
      <c r="P539" t="s">
        <v>5128</v>
      </c>
      <c r="Q539">
        <v>0</v>
      </c>
      <c r="R539" t="s">
        <v>4922</v>
      </c>
      <c r="S539" t="s">
        <v>12</v>
      </c>
      <c r="T539" t="s">
        <v>4923</v>
      </c>
      <c r="U539" t="s">
        <v>4924</v>
      </c>
      <c r="V539" t="s">
        <v>7575</v>
      </c>
      <c r="W539" t="s">
        <v>3667</v>
      </c>
      <c r="X539">
        <v>116.1</v>
      </c>
    </row>
    <row r="540" spans="1:24" x14ac:dyDescent="0.25">
      <c r="A540" t="s">
        <v>5176</v>
      </c>
      <c r="B540" t="s">
        <v>7507</v>
      </c>
      <c r="C540" t="s">
        <v>7508</v>
      </c>
      <c r="D540" t="s">
        <v>30</v>
      </c>
      <c r="E540" t="s">
        <v>4913</v>
      </c>
      <c r="F540" t="s">
        <v>3229</v>
      </c>
      <c r="G540">
        <f>IF(K540="Pick-up","PICKUPS",IF(K540="Staff drop-off","STAFF_DROPOFF",IF(K540="Replacements","REPLACEMENT",IF(K540="Central Stores Dispatch","CENTRAL STORES DISPATCH",IFNA(IFNA(VLOOKUP(F540,'Raw Platform Nov 4-6 2025'!C:C,1,FALSE),VLOOKUP(F540,'Raw Platform Nov 4-6 2025'!D:D,1,FALSE)),IFNA(VLOOKUP(F540,'Glovo Raw Nov 4-6 2025'!B:B,1,FALSE),"Not Matched"))))))</f>
      </c>
      <c r="H540">
        <f>COUNTIF(F:F,F540)</f>
      </c>
      <c r="I540" t="s">
        <v>7576</v>
      </c>
      <c r="J540" t="s">
        <v>4915</v>
      </c>
      <c r="K540" t="s">
        <v>4916</v>
      </c>
      <c r="L540" t="s">
        <v>5456</v>
      </c>
      <c r="M540" t="s">
        <v>7577</v>
      </c>
      <c r="N540" t="s">
        <v>7578</v>
      </c>
      <c r="O540" t="s">
        <v>77</v>
      </c>
      <c r="P540" t="s">
        <v>4949</v>
      </c>
      <c r="Q540">
        <v>1470</v>
      </c>
      <c r="R540" t="s">
        <v>4922</v>
      </c>
      <c r="S540" t="s">
        <v>172</v>
      </c>
      <c r="T540" t="s">
        <v>4923</v>
      </c>
      <c r="U540" t="s">
        <v>4924</v>
      </c>
      <c r="V540" t="s">
        <v>7579</v>
      </c>
      <c r="W540" t="s">
        <v>3667</v>
      </c>
      <c r="X540">
        <v>157.5</v>
      </c>
    </row>
    <row r="541" spans="1:24" x14ac:dyDescent="0.25">
      <c r="A541" t="s">
        <v>5176</v>
      </c>
      <c r="B541" t="s">
        <v>7580</v>
      </c>
      <c r="C541" t="s">
        <v>7581</v>
      </c>
      <c r="D541" t="s">
        <v>30</v>
      </c>
      <c r="E541" t="s">
        <v>4913</v>
      </c>
      <c r="F541" t="s">
        <v>596</v>
      </c>
      <c r="G541">
        <f>IF(K541="Pick-up","PICKUPS",IF(K541="Staff drop-off","STAFF_DROPOFF",IF(K541="Replacements","REPLACEMENT",IF(K541="Central Stores Dispatch","CENTRAL STORES DISPATCH",IFNA(IFNA(VLOOKUP(F541,'Raw Platform Nov 4-6 2025'!C:C,1,FALSE),VLOOKUP(F541,'Raw Platform Nov 4-6 2025'!D:D,1,FALSE)),IFNA(VLOOKUP(F541,'Glovo Raw Nov 4-6 2025'!B:B,1,FALSE),"Not Matched"))))))</f>
      </c>
      <c r="H541">
        <f>COUNTIF(F:F,F541)</f>
      </c>
      <c r="I541" t="s">
        <v>7582</v>
      </c>
      <c r="J541" t="s">
        <v>4915</v>
      </c>
      <c r="K541" t="s">
        <v>4916</v>
      </c>
      <c r="L541" t="s">
        <v>7583</v>
      </c>
      <c r="M541" t="s">
        <v>7584</v>
      </c>
      <c r="N541" t="s">
        <v>7585</v>
      </c>
      <c r="O541" t="s">
        <v>5469</v>
      </c>
      <c r="P541" t="s">
        <v>7586</v>
      </c>
      <c r="Q541">
        <v>700</v>
      </c>
      <c r="R541" t="s">
        <v>5118</v>
      </c>
      <c r="S541" t="s">
        <v>172</v>
      </c>
      <c r="T541" t="s">
        <v>4923</v>
      </c>
      <c r="U541" t="s">
        <v>4924</v>
      </c>
      <c r="V541" t="s">
        <v>7587</v>
      </c>
      <c r="W541" t="s">
        <v>3667</v>
      </c>
      <c r="X541">
        <v>233.4</v>
      </c>
    </row>
    <row r="542" spans="1:24" x14ac:dyDescent="0.25">
      <c r="A542" t="s">
        <v>5176</v>
      </c>
      <c r="B542" t="s">
        <v>7580</v>
      </c>
      <c r="C542" t="s">
        <v>7581</v>
      </c>
      <c r="D542" t="s">
        <v>30</v>
      </c>
      <c r="E542" t="s">
        <v>4913</v>
      </c>
      <c r="F542" t="s">
        <v>730</v>
      </c>
      <c r="G542">
        <f>IF(K542="Pick-up","PICKUPS",IF(K542="Staff drop-off","STAFF_DROPOFF",IF(K542="Replacements","REPLACEMENT",IF(K542="Central Stores Dispatch","CENTRAL STORES DISPATCH",IFNA(IFNA(VLOOKUP(F542,'Raw Platform Nov 4-6 2025'!C:C,1,FALSE),VLOOKUP(F542,'Raw Platform Nov 4-6 2025'!D:D,1,FALSE)),IFNA(VLOOKUP(F542,'Glovo Raw Nov 4-6 2025'!B:B,1,FALSE),"Not Matched"))))))</f>
      </c>
      <c r="H542">
        <f>COUNTIF(F:F,F542)</f>
      </c>
      <c r="I542" t="s">
        <v>7588</v>
      </c>
      <c r="J542" t="s">
        <v>4915</v>
      </c>
      <c r="K542" t="s">
        <v>4927</v>
      </c>
      <c r="L542" t="s">
        <v>7589</v>
      </c>
      <c r="M542" t="s">
        <v>7590</v>
      </c>
      <c r="N542" t="s">
        <v>5789</v>
      </c>
      <c r="O542" t="s">
        <v>4962</v>
      </c>
      <c r="P542" t="s">
        <v>5097</v>
      </c>
      <c r="Q542">
        <v>0</v>
      </c>
      <c r="R542" t="s">
        <v>5118</v>
      </c>
      <c r="S542" t="s">
        <v>45</v>
      </c>
      <c r="T542" t="s">
        <v>4923</v>
      </c>
      <c r="U542" t="s">
        <v>4924</v>
      </c>
      <c r="V542" t="s">
        <v>7591</v>
      </c>
      <c r="W542" t="s">
        <v>3667</v>
      </c>
      <c r="X542">
        <v>100</v>
      </c>
    </row>
    <row r="543" spans="1:24" x14ac:dyDescent="0.25">
      <c r="A543" t="s">
        <v>5176</v>
      </c>
      <c r="B543" t="s">
        <v>7580</v>
      </c>
      <c r="C543" t="s">
        <v>7581</v>
      </c>
      <c r="D543" t="s">
        <v>30</v>
      </c>
      <c r="E543" t="s">
        <v>5034</v>
      </c>
      <c r="F543" t="s">
        <v>406</v>
      </c>
      <c r="G543">
        <f>IF(K543="Pick-up","PICKUPS",IF(K543="Staff drop-off","STAFF_DROPOFF",IF(K543="Replacements","REPLACEMENT",IF(K543="Central Stores Dispatch","CENTRAL STORES DISPATCH",IFNA(IFNA(VLOOKUP(F543,'Raw Platform Nov 4-6 2025'!C:C,1,FALSE),VLOOKUP(F543,'Raw Platform Nov 4-6 2025'!D:D,1,FALSE)),IFNA(VLOOKUP(F543,'Glovo Raw Nov 4-6 2025'!B:B,1,FALSE),"Not Matched"))))))</f>
      </c>
      <c r="H543">
        <f>COUNTIF(F:F,F543)</f>
      </c>
      <c r="I543" t="s">
        <v>7592</v>
      </c>
      <c r="J543" t="s">
        <v>4915</v>
      </c>
      <c r="K543" t="s">
        <v>4927</v>
      </c>
      <c r="L543" t="s">
        <v>7593</v>
      </c>
      <c r="M543" t="s">
        <v>7594</v>
      </c>
      <c r="N543" t="s">
        <v>7595</v>
      </c>
      <c r="O543" t="s">
        <v>47</v>
      </c>
      <c r="P543" t="s">
        <v>4984</v>
      </c>
      <c r="Q543">
        <v>0</v>
      </c>
      <c r="R543" t="s">
        <v>5118</v>
      </c>
      <c r="S543" t="s">
        <v>172</v>
      </c>
      <c r="T543" t="s">
        <v>4923</v>
      </c>
      <c r="U543" t="s">
        <v>4923</v>
      </c>
      <c r="V543" t="s">
        <v>7596</v>
      </c>
      <c r="W543" t="s">
        <v>3667</v>
      </c>
      <c r="X543">
        <v>0</v>
      </c>
    </row>
    <row r="544" spans="1:24" x14ac:dyDescent="0.25">
      <c r="A544" t="s">
        <v>5176</v>
      </c>
      <c r="B544" t="s">
        <v>7580</v>
      </c>
      <c r="C544" t="s">
        <v>7581</v>
      </c>
      <c r="D544" t="s">
        <v>30</v>
      </c>
      <c r="E544" t="s">
        <v>4913</v>
      </c>
      <c r="F544" t="s">
        <v>406</v>
      </c>
      <c r="G544">
        <f>IF(K544="Pick-up","PICKUPS",IF(K544="Staff drop-off","STAFF_DROPOFF",IF(K544="Replacements","REPLACEMENT",IF(K544="Central Stores Dispatch","CENTRAL STORES DISPATCH",IFNA(IFNA(VLOOKUP(F544,'Raw Platform Nov 4-6 2025'!C:C,1,FALSE),VLOOKUP(F544,'Raw Platform Nov 4-6 2025'!D:D,1,FALSE)),IFNA(VLOOKUP(F544,'Glovo Raw Nov 4-6 2025'!B:B,1,FALSE),"Not Matched"))))))</f>
      </c>
      <c r="H544">
        <f>COUNTIF(F:F,F544)</f>
      </c>
      <c r="I544" t="s">
        <v>7592</v>
      </c>
      <c r="J544" t="s">
        <v>4915</v>
      </c>
      <c r="K544" t="s">
        <v>4927</v>
      </c>
      <c r="L544" t="s">
        <v>7593</v>
      </c>
      <c r="M544" t="s">
        <v>7594</v>
      </c>
      <c r="N544" t="s">
        <v>7595</v>
      </c>
      <c r="O544" t="s">
        <v>47</v>
      </c>
      <c r="P544" t="s">
        <v>4984</v>
      </c>
      <c r="Q544">
        <v>0</v>
      </c>
      <c r="R544" t="s">
        <v>5118</v>
      </c>
      <c r="S544" t="s">
        <v>172</v>
      </c>
      <c r="T544" t="s">
        <v>4923</v>
      </c>
      <c r="U544" t="s">
        <v>4924</v>
      </c>
      <c r="V544" t="s">
        <v>7597</v>
      </c>
      <c r="W544" t="s">
        <v>3667</v>
      </c>
      <c r="X544">
        <v>100</v>
      </c>
    </row>
    <row r="545" spans="1:24" x14ac:dyDescent="0.25">
      <c r="A545" t="s">
        <v>5176</v>
      </c>
      <c r="B545" t="s">
        <v>7580</v>
      </c>
      <c r="C545" t="s">
        <v>7581</v>
      </c>
      <c r="D545" t="s">
        <v>30</v>
      </c>
      <c r="E545" t="s">
        <v>4913</v>
      </c>
      <c r="F545" t="s">
        <v>114</v>
      </c>
      <c r="G545">
        <f>IF(K545="Pick-up","PICKUPS",IF(K545="Staff drop-off","STAFF_DROPOFF",IF(K545="Replacements","REPLACEMENT",IF(K545="Central Stores Dispatch","CENTRAL STORES DISPATCH",IFNA(IFNA(VLOOKUP(F545,'Raw Platform Nov 4-6 2025'!C:C,1,FALSE),VLOOKUP(F545,'Raw Platform Nov 4-6 2025'!D:D,1,FALSE)),IFNA(VLOOKUP(F545,'Glovo Raw Nov 4-6 2025'!B:B,1,FALSE),"Not Matched"))))))</f>
      </c>
      <c r="H545">
        <f>COUNTIF(F:F,F545)</f>
      </c>
      <c r="I545" t="s">
        <v>7598</v>
      </c>
      <c r="J545" t="s">
        <v>4915</v>
      </c>
      <c r="K545" t="s">
        <v>4927</v>
      </c>
      <c r="L545" t="s">
        <v>7599</v>
      </c>
      <c r="M545" t="s">
        <v>7600</v>
      </c>
      <c r="N545" t="s">
        <v>6029</v>
      </c>
      <c r="O545" t="s">
        <v>47</v>
      </c>
      <c r="P545" t="s">
        <v>5045</v>
      </c>
      <c r="Q545">
        <v>0</v>
      </c>
      <c r="R545" t="s">
        <v>5118</v>
      </c>
      <c r="S545" t="s">
        <v>29</v>
      </c>
      <c r="T545" t="s">
        <v>4923</v>
      </c>
      <c r="U545" t="s">
        <v>4924</v>
      </c>
      <c r="V545" t="s">
        <v>7601</v>
      </c>
      <c r="W545" t="s">
        <v>3667</v>
      </c>
      <c r="X545">
        <v>102.3</v>
      </c>
    </row>
    <row r="546" spans="1:24" x14ac:dyDescent="0.25">
      <c r="A546" t="s">
        <v>5176</v>
      </c>
      <c r="B546" t="s">
        <v>7580</v>
      </c>
      <c r="C546" t="s">
        <v>7581</v>
      </c>
      <c r="D546" t="s">
        <v>191</v>
      </c>
      <c r="E546" t="s">
        <v>4913</v>
      </c>
      <c r="F546" t="s">
        <v>78</v>
      </c>
      <c r="G546">
        <f>IF(K546="Pick-up","PICKUPS",IF(K546="Staff drop-off","STAFF_DROPOFF",IF(K546="Replacements","REPLACEMENT",IF(K546="Central Stores Dispatch","CENTRAL STORES DISPATCH",IFNA(IFNA(VLOOKUP(F546,'Raw Platform Nov 4-6 2025'!C:C,1,FALSE),VLOOKUP(F546,'Raw Platform Nov 4-6 2025'!D:D,1,FALSE)),IFNA(VLOOKUP(F546,'Glovo Raw Nov 4-6 2025'!B:B,1,FALSE),"Not Matched"))))))</f>
      </c>
      <c r="H546">
        <f>COUNTIF(F:F,F546)</f>
      </c>
      <c r="I546" t="s">
        <v>7602</v>
      </c>
      <c r="J546" t="s">
        <v>4915</v>
      </c>
      <c r="K546" t="s">
        <v>4927</v>
      </c>
      <c r="L546" t="s">
        <v>7603</v>
      </c>
      <c r="M546" t="s">
        <v>7604</v>
      </c>
      <c r="N546" t="s">
        <v>7605</v>
      </c>
      <c r="O546" t="s">
        <v>6329</v>
      </c>
      <c r="P546" t="s">
        <v>7442</v>
      </c>
      <c r="Q546">
        <v>0</v>
      </c>
      <c r="R546" t="s">
        <v>5118</v>
      </c>
      <c r="S546" t="s">
        <v>5184</v>
      </c>
      <c r="T546" t="s">
        <v>4923</v>
      </c>
      <c r="U546" t="s">
        <v>4924</v>
      </c>
      <c r="V546" t="s">
        <v>7606</v>
      </c>
      <c r="W546" t="s">
        <v>3667</v>
      </c>
      <c r="X546">
        <v>371.4</v>
      </c>
    </row>
    <row r="547" spans="1:24" x14ac:dyDescent="0.25">
      <c r="A547" t="s">
        <v>5176</v>
      </c>
      <c r="B547" t="s">
        <v>7580</v>
      </c>
      <c r="C547" t="s">
        <v>7581</v>
      </c>
      <c r="D547" t="s">
        <v>30</v>
      </c>
      <c r="E547" t="s">
        <v>4913</v>
      </c>
      <c r="F547" t="s">
        <v>1265</v>
      </c>
      <c r="G547">
        <f>IF(K547="Pick-up","PICKUPS",IF(K547="Staff drop-off","STAFF_DROPOFF",IF(K547="Replacements","REPLACEMENT",IF(K547="Central Stores Dispatch","CENTRAL STORES DISPATCH",IFNA(IFNA(VLOOKUP(F547,'Raw Platform Nov 4-6 2025'!C:C,1,FALSE),VLOOKUP(F547,'Raw Platform Nov 4-6 2025'!D:D,1,FALSE)),IFNA(VLOOKUP(F547,'Glovo Raw Nov 4-6 2025'!B:B,1,FALSE),"Not Matched"))))))</f>
      </c>
      <c r="H547">
        <f>COUNTIF(F:F,F547)</f>
      </c>
      <c r="I547" t="s">
        <v>7607</v>
      </c>
      <c r="J547" t="s">
        <v>4915</v>
      </c>
      <c r="K547" t="s">
        <v>4927</v>
      </c>
      <c r="L547" t="s">
        <v>7608</v>
      </c>
      <c r="M547" t="s">
        <v>5327</v>
      </c>
      <c r="N547" t="s">
        <v>7609</v>
      </c>
      <c r="O547" t="s">
        <v>2009</v>
      </c>
      <c r="P547" t="s">
        <v>4950</v>
      </c>
      <c r="Q547">
        <v>0</v>
      </c>
      <c r="R547" t="s">
        <v>5118</v>
      </c>
      <c r="S547" t="s">
        <v>45</v>
      </c>
      <c r="T547" t="s">
        <v>4923</v>
      </c>
      <c r="U547" t="s">
        <v>4924</v>
      </c>
      <c r="V547" t="s">
        <v>7610</v>
      </c>
      <c r="W547" t="s">
        <v>3667</v>
      </c>
      <c r="X547">
        <v>100</v>
      </c>
    </row>
    <row r="548" spans="1:24" x14ac:dyDescent="0.25">
      <c r="A548" t="s">
        <v>5176</v>
      </c>
      <c r="B548" t="s">
        <v>7580</v>
      </c>
      <c r="C548" t="s">
        <v>7581</v>
      </c>
      <c r="D548" t="s">
        <v>30</v>
      </c>
      <c r="E548" t="s">
        <v>4913</v>
      </c>
      <c r="F548" t="s">
        <v>1937</v>
      </c>
      <c r="G548">
        <f>IF(K548="Pick-up","PICKUPS",IF(K548="Staff drop-off","STAFF_DROPOFF",IF(K548="Replacements","REPLACEMENT",IF(K548="Central Stores Dispatch","CENTRAL STORES DISPATCH",IFNA(IFNA(VLOOKUP(F548,'Raw Platform Nov 4-6 2025'!C:C,1,FALSE),VLOOKUP(F548,'Raw Platform Nov 4-6 2025'!D:D,1,FALSE)),IFNA(VLOOKUP(F548,'Glovo Raw Nov 4-6 2025'!B:B,1,FALSE),"Not Matched"))))))</f>
      </c>
      <c r="H548">
        <f>COUNTIF(F:F,F548)</f>
      </c>
      <c r="I548" t="s">
        <v>7611</v>
      </c>
      <c r="J548" t="s">
        <v>4915</v>
      </c>
      <c r="K548" t="s">
        <v>4927</v>
      </c>
      <c r="L548" t="s">
        <v>7612</v>
      </c>
      <c r="M548" t="s">
        <v>7613</v>
      </c>
      <c r="N548" t="s">
        <v>7614</v>
      </c>
      <c r="O548" t="s">
        <v>73</v>
      </c>
      <c r="P548" t="s">
        <v>5953</v>
      </c>
      <c r="Q548">
        <v>0</v>
      </c>
      <c r="R548" t="s">
        <v>5118</v>
      </c>
      <c r="S548" t="s">
        <v>172</v>
      </c>
      <c r="T548" t="s">
        <v>4923</v>
      </c>
      <c r="U548" t="s">
        <v>4924</v>
      </c>
      <c r="V548" t="s">
        <v>7615</v>
      </c>
      <c r="W548" t="s">
        <v>3667</v>
      </c>
      <c r="X548">
        <v>118.4</v>
      </c>
    </row>
    <row r="549" spans="1:24" x14ac:dyDescent="0.25">
      <c r="A549" t="s">
        <v>5176</v>
      </c>
      <c r="B549" t="s">
        <v>7580</v>
      </c>
      <c r="C549" t="s">
        <v>7581</v>
      </c>
      <c r="D549" t="s">
        <v>30</v>
      </c>
      <c r="E549" t="s">
        <v>4913</v>
      </c>
      <c r="F549" t="s">
        <v>1931</v>
      </c>
      <c r="G549">
        <f>IF(K549="Pick-up","PICKUPS",IF(K549="Staff drop-off","STAFF_DROPOFF",IF(K549="Replacements","REPLACEMENT",IF(K549="Central Stores Dispatch","CENTRAL STORES DISPATCH",IFNA(IFNA(VLOOKUP(F549,'Raw Platform Nov 4-6 2025'!C:C,1,FALSE),VLOOKUP(F549,'Raw Platform Nov 4-6 2025'!D:D,1,FALSE)),IFNA(VLOOKUP(F549,'Glovo Raw Nov 4-6 2025'!B:B,1,FALSE),"Not Matched"))))))</f>
      </c>
      <c r="H549">
        <f>COUNTIF(F:F,F549)</f>
      </c>
      <c r="I549" t="s">
        <v>7616</v>
      </c>
      <c r="J549" t="s">
        <v>4915</v>
      </c>
      <c r="K549" t="s">
        <v>4916</v>
      </c>
      <c r="L549" t="s">
        <v>7617</v>
      </c>
      <c r="M549" t="s">
        <v>7618</v>
      </c>
      <c r="N549" t="s">
        <v>7619</v>
      </c>
      <c r="O549" t="s">
        <v>100</v>
      </c>
      <c r="P549" t="s">
        <v>7620</v>
      </c>
      <c r="Q549">
        <v>1505</v>
      </c>
      <c r="R549" t="s">
        <v>5118</v>
      </c>
      <c r="S549" t="s">
        <v>45</v>
      </c>
      <c r="T549" t="s">
        <v>4923</v>
      </c>
      <c r="U549" t="s">
        <v>4924</v>
      </c>
      <c r="V549" t="s">
        <v>7621</v>
      </c>
      <c r="W549" t="s">
        <v>3667</v>
      </c>
      <c r="X549">
        <v>212.7</v>
      </c>
    </row>
    <row r="550" spans="1:24" x14ac:dyDescent="0.25">
      <c r="A550" t="s">
        <v>5176</v>
      </c>
      <c r="B550" t="s">
        <v>7580</v>
      </c>
      <c r="C550" t="s">
        <v>7581</v>
      </c>
      <c r="D550" t="s">
        <v>30</v>
      </c>
      <c r="E550" t="s">
        <v>4913</v>
      </c>
      <c r="F550" t="s">
        <v>3078</v>
      </c>
      <c r="G550">
        <f>IF(K550="Pick-up","PICKUPS",IF(K550="Staff drop-off","STAFF_DROPOFF",IF(K550="Replacements","REPLACEMENT",IF(K550="Central Stores Dispatch","CENTRAL STORES DISPATCH",IFNA(IFNA(VLOOKUP(F550,'Raw Platform Nov 4-6 2025'!C:C,1,FALSE),VLOOKUP(F550,'Raw Platform Nov 4-6 2025'!D:D,1,FALSE)),IFNA(VLOOKUP(F550,'Glovo Raw Nov 4-6 2025'!B:B,1,FALSE),"Not Matched"))))))</f>
      </c>
      <c r="H550">
        <f>COUNTIF(F:F,F550)</f>
      </c>
      <c r="I550" t="s">
        <v>7622</v>
      </c>
      <c r="J550" t="s">
        <v>63</v>
      </c>
      <c r="K550" t="s">
        <v>4927</v>
      </c>
      <c r="L550" t="s">
        <v>7623</v>
      </c>
      <c r="M550" t="s">
        <v>5327</v>
      </c>
      <c r="N550" t="s">
        <v>6346</v>
      </c>
      <c r="O550" t="s">
        <v>73</v>
      </c>
      <c r="P550" t="s">
        <v>5572</v>
      </c>
      <c r="Q550">
        <v>0</v>
      </c>
      <c r="R550" t="s">
        <v>5118</v>
      </c>
      <c r="S550" t="s">
        <v>29</v>
      </c>
      <c r="T550" t="s">
        <v>4923</v>
      </c>
      <c r="U550" t="s">
        <v>4924</v>
      </c>
      <c r="V550" t="s">
        <v>7624</v>
      </c>
      <c r="W550" t="s">
        <v>3667</v>
      </c>
      <c r="X550">
        <v>125.3</v>
      </c>
    </row>
    <row r="551" spans="1:24" x14ac:dyDescent="0.25">
      <c r="A551" t="s">
        <v>5176</v>
      </c>
      <c r="B551" t="s">
        <v>7580</v>
      </c>
      <c r="C551" t="s">
        <v>7581</v>
      </c>
      <c r="D551" t="s">
        <v>30</v>
      </c>
      <c r="E551" t="s">
        <v>4913</v>
      </c>
      <c r="F551" t="s">
        <v>3286</v>
      </c>
      <c r="G551">
        <f>IF(K551="Pick-up","PICKUPS",IF(K551="Staff drop-off","STAFF_DROPOFF",IF(K551="Replacements","REPLACEMENT",IF(K551="Central Stores Dispatch","CENTRAL STORES DISPATCH",IFNA(IFNA(VLOOKUP(F551,'Raw Platform Nov 4-6 2025'!C:C,1,FALSE),VLOOKUP(F551,'Raw Platform Nov 4-6 2025'!D:D,1,FALSE)),IFNA(VLOOKUP(F551,'Glovo Raw Nov 4-6 2025'!B:B,1,FALSE),"Not Matched"))))))</f>
      </c>
      <c r="H551">
        <f>COUNTIF(F:F,F551)</f>
      </c>
      <c r="I551" t="s">
        <v>7625</v>
      </c>
      <c r="J551" t="s">
        <v>5341</v>
      </c>
      <c r="K551" t="s">
        <v>4927</v>
      </c>
      <c r="L551" t="s">
        <v>7626</v>
      </c>
      <c r="M551" t="s">
        <v>7627</v>
      </c>
      <c r="N551" t="s">
        <v>7628</v>
      </c>
      <c r="O551" t="s">
        <v>7629</v>
      </c>
      <c r="P551" t="s">
        <v>7630</v>
      </c>
      <c r="Q551">
        <v>0</v>
      </c>
      <c r="R551" t="s">
        <v>5118</v>
      </c>
      <c r="S551" t="s">
        <v>3534</v>
      </c>
      <c r="T551" t="s">
        <v>4923</v>
      </c>
      <c r="U551" t="s">
        <v>4924</v>
      </c>
      <c r="V551" t="s">
        <v>7631</v>
      </c>
      <c r="W551" t="s">
        <v>3667</v>
      </c>
      <c r="X551">
        <v>746.3</v>
      </c>
    </row>
    <row r="552" spans="1:24" x14ac:dyDescent="0.25">
      <c r="A552" t="s">
        <v>5176</v>
      </c>
      <c r="B552" t="s">
        <v>7580</v>
      </c>
      <c r="C552" t="s">
        <v>7581</v>
      </c>
      <c r="D552" t="s">
        <v>30</v>
      </c>
      <c r="E552" t="s">
        <v>4913</v>
      </c>
      <c r="F552" t="s">
        <v>2969</v>
      </c>
      <c r="G552">
        <f>IF(K552="Pick-up","PICKUPS",IF(K552="Staff drop-off","STAFF_DROPOFF",IF(K552="Replacements","REPLACEMENT",IF(K552="Central Stores Dispatch","CENTRAL STORES DISPATCH",IFNA(IFNA(VLOOKUP(F552,'Raw Platform Nov 4-6 2025'!C:C,1,FALSE),VLOOKUP(F552,'Raw Platform Nov 4-6 2025'!D:D,1,FALSE)),IFNA(VLOOKUP(F552,'Glovo Raw Nov 4-6 2025'!B:B,1,FALSE),"Not Matched"))))))</f>
      </c>
      <c r="H552">
        <f>COUNTIF(F:F,F552)</f>
      </c>
      <c r="I552" t="s">
        <v>7632</v>
      </c>
      <c r="J552" t="s">
        <v>5341</v>
      </c>
      <c r="K552" t="s">
        <v>4916</v>
      </c>
      <c r="L552" t="s">
        <v>7633</v>
      </c>
      <c r="M552" t="s">
        <v>7634</v>
      </c>
      <c r="N552" t="s">
        <v>7635</v>
      </c>
      <c r="O552" t="s">
        <v>32</v>
      </c>
      <c r="P552" t="s">
        <v>47</v>
      </c>
      <c r="Q552">
        <v>2530</v>
      </c>
      <c r="R552" t="s">
        <v>5118</v>
      </c>
      <c r="S552" t="s">
        <v>29</v>
      </c>
      <c r="T552" t="s">
        <v>4923</v>
      </c>
      <c r="U552" t="s">
        <v>4924</v>
      </c>
      <c r="V552" t="s">
        <v>7636</v>
      </c>
      <c r="W552" t="s">
        <v>3667</v>
      </c>
      <c r="X552">
        <v>226.5</v>
      </c>
    </row>
    <row r="553" spans="1:24" x14ac:dyDescent="0.25">
      <c r="A553" t="s">
        <v>5176</v>
      </c>
      <c r="B553" t="s">
        <v>7580</v>
      </c>
      <c r="C553" t="s">
        <v>7581</v>
      </c>
      <c r="D553" t="s">
        <v>30</v>
      </c>
      <c r="E553" t="s">
        <v>4913</v>
      </c>
      <c r="F553" t="s">
        <v>2907</v>
      </c>
      <c r="G553">
        <f>IF(K553="Pick-up","PICKUPS",IF(K553="Staff drop-off","STAFF_DROPOFF",IF(K553="Replacements","REPLACEMENT",IF(K553="Central Stores Dispatch","CENTRAL STORES DISPATCH",IFNA(IFNA(VLOOKUP(F553,'Raw Platform Nov 4-6 2025'!C:C,1,FALSE),VLOOKUP(F553,'Raw Platform Nov 4-6 2025'!D:D,1,FALSE)),IFNA(VLOOKUP(F553,'Glovo Raw Nov 4-6 2025'!B:B,1,FALSE),"Not Matched"))))))</f>
      </c>
      <c r="H553">
        <f>COUNTIF(F:F,F553)</f>
      </c>
      <c r="I553" t="s">
        <v>7637</v>
      </c>
      <c r="J553" t="s">
        <v>4915</v>
      </c>
      <c r="K553" t="s">
        <v>4927</v>
      </c>
      <c r="L553" t="s">
        <v>7638</v>
      </c>
      <c r="M553" t="s">
        <v>5327</v>
      </c>
      <c r="N553" t="s">
        <v>7639</v>
      </c>
      <c r="O553" t="s">
        <v>37</v>
      </c>
      <c r="P553" t="s">
        <v>5685</v>
      </c>
      <c r="Q553">
        <v>0</v>
      </c>
      <c r="R553" t="s">
        <v>5118</v>
      </c>
      <c r="S553" t="s">
        <v>172</v>
      </c>
      <c r="T553" t="s">
        <v>4923</v>
      </c>
      <c r="U553" t="s">
        <v>4924</v>
      </c>
      <c r="V553" t="s">
        <v>7640</v>
      </c>
      <c r="W553" t="s">
        <v>3667</v>
      </c>
      <c r="X553">
        <v>261</v>
      </c>
    </row>
    <row r="554" spans="1:24" x14ac:dyDescent="0.25">
      <c r="A554" t="s">
        <v>5176</v>
      </c>
      <c r="B554" t="s">
        <v>7580</v>
      </c>
      <c r="C554" t="s">
        <v>7581</v>
      </c>
      <c r="D554" t="s">
        <v>30</v>
      </c>
      <c r="E554" t="s">
        <v>4913</v>
      </c>
      <c r="F554" t="s">
        <v>3557</v>
      </c>
      <c r="G554">
        <f>IF(K554="Pick-up","PICKUPS",IF(K554="Staff drop-off","STAFF_DROPOFF",IF(K554="Replacements","REPLACEMENT",IF(K554="Central Stores Dispatch","CENTRAL STORES DISPATCH",IFNA(IFNA(VLOOKUP(F554,'Raw Platform Nov 4-6 2025'!C:C,1,FALSE),VLOOKUP(F554,'Raw Platform Nov 4-6 2025'!D:D,1,FALSE)),IFNA(VLOOKUP(F554,'Glovo Raw Nov 4-6 2025'!B:B,1,FALSE),"Not Matched"))))))</f>
      </c>
      <c r="H554">
        <f>COUNTIF(F:F,F554)</f>
      </c>
      <c r="I554" t="s">
        <v>7641</v>
      </c>
      <c r="J554" t="s">
        <v>4915</v>
      </c>
      <c r="K554" t="s">
        <v>4916</v>
      </c>
      <c r="L554" t="s">
        <v>7642</v>
      </c>
      <c r="M554" t="s">
        <v>7643</v>
      </c>
      <c r="N554" t="s">
        <v>7644</v>
      </c>
      <c r="O554" t="s">
        <v>73</v>
      </c>
      <c r="P554" t="s">
        <v>4990</v>
      </c>
      <c r="Q554">
        <v>943</v>
      </c>
      <c r="R554" t="s">
        <v>5118</v>
      </c>
      <c r="S554" t="s">
        <v>12</v>
      </c>
      <c r="T554" t="s">
        <v>4923</v>
      </c>
      <c r="U554" t="s">
        <v>4924</v>
      </c>
      <c r="V554" t="s">
        <v>7645</v>
      </c>
      <c r="W554" t="s">
        <v>3667</v>
      </c>
      <c r="X554">
        <v>111.5</v>
      </c>
    </row>
    <row r="555" spans="1:24" x14ac:dyDescent="0.25">
      <c r="A555" t="s">
        <v>6063</v>
      </c>
      <c r="B555" t="s">
        <v>7646</v>
      </c>
      <c r="C555" t="s">
        <v>7647</v>
      </c>
      <c r="D555" t="s">
        <v>19</v>
      </c>
      <c r="E555" t="s">
        <v>4913</v>
      </c>
      <c r="F555" t="s">
        <v>1066</v>
      </c>
      <c r="G555">
        <f>IF(K555="Pick-up","PICKUPS",IF(K555="Staff drop-off","STAFF_DROPOFF",IF(K555="Replacements","REPLACEMENT",IF(K555="Central Stores Dispatch","CENTRAL STORES DISPATCH",IFNA(IFNA(VLOOKUP(F555,'Raw Platform Nov 4-6 2025'!C:C,1,FALSE),VLOOKUP(F555,'Raw Platform Nov 4-6 2025'!D:D,1,FALSE)),IFNA(VLOOKUP(F555,'Glovo Raw Nov 4-6 2025'!B:B,1,FALSE),"Not Matched"))))))</f>
      </c>
      <c r="H555">
        <f>COUNTIF(F:F,F555)</f>
      </c>
      <c r="I555" t="s">
        <v>7648</v>
      </c>
      <c r="J555" t="s">
        <v>4915</v>
      </c>
      <c r="K555" t="s">
        <v>4927</v>
      </c>
      <c r="L555" t="s">
        <v>7649</v>
      </c>
      <c r="M555" t="s">
        <v>7650</v>
      </c>
      <c r="N555" t="s">
        <v>7651</v>
      </c>
      <c r="O555" t="s">
        <v>4962</v>
      </c>
      <c r="P555" t="s">
        <v>5045</v>
      </c>
      <c r="Q555">
        <v>0</v>
      </c>
      <c r="R555" t="s">
        <v>5118</v>
      </c>
      <c r="S555" t="s">
        <v>50</v>
      </c>
      <c r="T555" t="s">
        <v>4923</v>
      </c>
      <c r="U555" t="s">
        <v>4924</v>
      </c>
      <c r="V555" t="s">
        <v>7652</v>
      </c>
      <c r="W555" t="s">
        <v>3667</v>
      </c>
      <c r="X555">
        <v>102.3</v>
      </c>
    </row>
    <row r="556" spans="1:24" x14ac:dyDescent="0.25">
      <c r="A556" t="s">
        <v>6063</v>
      </c>
      <c r="B556" t="s">
        <v>7646</v>
      </c>
      <c r="C556" t="s">
        <v>7647</v>
      </c>
      <c r="D556" t="s">
        <v>191</v>
      </c>
      <c r="E556" t="s">
        <v>4913</v>
      </c>
      <c r="F556" t="s">
        <v>4759</v>
      </c>
      <c r="G556">
        <f>IF(K556="Pick-up","PICKUPS",IF(K556="Staff drop-off","STAFF_DROPOFF",IF(K556="Replacements","REPLACEMENT",IF(K556="Central Stores Dispatch","CENTRAL STORES DISPATCH",IFNA(IFNA(VLOOKUP(F556,'Raw Platform Nov 4-6 2025'!C:C,1,FALSE),VLOOKUP(F556,'Raw Platform Nov 4-6 2025'!D:D,1,FALSE)),IFNA(VLOOKUP(F556,'Glovo Raw Nov 4-6 2025'!B:B,1,FALSE),"Not Matched"))))))</f>
      </c>
      <c r="H556">
        <f>COUNTIF(F:F,F556)</f>
      </c>
      <c r="I556" t="s">
        <v>7653</v>
      </c>
      <c r="J556" t="s">
        <v>63</v>
      </c>
      <c r="K556" t="s">
        <v>4927</v>
      </c>
      <c r="L556" t="s">
        <v>7654</v>
      </c>
      <c r="M556" t="s">
        <v>7655</v>
      </c>
      <c r="N556" t="s">
        <v>7656</v>
      </c>
      <c r="O556" t="s">
        <v>113</v>
      </c>
      <c r="P556" t="s">
        <v>5322</v>
      </c>
      <c r="Q556">
        <v>0</v>
      </c>
      <c r="R556" t="s">
        <v>5118</v>
      </c>
      <c r="S556" t="s">
        <v>5184</v>
      </c>
      <c r="T556" t="s">
        <v>4923</v>
      </c>
      <c r="U556" t="s">
        <v>4924</v>
      </c>
      <c r="V556" t="s">
        <v>7657</v>
      </c>
      <c r="W556" t="s">
        <v>3667</v>
      </c>
      <c r="X556">
        <v>189.7</v>
      </c>
    </row>
    <row r="557" spans="1:24" x14ac:dyDescent="0.25">
      <c r="A557" t="s">
        <v>6063</v>
      </c>
      <c r="B557" t="s">
        <v>7646</v>
      </c>
      <c r="C557" t="s">
        <v>7647</v>
      </c>
      <c r="D557" t="s">
        <v>191</v>
      </c>
      <c r="E557" t="s">
        <v>4913</v>
      </c>
      <c r="F557" t="s">
        <v>7658</v>
      </c>
      <c r="G557">
        <f>IF(K557="Pick-up","PICKUPS",IF(K557="Staff drop-off","STAFF_DROPOFF",IF(K557="Replacements","REPLACEMENT",IF(K557="Central Stores Dispatch","CENTRAL STORES DISPATCH",IFNA(IFNA(VLOOKUP(F557,'Raw Platform Nov 4-6 2025'!C:C,1,FALSE),VLOOKUP(F557,'Raw Platform Nov 4-6 2025'!D:D,1,FALSE)),IFNA(VLOOKUP(F557,'Glovo Raw Nov 4-6 2025'!B:B,1,FALSE),"Not Matched"))))))</f>
      </c>
      <c r="H557">
        <f>COUNTIF(F:F,F557)</f>
      </c>
      <c r="I557" t="s">
        <v>7659</v>
      </c>
      <c r="J557" t="s">
        <v>4915</v>
      </c>
      <c r="K557" t="s">
        <v>4927</v>
      </c>
      <c r="L557" t="s">
        <v>7660</v>
      </c>
      <c r="M557" t="s">
        <v>7661</v>
      </c>
      <c r="N557" t="s">
        <v>7662</v>
      </c>
      <c r="O557" t="s">
        <v>7232</v>
      </c>
      <c r="P557" t="s">
        <v>7663</v>
      </c>
      <c r="Q557">
        <v>0</v>
      </c>
      <c r="R557" t="s">
        <v>5118</v>
      </c>
      <c r="S557" t="s">
        <v>5184</v>
      </c>
      <c r="T557" t="s">
        <v>4923</v>
      </c>
      <c r="U557" t="s">
        <v>4924</v>
      </c>
      <c r="V557" t="s">
        <v>7664</v>
      </c>
      <c r="W557" t="s">
        <v>3667</v>
      </c>
      <c r="X557">
        <v>350.7</v>
      </c>
    </row>
    <row r="558" spans="1:24" x14ac:dyDescent="0.25">
      <c r="A558" t="s">
        <v>6063</v>
      </c>
      <c r="B558" t="s">
        <v>7646</v>
      </c>
      <c r="C558" t="s">
        <v>7647</v>
      </c>
      <c r="D558" t="s">
        <v>19</v>
      </c>
      <c r="E558" t="s">
        <v>4913</v>
      </c>
      <c r="F558" t="s">
        <v>1000</v>
      </c>
      <c r="G558">
        <f>IF(K558="Pick-up","PICKUPS",IF(K558="Staff drop-off","STAFF_DROPOFF",IF(K558="Replacements","REPLACEMENT",IF(K558="Central Stores Dispatch","CENTRAL STORES DISPATCH",IFNA(IFNA(VLOOKUP(F558,'Raw Platform Nov 4-6 2025'!C:C,1,FALSE),VLOOKUP(F558,'Raw Platform Nov 4-6 2025'!D:D,1,FALSE)),IFNA(VLOOKUP(F558,'Glovo Raw Nov 4-6 2025'!B:B,1,FALSE),"Not Matched"))))))</f>
      </c>
      <c r="H558">
        <f>COUNTIF(F:F,F558)</f>
      </c>
      <c r="I558" t="s">
        <v>7665</v>
      </c>
      <c r="J558" t="s">
        <v>4915</v>
      </c>
      <c r="K558" t="s">
        <v>4927</v>
      </c>
      <c r="L558" t="s">
        <v>7666</v>
      </c>
      <c r="M558" t="s">
        <v>7667</v>
      </c>
      <c r="N558" t="s">
        <v>7668</v>
      </c>
      <c r="O558" t="s">
        <v>47</v>
      </c>
      <c r="P558" t="s">
        <v>5572</v>
      </c>
      <c r="Q558">
        <v>0</v>
      </c>
      <c r="R558" t="s">
        <v>5118</v>
      </c>
      <c r="S558" t="s">
        <v>12</v>
      </c>
      <c r="T558" t="s">
        <v>4923</v>
      </c>
      <c r="U558" t="s">
        <v>4924</v>
      </c>
      <c r="V558" t="s">
        <v>7669</v>
      </c>
      <c r="W558" t="s">
        <v>3667</v>
      </c>
      <c r="X558">
        <v>125.3</v>
      </c>
    </row>
    <row r="559" spans="1:24" x14ac:dyDescent="0.25">
      <c r="A559" t="s">
        <v>6063</v>
      </c>
      <c r="B559" t="s">
        <v>7646</v>
      </c>
      <c r="C559" t="s">
        <v>7647</v>
      </c>
      <c r="D559" t="s">
        <v>191</v>
      </c>
      <c r="E559" t="s">
        <v>4913</v>
      </c>
      <c r="F559" t="s">
        <v>1095</v>
      </c>
      <c r="G559">
        <f>IF(K559="Pick-up","PICKUPS",IF(K559="Staff drop-off","STAFF_DROPOFF",IF(K559="Replacements","REPLACEMENT",IF(K559="Central Stores Dispatch","CENTRAL STORES DISPATCH",IFNA(IFNA(VLOOKUP(F559,'Raw Platform Nov 4-6 2025'!C:C,1,FALSE),VLOOKUP(F559,'Raw Platform Nov 4-6 2025'!D:D,1,FALSE)),IFNA(VLOOKUP(F559,'Glovo Raw Nov 4-6 2025'!B:B,1,FALSE),"Not Matched"))))))</f>
      </c>
      <c r="H559">
        <f>COUNTIF(F:F,F559)</f>
      </c>
      <c r="I559" t="s">
        <v>7670</v>
      </c>
      <c r="J559" t="s">
        <v>4915</v>
      </c>
      <c r="K559" t="s">
        <v>4927</v>
      </c>
      <c r="L559" t="s">
        <v>7671</v>
      </c>
      <c r="M559" t="s">
        <v>7672</v>
      </c>
      <c r="N559" t="s">
        <v>5067</v>
      </c>
      <c r="O559" t="s">
        <v>100</v>
      </c>
      <c r="P559" t="s">
        <v>7673</v>
      </c>
      <c r="Q559">
        <v>0</v>
      </c>
      <c r="R559" t="s">
        <v>5118</v>
      </c>
      <c r="S559" t="s">
        <v>641</v>
      </c>
      <c r="T559" t="s">
        <v>4923</v>
      </c>
      <c r="U559" t="s">
        <v>4924</v>
      </c>
      <c r="V559" t="s">
        <v>7674</v>
      </c>
      <c r="W559" t="s">
        <v>3667</v>
      </c>
      <c r="X559">
        <v>274.8</v>
      </c>
    </row>
    <row r="560" spans="1:24" x14ac:dyDescent="0.25">
      <c r="A560" t="s">
        <v>6063</v>
      </c>
      <c r="B560" t="s">
        <v>7646</v>
      </c>
      <c r="C560" t="s">
        <v>7647</v>
      </c>
      <c r="D560" t="s">
        <v>19</v>
      </c>
      <c r="E560" t="s">
        <v>4913</v>
      </c>
      <c r="F560" t="s">
        <v>7675</v>
      </c>
      <c r="G560">
        <f>IF(K560="Pick-up","PICKUPS",IF(K560="Staff drop-off","STAFF_DROPOFF",IF(K560="Replacements","REPLACEMENT",IF(K560="Central Stores Dispatch","CENTRAL STORES DISPATCH",IFNA(IFNA(VLOOKUP(F560,'Raw Platform Nov 4-6 2025'!C:C,1,FALSE),VLOOKUP(F560,'Raw Platform Nov 4-6 2025'!D:D,1,FALSE)),IFNA(VLOOKUP(F560,'Glovo Raw Nov 4-6 2025'!B:B,1,FALSE),"Not Matched"))))))</f>
      </c>
      <c r="H560">
        <f>COUNTIF(F:F,F560)</f>
      </c>
      <c r="I560" t="s">
        <v>7676</v>
      </c>
      <c r="J560" t="s">
        <v>4915</v>
      </c>
      <c r="K560" t="s">
        <v>4927</v>
      </c>
      <c r="L560" t="s">
        <v>7677</v>
      </c>
      <c r="M560" t="s">
        <v>6120</v>
      </c>
      <c r="N560" t="s">
        <v>7678</v>
      </c>
      <c r="O560" t="s">
        <v>123</v>
      </c>
      <c r="P560" t="s">
        <v>6592</v>
      </c>
      <c r="Q560">
        <v>0</v>
      </c>
      <c r="R560" t="s">
        <v>5118</v>
      </c>
      <c r="S560" t="s">
        <v>12</v>
      </c>
      <c r="T560" t="s">
        <v>4923</v>
      </c>
      <c r="U560" t="s">
        <v>4924</v>
      </c>
      <c r="V560" t="s">
        <v>7679</v>
      </c>
      <c r="W560" t="s">
        <v>3667</v>
      </c>
      <c r="X560">
        <v>155.2</v>
      </c>
    </row>
    <row r="561" spans="1:24" x14ac:dyDescent="0.25">
      <c r="A561" t="s">
        <v>6063</v>
      </c>
      <c r="B561" t="s">
        <v>7646</v>
      </c>
      <c r="C561" t="s">
        <v>7647</v>
      </c>
      <c r="D561" t="s">
        <v>19</v>
      </c>
      <c r="E561" t="s">
        <v>4913</v>
      </c>
      <c r="F561" t="s">
        <v>7680</v>
      </c>
      <c r="G561">
        <f>IF(K561="Pick-up","PICKUPS",IF(K561="Staff drop-off","STAFF_DROPOFF",IF(K561="Replacements","REPLACEMENT",IF(K561="Central Stores Dispatch","CENTRAL STORES DISPATCH",IFNA(IFNA(VLOOKUP(F561,'Raw Platform Nov 4-6 2025'!C:C,1,FALSE),VLOOKUP(F561,'Raw Platform Nov 4-6 2025'!D:D,1,FALSE)),IFNA(VLOOKUP(F561,'Glovo Raw Nov 4-6 2025'!B:B,1,FALSE),"Not Matched"))))))</f>
      </c>
      <c r="H561">
        <f>COUNTIF(F:F,F561)</f>
      </c>
      <c r="I561" t="s">
        <v>7681</v>
      </c>
      <c r="J561" t="s">
        <v>4915</v>
      </c>
      <c r="K561" t="s">
        <v>4927</v>
      </c>
      <c r="L561" t="s">
        <v>7682</v>
      </c>
      <c r="M561" t="s">
        <v>6120</v>
      </c>
      <c r="N561" t="s">
        <v>7683</v>
      </c>
      <c r="O561" t="s">
        <v>5013</v>
      </c>
      <c r="P561" t="s">
        <v>5810</v>
      </c>
      <c r="Q561">
        <v>0</v>
      </c>
      <c r="R561" t="s">
        <v>5118</v>
      </c>
      <c r="S561" t="s">
        <v>35</v>
      </c>
      <c r="T561" t="s">
        <v>4923</v>
      </c>
      <c r="U561" t="s">
        <v>4924</v>
      </c>
      <c r="V561" t="s">
        <v>7684</v>
      </c>
      <c r="W561" t="s">
        <v>3667</v>
      </c>
      <c r="X561">
        <v>100</v>
      </c>
    </row>
    <row r="562" spans="1:24" x14ac:dyDescent="0.25">
      <c r="A562" t="s">
        <v>6063</v>
      </c>
      <c r="B562" t="s">
        <v>7646</v>
      </c>
      <c r="C562" t="s">
        <v>7647</v>
      </c>
      <c r="D562" t="s">
        <v>19</v>
      </c>
      <c r="E562" t="s">
        <v>4913</v>
      </c>
      <c r="F562" t="s">
        <v>7685</v>
      </c>
      <c r="G562">
        <f>IF(K562="Pick-up","PICKUPS",IF(K562="Staff drop-off","STAFF_DROPOFF",IF(K562="Replacements","REPLACEMENT",IF(K562="Central Stores Dispatch","CENTRAL STORES DISPATCH",IFNA(IFNA(VLOOKUP(F562,'Raw Platform Nov 4-6 2025'!C:C,1,FALSE),VLOOKUP(F562,'Raw Platform Nov 4-6 2025'!D:D,1,FALSE)),IFNA(VLOOKUP(F562,'Glovo Raw Nov 4-6 2025'!B:B,1,FALSE),"Not Matched"))))))</f>
      </c>
      <c r="H562">
        <f>COUNTIF(F:F,F562)</f>
      </c>
      <c r="I562" t="s">
        <v>7686</v>
      </c>
      <c r="J562" t="s">
        <v>4915</v>
      </c>
      <c r="K562" t="s">
        <v>4927</v>
      </c>
      <c r="L562" t="s">
        <v>7687</v>
      </c>
      <c r="M562" t="s">
        <v>7688</v>
      </c>
      <c r="N562" t="s">
        <v>7689</v>
      </c>
      <c r="O562" t="s">
        <v>77</v>
      </c>
      <c r="P562" t="s">
        <v>5672</v>
      </c>
      <c r="Q562">
        <v>0</v>
      </c>
      <c r="R562" t="s">
        <v>5118</v>
      </c>
      <c r="S562" t="s">
        <v>35</v>
      </c>
      <c r="T562" t="s">
        <v>4923</v>
      </c>
      <c r="U562" t="s">
        <v>4924</v>
      </c>
      <c r="V562" t="s">
        <v>7690</v>
      </c>
      <c r="W562" t="s">
        <v>3667</v>
      </c>
      <c r="X562">
        <v>244.9</v>
      </c>
    </row>
    <row r="563" spans="1:24" x14ac:dyDescent="0.25">
      <c r="A563" t="s">
        <v>6063</v>
      </c>
      <c r="B563" t="s">
        <v>7646</v>
      </c>
      <c r="C563" t="s">
        <v>7647</v>
      </c>
      <c r="D563" t="s">
        <v>19</v>
      </c>
      <c r="E563" t="s">
        <v>4913</v>
      </c>
      <c r="F563" t="s">
        <v>7691</v>
      </c>
      <c r="G563">
        <f>IF(K563="Pick-up","PICKUPS",IF(K563="Staff drop-off","STAFF_DROPOFF",IF(K563="Replacements","REPLACEMENT",IF(K563="Central Stores Dispatch","CENTRAL STORES DISPATCH",IFNA(IFNA(VLOOKUP(F563,'Raw Platform Nov 4-6 2025'!C:C,1,FALSE),VLOOKUP(F563,'Raw Platform Nov 4-6 2025'!D:D,1,FALSE)),IFNA(VLOOKUP(F563,'Glovo Raw Nov 4-6 2025'!B:B,1,FALSE),"Not Matched"))))))</f>
      </c>
      <c r="H563">
        <f>COUNTIF(F:F,F563)</f>
      </c>
      <c r="I563" t="s">
        <v>7692</v>
      </c>
      <c r="J563" t="s">
        <v>5289</v>
      </c>
      <c r="K563" t="s">
        <v>4927</v>
      </c>
      <c r="L563" t="s">
        <v>7693</v>
      </c>
      <c r="M563" t="s">
        <v>6120</v>
      </c>
      <c r="N563" t="s">
        <v>5292</v>
      </c>
      <c r="O563" t="s">
        <v>113</v>
      </c>
      <c r="P563" t="s">
        <v>7024</v>
      </c>
      <c r="Q563">
        <v>0</v>
      </c>
      <c r="R563" t="s">
        <v>5118</v>
      </c>
      <c r="S563" t="s">
        <v>5293</v>
      </c>
      <c r="T563" t="s">
        <v>4923</v>
      </c>
      <c r="U563" t="s">
        <v>4924</v>
      </c>
      <c r="V563" t="s">
        <v>7694</v>
      </c>
      <c r="W563" t="s">
        <v>3667</v>
      </c>
      <c r="X563">
        <v>185.1</v>
      </c>
    </row>
    <row r="564" spans="1:24" x14ac:dyDescent="0.25">
      <c r="A564" t="s">
        <v>6063</v>
      </c>
      <c r="B564" t="s">
        <v>7646</v>
      </c>
      <c r="C564" t="s">
        <v>7647</v>
      </c>
      <c r="D564" t="s">
        <v>19</v>
      </c>
      <c r="E564" t="s">
        <v>4913</v>
      </c>
      <c r="F564" t="s">
        <v>7695</v>
      </c>
      <c r="G564">
        <f>IF(K564="Pick-up","PICKUPS",IF(K564="Staff drop-off","STAFF_DROPOFF",IF(K564="Replacements","REPLACEMENT",IF(K564="Central Stores Dispatch","CENTRAL STORES DISPATCH",IFNA(IFNA(VLOOKUP(F564,'Raw Platform Nov 4-6 2025'!C:C,1,FALSE),VLOOKUP(F564,'Raw Platform Nov 4-6 2025'!D:D,1,FALSE)),IFNA(VLOOKUP(F564,'Glovo Raw Nov 4-6 2025'!B:B,1,FALSE),"Not Matched"))))))</f>
      </c>
      <c r="H564">
        <f>COUNTIF(F:F,F564)</f>
      </c>
      <c r="I564" t="s">
        <v>7696</v>
      </c>
      <c r="J564" t="s">
        <v>4915</v>
      </c>
      <c r="K564" t="s">
        <v>4927</v>
      </c>
      <c r="L564" t="s">
        <v>7697</v>
      </c>
      <c r="M564" t="s">
        <v>7698</v>
      </c>
      <c r="N564" t="s">
        <v>7699</v>
      </c>
      <c r="O564" t="s">
        <v>32</v>
      </c>
      <c r="P564" t="s">
        <v>6125</v>
      </c>
      <c r="Q564">
        <v>0</v>
      </c>
      <c r="R564" t="s">
        <v>5118</v>
      </c>
      <c r="S564" t="s">
        <v>35</v>
      </c>
      <c r="T564" t="s">
        <v>4923</v>
      </c>
      <c r="U564" t="s">
        <v>4924</v>
      </c>
      <c r="V564" t="s">
        <v>7700</v>
      </c>
      <c r="W564" t="s">
        <v>3667</v>
      </c>
      <c r="X564">
        <v>224.2</v>
      </c>
    </row>
    <row r="565" spans="1:24" x14ac:dyDescent="0.25">
      <c r="A565" t="s">
        <v>6063</v>
      </c>
      <c r="B565" t="s">
        <v>7646</v>
      </c>
      <c r="C565" t="s">
        <v>7647</v>
      </c>
      <c r="D565" t="s">
        <v>191</v>
      </c>
      <c r="E565" t="s">
        <v>4913</v>
      </c>
      <c r="F565" t="s">
        <v>2400</v>
      </c>
      <c r="G565">
        <f>IF(K565="Pick-up","PICKUPS",IF(K565="Staff drop-off","STAFF_DROPOFF",IF(K565="Replacements","REPLACEMENT",IF(K565="Central Stores Dispatch","CENTRAL STORES DISPATCH",IFNA(IFNA(VLOOKUP(F565,'Raw Platform Nov 4-6 2025'!C:C,1,FALSE),VLOOKUP(F565,'Raw Platform Nov 4-6 2025'!D:D,1,FALSE)),IFNA(VLOOKUP(F565,'Glovo Raw Nov 4-6 2025'!B:B,1,FALSE),"Not Matched"))))))</f>
      </c>
      <c r="H565">
        <f>COUNTIF(F:F,F565)</f>
      </c>
      <c r="I565" t="s">
        <v>7701</v>
      </c>
      <c r="J565" t="s">
        <v>4915</v>
      </c>
      <c r="K565" t="s">
        <v>4927</v>
      </c>
      <c r="L565" t="s">
        <v>7702</v>
      </c>
      <c r="M565" t="s">
        <v>6120</v>
      </c>
      <c r="N565" t="s">
        <v>7703</v>
      </c>
      <c r="O565" t="s">
        <v>183</v>
      </c>
      <c r="P565" t="s">
        <v>5265</v>
      </c>
      <c r="Q565">
        <v>0</v>
      </c>
      <c r="R565" t="s">
        <v>5118</v>
      </c>
      <c r="S565" t="s">
        <v>5184</v>
      </c>
      <c r="T565" t="s">
        <v>4923</v>
      </c>
      <c r="U565" t="s">
        <v>4924</v>
      </c>
      <c r="V565" t="s">
        <v>7704</v>
      </c>
      <c r="W565" t="s">
        <v>3667</v>
      </c>
      <c r="X565">
        <v>263.3</v>
      </c>
    </row>
    <row r="566" spans="1:24" x14ac:dyDescent="0.25">
      <c r="A566" t="s">
        <v>6063</v>
      </c>
      <c r="B566" t="s">
        <v>7646</v>
      </c>
      <c r="C566" t="s">
        <v>7647</v>
      </c>
      <c r="D566" t="s">
        <v>19</v>
      </c>
      <c r="E566" t="s">
        <v>4913</v>
      </c>
      <c r="F566" t="s">
        <v>1643</v>
      </c>
      <c r="G566">
        <f>IF(K566="Pick-up","PICKUPS",IF(K566="Staff drop-off","STAFF_DROPOFF",IF(K566="Replacements","REPLACEMENT",IF(K566="Central Stores Dispatch","CENTRAL STORES DISPATCH",IFNA(IFNA(VLOOKUP(F566,'Raw Platform Nov 4-6 2025'!C:C,1,FALSE),VLOOKUP(F566,'Raw Platform Nov 4-6 2025'!D:D,1,FALSE)),IFNA(VLOOKUP(F566,'Glovo Raw Nov 4-6 2025'!B:B,1,FALSE),"Not Matched"))))))</f>
      </c>
      <c r="H566">
        <f>COUNTIF(F:F,F566)</f>
      </c>
      <c r="I566" t="s">
        <v>7705</v>
      </c>
      <c r="J566" t="s">
        <v>4915</v>
      </c>
      <c r="K566" t="s">
        <v>4927</v>
      </c>
      <c r="L566" t="s">
        <v>1643</v>
      </c>
      <c r="M566" t="s">
        <v>6120</v>
      </c>
      <c r="N566" t="s">
        <v>6528</v>
      </c>
      <c r="O566" t="s">
        <v>4956</v>
      </c>
      <c r="P566" t="s">
        <v>5578</v>
      </c>
      <c r="Q566">
        <v>0</v>
      </c>
      <c r="R566" t="s">
        <v>5118</v>
      </c>
      <c r="S566" t="s">
        <v>12</v>
      </c>
      <c r="T566" t="s">
        <v>4923</v>
      </c>
      <c r="U566" t="s">
        <v>4924</v>
      </c>
      <c r="V566" t="s">
        <v>7706</v>
      </c>
      <c r="W566" t="s">
        <v>3667</v>
      </c>
      <c r="X566">
        <v>100</v>
      </c>
    </row>
    <row r="567" spans="1:24" x14ac:dyDescent="0.25">
      <c r="A567" t="s">
        <v>6063</v>
      </c>
      <c r="B567" t="s">
        <v>7646</v>
      </c>
      <c r="C567" t="s">
        <v>7647</v>
      </c>
      <c r="D567" t="s">
        <v>19</v>
      </c>
      <c r="E567" t="s">
        <v>4913</v>
      </c>
      <c r="F567" t="s">
        <v>1943</v>
      </c>
      <c r="G567">
        <f>IF(K567="Pick-up","PICKUPS",IF(K567="Staff drop-off","STAFF_DROPOFF",IF(K567="Replacements","REPLACEMENT",IF(K567="Central Stores Dispatch","CENTRAL STORES DISPATCH",IFNA(IFNA(VLOOKUP(F567,'Raw Platform Nov 4-6 2025'!C:C,1,FALSE),VLOOKUP(F567,'Raw Platform Nov 4-6 2025'!D:D,1,FALSE)),IFNA(VLOOKUP(F567,'Glovo Raw Nov 4-6 2025'!B:B,1,FALSE),"Not Matched"))))))</f>
      </c>
      <c r="H567">
        <f>COUNTIF(F:F,F567)</f>
      </c>
      <c r="I567" t="s">
        <v>7707</v>
      </c>
      <c r="J567" t="s">
        <v>4915</v>
      </c>
      <c r="K567" t="s">
        <v>4927</v>
      </c>
      <c r="L567" t="s">
        <v>7708</v>
      </c>
      <c r="M567" t="s">
        <v>7709</v>
      </c>
      <c r="N567" t="s">
        <v>7710</v>
      </c>
      <c r="O567" t="s">
        <v>37</v>
      </c>
      <c r="P567" t="s">
        <v>7711</v>
      </c>
      <c r="Q567">
        <v>0</v>
      </c>
      <c r="R567" t="s">
        <v>5118</v>
      </c>
      <c r="S567" t="s">
        <v>12</v>
      </c>
      <c r="T567" t="s">
        <v>4923</v>
      </c>
      <c r="U567" t="s">
        <v>4924</v>
      </c>
      <c r="V567" t="s">
        <v>7712</v>
      </c>
      <c r="W567" t="s">
        <v>3667</v>
      </c>
      <c r="X567">
        <v>288.6</v>
      </c>
    </row>
    <row r="568" spans="1:24" x14ac:dyDescent="0.25">
      <c r="A568" t="s">
        <v>6063</v>
      </c>
      <c r="B568" t="s">
        <v>7646</v>
      </c>
      <c r="C568" t="s">
        <v>7647</v>
      </c>
      <c r="D568" t="s">
        <v>19</v>
      </c>
      <c r="E568" t="s">
        <v>4913</v>
      </c>
      <c r="F568" t="s">
        <v>7713</v>
      </c>
      <c r="G568">
        <f>IF(K568="Pick-up","PICKUPS",IF(K568="Staff drop-off","STAFF_DROPOFF",IF(K568="Replacements","REPLACEMENT",IF(K568="Central Stores Dispatch","CENTRAL STORES DISPATCH",IFNA(IFNA(VLOOKUP(F568,'Raw Platform Nov 4-6 2025'!C:C,1,FALSE),VLOOKUP(F568,'Raw Platform Nov 4-6 2025'!D:D,1,FALSE)),IFNA(VLOOKUP(F568,'Glovo Raw Nov 4-6 2025'!B:B,1,FALSE),"Not Matched"))))))</f>
      </c>
      <c r="H568">
        <f>COUNTIF(F:F,F568)</f>
      </c>
      <c r="I568" t="s">
        <v>7714</v>
      </c>
      <c r="J568" t="s">
        <v>4915</v>
      </c>
      <c r="K568" t="s">
        <v>4916</v>
      </c>
      <c r="L568" t="s">
        <v>7715</v>
      </c>
      <c r="M568" t="s">
        <v>7716</v>
      </c>
      <c r="N568" t="s">
        <v>7717</v>
      </c>
      <c r="O568" t="s">
        <v>5534</v>
      </c>
      <c r="P568" t="s">
        <v>6908</v>
      </c>
      <c r="Q568">
        <v>2052</v>
      </c>
      <c r="R568" t="s">
        <v>5118</v>
      </c>
      <c r="S568" t="s">
        <v>5437</v>
      </c>
      <c r="T568" t="s">
        <v>4923</v>
      </c>
      <c r="U568" t="s">
        <v>4924</v>
      </c>
      <c r="V568" t="s">
        <v>7718</v>
      </c>
      <c r="W568" t="s">
        <v>3667</v>
      </c>
      <c r="X568">
        <v>323.1</v>
      </c>
    </row>
    <row r="569" spans="1:24" x14ac:dyDescent="0.25">
      <c r="A569" t="s">
        <v>6063</v>
      </c>
      <c r="B569" t="s">
        <v>7646</v>
      </c>
      <c r="C569" t="s">
        <v>7647</v>
      </c>
      <c r="D569" t="s">
        <v>19</v>
      </c>
      <c r="E569" t="s">
        <v>4913</v>
      </c>
      <c r="F569" t="s">
        <v>1933</v>
      </c>
      <c r="G569">
        <f>IF(K569="Pick-up","PICKUPS",IF(K569="Staff drop-off","STAFF_DROPOFF",IF(K569="Replacements","REPLACEMENT",IF(K569="Central Stores Dispatch","CENTRAL STORES DISPATCH",IFNA(IFNA(VLOOKUP(F569,'Raw Platform Nov 4-6 2025'!C:C,1,FALSE),VLOOKUP(F569,'Raw Platform Nov 4-6 2025'!D:D,1,FALSE)),IFNA(VLOOKUP(F569,'Glovo Raw Nov 4-6 2025'!B:B,1,FALSE),"Not Matched"))))))</f>
      </c>
      <c r="H569">
        <f>COUNTIF(F:F,F569)</f>
      </c>
      <c r="I569" t="s">
        <v>7719</v>
      </c>
      <c r="J569" t="s">
        <v>4915</v>
      </c>
      <c r="K569" t="s">
        <v>4927</v>
      </c>
      <c r="L569" t="s">
        <v>7720</v>
      </c>
      <c r="M569" t="s">
        <v>7721</v>
      </c>
      <c r="N569" t="s">
        <v>7722</v>
      </c>
      <c r="O569" t="s">
        <v>2009</v>
      </c>
      <c r="P569" t="s">
        <v>5128</v>
      </c>
      <c r="Q569">
        <v>0</v>
      </c>
      <c r="R569" t="s">
        <v>5118</v>
      </c>
      <c r="S569" t="s">
        <v>12</v>
      </c>
      <c r="T569" t="s">
        <v>4923</v>
      </c>
      <c r="U569" t="s">
        <v>4924</v>
      </c>
      <c r="V569" t="s">
        <v>7723</v>
      </c>
      <c r="W569" t="s">
        <v>3667</v>
      </c>
      <c r="X569">
        <v>116.1</v>
      </c>
    </row>
    <row r="570" spans="1:24" x14ac:dyDescent="0.25">
      <c r="A570" t="s">
        <v>6063</v>
      </c>
      <c r="B570" t="s">
        <v>7646</v>
      </c>
      <c r="C570" t="s">
        <v>7647</v>
      </c>
      <c r="D570" t="s">
        <v>19</v>
      </c>
      <c r="E570" t="s">
        <v>4913</v>
      </c>
      <c r="F570" t="s">
        <v>1467</v>
      </c>
      <c r="G570">
        <f>IF(K570="Pick-up","PICKUPS",IF(K570="Staff drop-off","STAFF_DROPOFF",IF(K570="Replacements","REPLACEMENT",IF(K570="Central Stores Dispatch","CENTRAL STORES DISPATCH",IFNA(IFNA(VLOOKUP(F570,'Raw Platform Nov 4-6 2025'!C:C,1,FALSE),VLOOKUP(F570,'Raw Platform Nov 4-6 2025'!D:D,1,FALSE)),IFNA(VLOOKUP(F570,'Glovo Raw Nov 4-6 2025'!B:B,1,FALSE),"Not Matched"))))))</f>
      </c>
      <c r="H570">
        <f>COUNTIF(F:F,F570)</f>
      </c>
      <c r="I570" t="s">
        <v>7724</v>
      </c>
      <c r="J570" t="s">
        <v>4915</v>
      </c>
      <c r="K570" t="s">
        <v>4927</v>
      </c>
      <c r="L570" t="s">
        <v>5125</v>
      </c>
      <c r="M570" t="s">
        <v>6120</v>
      </c>
      <c r="N570" t="s">
        <v>5107</v>
      </c>
      <c r="O570" t="s">
        <v>9</v>
      </c>
      <c r="P570" t="s">
        <v>7725</v>
      </c>
      <c r="Q570">
        <v>0</v>
      </c>
      <c r="R570" t="s">
        <v>5118</v>
      </c>
      <c r="S570" t="s">
        <v>5136</v>
      </c>
      <c r="T570" t="s">
        <v>4923</v>
      </c>
      <c r="U570" t="s">
        <v>4924</v>
      </c>
      <c r="V570" t="s">
        <v>7726</v>
      </c>
      <c r="W570" t="s">
        <v>3667</v>
      </c>
      <c r="X570">
        <v>221.9</v>
      </c>
    </row>
    <row r="571" spans="1:24" x14ac:dyDescent="0.25">
      <c r="A571" t="s">
        <v>6063</v>
      </c>
      <c r="B571" t="s">
        <v>7646</v>
      </c>
      <c r="C571" t="s">
        <v>7647</v>
      </c>
      <c r="D571" t="s">
        <v>19</v>
      </c>
      <c r="E571" t="s">
        <v>4913</v>
      </c>
      <c r="F571" t="s">
        <v>7727</v>
      </c>
      <c r="G571">
        <f>IF(K571="Pick-up","PICKUPS",IF(K571="Staff drop-off","STAFF_DROPOFF",IF(K571="Replacements","REPLACEMENT",IF(K571="Central Stores Dispatch","CENTRAL STORES DISPATCH",IFNA(IFNA(VLOOKUP(F571,'Raw Platform Nov 4-6 2025'!C:C,1,FALSE),VLOOKUP(F571,'Raw Platform Nov 4-6 2025'!D:D,1,FALSE)),IFNA(VLOOKUP(F571,'Glovo Raw Nov 4-6 2025'!B:B,1,FALSE),"Not Matched"))))))</f>
      </c>
      <c r="H571">
        <f>COUNTIF(F:F,F571)</f>
      </c>
      <c r="I571" t="s">
        <v>7728</v>
      </c>
      <c r="J571" t="s">
        <v>5289</v>
      </c>
      <c r="K571" t="s">
        <v>4927</v>
      </c>
      <c r="L571" t="s">
        <v>7729</v>
      </c>
      <c r="M571" t="s">
        <v>6120</v>
      </c>
      <c r="N571" t="s">
        <v>5292</v>
      </c>
      <c r="O571" t="s">
        <v>113</v>
      </c>
      <c r="P571" t="s">
        <v>7024</v>
      </c>
      <c r="Q571">
        <v>0</v>
      </c>
      <c r="R571" t="s">
        <v>5118</v>
      </c>
      <c r="S571" t="s">
        <v>5293</v>
      </c>
      <c r="T571" t="s">
        <v>4923</v>
      </c>
      <c r="U571" t="s">
        <v>4924</v>
      </c>
      <c r="V571" t="s">
        <v>7730</v>
      </c>
      <c r="W571" t="s">
        <v>3667</v>
      </c>
      <c r="X571">
        <v>185.1</v>
      </c>
    </row>
    <row r="572" spans="1:24" x14ac:dyDescent="0.25">
      <c r="A572" t="s">
        <v>6063</v>
      </c>
      <c r="B572" t="s">
        <v>7646</v>
      </c>
      <c r="C572" t="s">
        <v>7647</v>
      </c>
      <c r="D572" t="s">
        <v>19</v>
      </c>
      <c r="E572" t="s">
        <v>4913</v>
      </c>
      <c r="F572" t="s">
        <v>2920</v>
      </c>
      <c r="G572">
        <f>IF(K572="Pick-up","PICKUPS",IF(K572="Staff drop-off","STAFF_DROPOFF",IF(K572="Replacements","REPLACEMENT",IF(K572="Central Stores Dispatch","CENTRAL STORES DISPATCH",IFNA(IFNA(VLOOKUP(F572,'Raw Platform Nov 4-6 2025'!C:C,1,FALSE),VLOOKUP(F572,'Raw Platform Nov 4-6 2025'!D:D,1,FALSE)),IFNA(VLOOKUP(F572,'Glovo Raw Nov 4-6 2025'!B:B,1,FALSE),"Not Matched"))))))</f>
      </c>
      <c r="H572">
        <f>COUNTIF(F:F,F572)</f>
      </c>
      <c r="I572" t="s">
        <v>7731</v>
      </c>
      <c r="J572" t="s">
        <v>4915</v>
      </c>
      <c r="K572" t="s">
        <v>4927</v>
      </c>
      <c r="L572" t="s">
        <v>7732</v>
      </c>
      <c r="M572" t="s">
        <v>7733</v>
      </c>
      <c r="N572" t="s">
        <v>7734</v>
      </c>
      <c r="O572" t="s">
        <v>6086</v>
      </c>
      <c r="P572" t="s">
        <v>6985</v>
      </c>
      <c r="Q572">
        <v>0</v>
      </c>
      <c r="R572" t="s">
        <v>5118</v>
      </c>
      <c r="S572" t="s">
        <v>5136</v>
      </c>
      <c r="T572" t="s">
        <v>4923</v>
      </c>
      <c r="U572" t="s">
        <v>4924</v>
      </c>
      <c r="V572" t="s">
        <v>7735</v>
      </c>
      <c r="W572" t="s">
        <v>3667</v>
      </c>
      <c r="X572">
        <v>332.3</v>
      </c>
    </row>
    <row r="573" spans="1:24" x14ac:dyDescent="0.25">
      <c r="A573" t="s">
        <v>6063</v>
      </c>
      <c r="B573" t="s">
        <v>7646</v>
      </c>
      <c r="C573" t="s">
        <v>7647</v>
      </c>
      <c r="D573" t="s">
        <v>19</v>
      </c>
      <c r="E573" t="s">
        <v>4913</v>
      </c>
      <c r="F573" t="s">
        <v>3120</v>
      </c>
      <c r="G573">
        <f>IF(K573="Pick-up","PICKUPS",IF(K573="Staff drop-off","STAFF_DROPOFF",IF(K573="Replacements","REPLACEMENT",IF(K573="Central Stores Dispatch","CENTRAL STORES DISPATCH",IFNA(IFNA(VLOOKUP(F573,'Raw Platform Nov 4-6 2025'!C:C,1,FALSE),VLOOKUP(F573,'Raw Platform Nov 4-6 2025'!D:D,1,FALSE)),IFNA(VLOOKUP(F573,'Glovo Raw Nov 4-6 2025'!B:B,1,FALSE),"Not Matched"))))))</f>
      </c>
      <c r="H573">
        <f>COUNTIF(F:F,F573)</f>
      </c>
      <c r="I573" t="s">
        <v>7736</v>
      </c>
      <c r="J573" t="s">
        <v>4915</v>
      </c>
      <c r="K573" t="s">
        <v>4927</v>
      </c>
      <c r="L573" t="s">
        <v>7737</v>
      </c>
      <c r="M573" t="s">
        <v>7738</v>
      </c>
      <c r="N573" t="s">
        <v>7739</v>
      </c>
      <c r="O573" t="s">
        <v>32</v>
      </c>
      <c r="P573" t="s">
        <v>7740</v>
      </c>
      <c r="Q573">
        <v>0</v>
      </c>
      <c r="R573" t="s">
        <v>5118</v>
      </c>
      <c r="S573" t="s">
        <v>35</v>
      </c>
      <c r="T573" t="s">
        <v>4923</v>
      </c>
      <c r="U573" t="s">
        <v>4924</v>
      </c>
      <c r="V573" t="s">
        <v>7741</v>
      </c>
      <c r="W573" t="s">
        <v>3667</v>
      </c>
      <c r="X573">
        <v>256.4</v>
      </c>
    </row>
    <row r="574" spans="1:24" x14ac:dyDescent="0.25">
      <c r="A574" t="s">
        <v>6063</v>
      </c>
      <c r="B574" t="s">
        <v>7646</v>
      </c>
      <c r="C574" t="s">
        <v>7647</v>
      </c>
      <c r="D574" t="s">
        <v>19</v>
      </c>
      <c r="E574" t="s">
        <v>4913</v>
      </c>
      <c r="F574" t="s">
        <v>2513</v>
      </c>
      <c r="G574">
        <f>IF(K574="Pick-up","PICKUPS",IF(K574="Staff drop-off","STAFF_DROPOFF",IF(K574="Replacements","REPLACEMENT",IF(K574="Central Stores Dispatch","CENTRAL STORES DISPATCH",IFNA(IFNA(VLOOKUP(F574,'Raw Platform Nov 4-6 2025'!C:C,1,FALSE),VLOOKUP(F574,'Raw Platform Nov 4-6 2025'!D:D,1,FALSE)),IFNA(VLOOKUP(F574,'Glovo Raw Nov 4-6 2025'!B:B,1,FALSE),"Not Matched"))))))</f>
      </c>
      <c r="H574">
        <f>COUNTIF(F:F,F574)</f>
      </c>
      <c r="I574" t="s">
        <v>7742</v>
      </c>
      <c r="J574" t="s">
        <v>4915</v>
      </c>
      <c r="K574" t="s">
        <v>4927</v>
      </c>
      <c r="L574" t="s">
        <v>7743</v>
      </c>
      <c r="M574" t="s">
        <v>7744</v>
      </c>
      <c r="N574" t="s">
        <v>7745</v>
      </c>
      <c r="O574" t="s">
        <v>100</v>
      </c>
      <c r="P574" t="s">
        <v>5236</v>
      </c>
      <c r="Q574">
        <v>0</v>
      </c>
      <c r="R574" t="s">
        <v>5118</v>
      </c>
      <c r="S574" t="s">
        <v>45</v>
      </c>
      <c r="T574" t="s">
        <v>4923</v>
      </c>
      <c r="U574" t="s">
        <v>4924</v>
      </c>
      <c r="V574" t="s">
        <v>7746</v>
      </c>
      <c r="W574" t="s">
        <v>3667</v>
      </c>
      <c r="X574">
        <v>210.4</v>
      </c>
    </row>
    <row r="575" spans="1:24" x14ac:dyDescent="0.25">
      <c r="A575" t="s">
        <v>5176</v>
      </c>
      <c r="B575" t="s">
        <v>7747</v>
      </c>
      <c r="C575" t="s">
        <v>7748</v>
      </c>
      <c r="D575" t="s">
        <v>30</v>
      </c>
      <c r="E575" t="s">
        <v>4913</v>
      </c>
      <c r="F575" t="s">
        <v>1211</v>
      </c>
      <c r="G575">
        <f>IF(K575="Pick-up","PICKUPS",IF(K575="Staff drop-off","STAFF_DROPOFF",IF(K575="Replacements","REPLACEMENT",IF(K575="Central Stores Dispatch","CENTRAL STORES DISPATCH",IFNA(IFNA(VLOOKUP(F575,'Raw Platform Nov 4-6 2025'!C:C,1,FALSE),VLOOKUP(F575,'Raw Platform Nov 4-6 2025'!D:D,1,FALSE)),IFNA(VLOOKUP(F575,'Glovo Raw Nov 4-6 2025'!B:B,1,FALSE),"Not Matched"))))))</f>
      </c>
      <c r="H575">
        <f>COUNTIF(F:F,F575)</f>
      </c>
      <c r="I575" t="s">
        <v>7749</v>
      </c>
      <c r="J575" t="s">
        <v>63</v>
      </c>
      <c r="K575" t="s">
        <v>4927</v>
      </c>
      <c r="L575" t="s">
        <v>7750</v>
      </c>
      <c r="M575" t="s">
        <v>7751</v>
      </c>
      <c r="N575" t="s">
        <v>7752</v>
      </c>
      <c r="O575" t="s">
        <v>2009</v>
      </c>
      <c r="P575" t="s">
        <v>5025</v>
      </c>
      <c r="Q575">
        <v>0</v>
      </c>
      <c r="R575" t="s">
        <v>5118</v>
      </c>
      <c r="S575" t="s">
        <v>172</v>
      </c>
      <c r="T575" t="s">
        <v>4923</v>
      </c>
      <c r="U575" t="s">
        <v>4924</v>
      </c>
      <c r="V575" t="s">
        <v>7753</v>
      </c>
      <c r="W575" t="s">
        <v>3667</v>
      </c>
      <c r="X575">
        <v>100</v>
      </c>
    </row>
    <row r="576" spans="1:24" x14ac:dyDescent="0.25">
      <c r="A576" t="s">
        <v>5176</v>
      </c>
      <c r="B576" t="s">
        <v>7747</v>
      </c>
      <c r="C576" t="s">
        <v>7748</v>
      </c>
      <c r="D576" t="s">
        <v>30</v>
      </c>
      <c r="E576" t="s">
        <v>4913</v>
      </c>
      <c r="F576" t="s">
        <v>593</v>
      </c>
      <c r="G576">
        <f>IF(K576="Pick-up","PICKUPS",IF(K576="Staff drop-off","STAFF_DROPOFF",IF(K576="Replacements","REPLACEMENT",IF(K576="Central Stores Dispatch","CENTRAL STORES DISPATCH",IFNA(IFNA(VLOOKUP(F576,'Raw Platform Nov 4-6 2025'!C:C,1,FALSE),VLOOKUP(F576,'Raw Platform Nov 4-6 2025'!D:D,1,FALSE)),IFNA(VLOOKUP(F576,'Glovo Raw Nov 4-6 2025'!B:B,1,FALSE),"Not Matched"))))))</f>
      </c>
      <c r="H576">
        <f>COUNTIF(F:F,F576)</f>
      </c>
      <c r="I576" t="s">
        <v>7754</v>
      </c>
      <c r="J576" t="s">
        <v>4915</v>
      </c>
      <c r="K576" t="s">
        <v>4927</v>
      </c>
      <c r="L576" t="s">
        <v>7755</v>
      </c>
      <c r="M576" t="s">
        <v>7756</v>
      </c>
      <c r="N576" t="s">
        <v>7757</v>
      </c>
      <c r="O576" t="s">
        <v>123</v>
      </c>
      <c r="P576" t="s">
        <v>5062</v>
      </c>
      <c r="Q576">
        <v>0</v>
      </c>
      <c r="R576" t="s">
        <v>5118</v>
      </c>
      <c r="S576" t="s">
        <v>12</v>
      </c>
      <c r="T576" t="s">
        <v>4923</v>
      </c>
      <c r="U576" t="s">
        <v>4924</v>
      </c>
      <c r="V576" t="s">
        <v>7758</v>
      </c>
      <c r="W576" t="s">
        <v>3667</v>
      </c>
      <c r="X576">
        <v>127.6</v>
      </c>
    </row>
    <row r="577" spans="1:24" x14ac:dyDescent="0.25">
      <c r="A577" t="s">
        <v>5176</v>
      </c>
      <c r="B577" t="s">
        <v>7747</v>
      </c>
      <c r="C577" t="s">
        <v>7748</v>
      </c>
      <c r="D577" t="s">
        <v>30</v>
      </c>
      <c r="E577" t="s">
        <v>4913</v>
      </c>
      <c r="F577" t="s">
        <v>664</v>
      </c>
      <c r="G577">
        <f>IF(K577="Pick-up","PICKUPS",IF(K577="Staff drop-off","STAFF_DROPOFF",IF(K577="Replacements","REPLACEMENT",IF(K577="Central Stores Dispatch","CENTRAL STORES DISPATCH",IFNA(IFNA(VLOOKUP(F577,'Raw Platform Nov 4-6 2025'!C:C,1,FALSE),VLOOKUP(F577,'Raw Platform Nov 4-6 2025'!D:D,1,FALSE)),IFNA(VLOOKUP(F577,'Glovo Raw Nov 4-6 2025'!B:B,1,FALSE),"Not Matched"))))))</f>
      </c>
      <c r="H577">
        <f>COUNTIF(F:F,F577)</f>
      </c>
      <c r="I577" t="s">
        <v>7759</v>
      </c>
      <c r="J577" t="s">
        <v>4915</v>
      </c>
      <c r="K577" t="s">
        <v>4927</v>
      </c>
      <c r="L577" t="s">
        <v>7760</v>
      </c>
      <c r="M577" t="s">
        <v>7761</v>
      </c>
      <c r="N577" t="s">
        <v>6892</v>
      </c>
      <c r="O577" t="s">
        <v>2009</v>
      </c>
      <c r="P577" t="s">
        <v>5019</v>
      </c>
      <c r="Q577">
        <v>0</v>
      </c>
      <c r="R577" t="s">
        <v>5118</v>
      </c>
      <c r="S577" t="s">
        <v>12</v>
      </c>
      <c r="T577" t="s">
        <v>4923</v>
      </c>
      <c r="U577" t="s">
        <v>4924</v>
      </c>
      <c r="V577" t="s">
        <v>7762</v>
      </c>
      <c r="W577" t="s">
        <v>3667</v>
      </c>
      <c r="X577">
        <v>100</v>
      </c>
    </row>
    <row r="578" spans="1:24" x14ac:dyDescent="0.25">
      <c r="A578" t="s">
        <v>5176</v>
      </c>
      <c r="B578" t="s">
        <v>7747</v>
      </c>
      <c r="C578" t="s">
        <v>7748</v>
      </c>
      <c r="D578" t="s">
        <v>191</v>
      </c>
      <c r="E578" t="s">
        <v>4913</v>
      </c>
      <c r="F578" t="s">
        <v>1061</v>
      </c>
      <c r="G578">
        <f>IF(K578="Pick-up","PICKUPS",IF(K578="Staff drop-off","STAFF_DROPOFF",IF(K578="Replacements","REPLACEMENT",IF(K578="Central Stores Dispatch","CENTRAL STORES DISPATCH",IFNA(IFNA(VLOOKUP(F578,'Raw Platform Nov 4-6 2025'!C:C,1,FALSE),VLOOKUP(F578,'Raw Platform Nov 4-6 2025'!D:D,1,FALSE)),IFNA(VLOOKUP(F578,'Glovo Raw Nov 4-6 2025'!B:B,1,FALSE),"Not Matched"))))))</f>
      </c>
      <c r="H578">
        <f>COUNTIF(F:F,F578)</f>
      </c>
      <c r="I578" t="s">
        <v>7763</v>
      </c>
      <c r="J578" t="s">
        <v>63</v>
      </c>
      <c r="K578" t="s">
        <v>4927</v>
      </c>
      <c r="L578" t="s">
        <v>7764</v>
      </c>
      <c r="M578" t="s">
        <v>7765</v>
      </c>
      <c r="N578" t="s">
        <v>7766</v>
      </c>
      <c r="O578" t="s">
        <v>9</v>
      </c>
      <c r="P578" t="s">
        <v>4996</v>
      </c>
      <c r="Q578">
        <v>0</v>
      </c>
      <c r="R578" t="s">
        <v>5118</v>
      </c>
      <c r="S578" t="s">
        <v>5184</v>
      </c>
      <c r="T578" t="s">
        <v>4923</v>
      </c>
      <c r="U578" t="s">
        <v>4924</v>
      </c>
      <c r="V578" t="s">
        <v>7767</v>
      </c>
      <c r="W578" t="s">
        <v>3667</v>
      </c>
      <c r="X578">
        <v>129.9</v>
      </c>
    </row>
    <row r="579" spans="1:24" x14ac:dyDescent="0.25">
      <c r="A579" t="s">
        <v>5176</v>
      </c>
      <c r="B579" t="s">
        <v>7747</v>
      </c>
      <c r="C579" t="s">
        <v>7748</v>
      </c>
      <c r="D579" t="s">
        <v>30</v>
      </c>
      <c r="E579" t="s">
        <v>4913</v>
      </c>
      <c r="F579" t="s">
        <v>177</v>
      </c>
      <c r="G579">
        <f>IF(K579="Pick-up","PICKUPS",IF(K579="Staff drop-off","STAFF_DROPOFF",IF(K579="Replacements","REPLACEMENT",IF(K579="Central Stores Dispatch","CENTRAL STORES DISPATCH",IFNA(IFNA(VLOOKUP(F579,'Raw Platform Nov 4-6 2025'!C:C,1,FALSE),VLOOKUP(F579,'Raw Platform Nov 4-6 2025'!D:D,1,FALSE)),IFNA(VLOOKUP(F579,'Glovo Raw Nov 4-6 2025'!B:B,1,FALSE),"Not Matched"))))))</f>
      </c>
      <c r="H579">
        <f>COUNTIF(F:F,F579)</f>
      </c>
      <c r="I579" t="s">
        <v>7768</v>
      </c>
      <c r="J579" t="s">
        <v>4915</v>
      </c>
      <c r="K579" t="s">
        <v>4927</v>
      </c>
      <c r="L579" t="s">
        <v>7769</v>
      </c>
      <c r="M579" t="s">
        <v>7770</v>
      </c>
      <c r="N579" t="s">
        <v>7771</v>
      </c>
      <c r="O579" t="s">
        <v>37</v>
      </c>
      <c r="P579" t="s">
        <v>7725</v>
      </c>
      <c r="Q579">
        <v>0</v>
      </c>
      <c r="R579" t="s">
        <v>5118</v>
      </c>
      <c r="S579" t="s">
        <v>50</v>
      </c>
      <c r="T579" t="s">
        <v>4923</v>
      </c>
      <c r="U579" t="s">
        <v>4924</v>
      </c>
      <c r="V579" t="s">
        <v>7772</v>
      </c>
      <c r="W579" t="s">
        <v>3667</v>
      </c>
      <c r="X579">
        <v>221.9</v>
      </c>
    </row>
    <row r="580" spans="1:24" x14ac:dyDescent="0.25">
      <c r="A580" t="s">
        <v>5176</v>
      </c>
      <c r="B580" t="s">
        <v>7747</v>
      </c>
      <c r="C580" t="s">
        <v>7748</v>
      </c>
      <c r="D580" t="s">
        <v>30</v>
      </c>
      <c r="E580" t="s">
        <v>4913</v>
      </c>
      <c r="F580" t="s">
        <v>1393</v>
      </c>
      <c r="G580">
        <f>IF(K580="Pick-up","PICKUPS",IF(K580="Staff drop-off","STAFF_DROPOFF",IF(K580="Replacements","REPLACEMENT",IF(K580="Central Stores Dispatch","CENTRAL STORES DISPATCH",IFNA(IFNA(VLOOKUP(F580,'Raw Platform Nov 4-6 2025'!C:C,1,FALSE),VLOOKUP(F580,'Raw Platform Nov 4-6 2025'!D:D,1,FALSE)),IFNA(VLOOKUP(F580,'Glovo Raw Nov 4-6 2025'!B:B,1,FALSE),"Not Matched"))))))</f>
      </c>
      <c r="H580">
        <f>COUNTIF(F:F,F580)</f>
      </c>
      <c r="I580" t="s">
        <v>7773</v>
      </c>
      <c r="J580" t="s">
        <v>63</v>
      </c>
      <c r="K580" t="s">
        <v>4927</v>
      </c>
      <c r="L580" t="s">
        <v>7774</v>
      </c>
      <c r="M580" t="s">
        <v>5327</v>
      </c>
      <c r="N580" t="s">
        <v>7775</v>
      </c>
      <c r="O580" t="s">
        <v>73</v>
      </c>
      <c r="P580" t="s">
        <v>7776</v>
      </c>
      <c r="Q580">
        <v>0</v>
      </c>
      <c r="R580" t="s">
        <v>5118</v>
      </c>
      <c r="S580" t="s">
        <v>12</v>
      </c>
      <c r="T580" t="s">
        <v>4923</v>
      </c>
      <c r="U580" t="s">
        <v>4924</v>
      </c>
      <c r="V580" t="s">
        <v>7777</v>
      </c>
      <c r="W580" t="s">
        <v>3667</v>
      </c>
      <c r="X580">
        <v>113.8</v>
      </c>
    </row>
    <row r="581" spans="1:24" x14ac:dyDescent="0.25">
      <c r="A581" t="s">
        <v>5176</v>
      </c>
      <c r="B581" t="s">
        <v>7747</v>
      </c>
      <c r="C581" t="s">
        <v>7748</v>
      </c>
      <c r="D581" t="s">
        <v>30</v>
      </c>
      <c r="E581" t="s">
        <v>4913</v>
      </c>
      <c r="F581" t="s">
        <v>7778</v>
      </c>
      <c r="G581">
        <f>IF(K581="Pick-up","PICKUPS",IF(K581="Staff drop-off","STAFF_DROPOFF",IF(K581="Replacements","REPLACEMENT",IF(K581="Central Stores Dispatch","CENTRAL STORES DISPATCH",IFNA(IFNA(VLOOKUP(F581,'Raw Platform Nov 4-6 2025'!C:C,1,FALSE),VLOOKUP(F581,'Raw Platform Nov 4-6 2025'!D:D,1,FALSE)),IFNA(VLOOKUP(F581,'Glovo Raw Nov 4-6 2025'!B:B,1,FALSE),"Not Matched"))))))</f>
      </c>
      <c r="H581">
        <f>COUNTIF(F:F,F581)</f>
      </c>
      <c r="I581" t="s">
        <v>7779</v>
      </c>
      <c r="J581" t="s">
        <v>4915</v>
      </c>
      <c r="K581" t="s">
        <v>4927</v>
      </c>
      <c r="L581" t="s">
        <v>7780</v>
      </c>
      <c r="M581" t="s">
        <v>7781</v>
      </c>
      <c r="N581" t="s">
        <v>5794</v>
      </c>
      <c r="O581" t="s">
        <v>100</v>
      </c>
      <c r="P581" t="s">
        <v>5795</v>
      </c>
      <c r="Q581">
        <v>0</v>
      </c>
      <c r="R581" t="s">
        <v>5118</v>
      </c>
      <c r="S581" t="s">
        <v>45</v>
      </c>
      <c r="T581" t="s">
        <v>4923</v>
      </c>
      <c r="U581" t="s">
        <v>4924</v>
      </c>
      <c r="V581" t="s">
        <v>7782</v>
      </c>
      <c r="W581" t="s">
        <v>3667</v>
      </c>
      <c r="X581">
        <v>150.6</v>
      </c>
    </row>
    <row r="582" spans="1:24" x14ac:dyDescent="0.25">
      <c r="A582" t="s">
        <v>5176</v>
      </c>
      <c r="B582" t="s">
        <v>7747</v>
      </c>
      <c r="C582" t="s">
        <v>7748</v>
      </c>
      <c r="D582" t="s">
        <v>30</v>
      </c>
      <c r="E582" t="s">
        <v>4913</v>
      </c>
      <c r="F582" t="s">
        <v>347</v>
      </c>
      <c r="G582">
        <f>IF(K582="Pick-up","PICKUPS",IF(K582="Staff drop-off","STAFF_DROPOFF",IF(K582="Replacements","REPLACEMENT",IF(K582="Central Stores Dispatch","CENTRAL STORES DISPATCH",IFNA(IFNA(VLOOKUP(F582,'Raw Platform Nov 4-6 2025'!C:C,1,FALSE),VLOOKUP(F582,'Raw Platform Nov 4-6 2025'!D:D,1,FALSE)),IFNA(VLOOKUP(F582,'Glovo Raw Nov 4-6 2025'!B:B,1,FALSE),"Not Matched"))))))</f>
      </c>
      <c r="H582">
        <f>COUNTIF(F:F,F582)</f>
      </c>
      <c r="I582" t="s">
        <v>7783</v>
      </c>
      <c r="J582" t="s">
        <v>4915</v>
      </c>
      <c r="K582" t="s">
        <v>4927</v>
      </c>
      <c r="L582" t="s">
        <v>7784</v>
      </c>
      <c r="M582" t="s">
        <v>5327</v>
      </c>
      <c r="N582" t="s">
        <v>5972</v>
      </c>
      <c r="O582" t="s">
        <v>123</v>
      </c>
      <c r="P582" t="s">
        <v>5820</v>
      </c>
      <c r="Q582">
        <v>0</v>
      </c>
      <c r="R582" t="s">
        <v>5118</v>
      </c>
      <c r="S582" t="s">
        <v>12</v>
      </c>
      <c r="T582" t="s">
        <v>4923</v>
      </c>
      <c r="U582" t="s">
        <v>4924</v>
      </c>
      <c r="V582" t="s">
        <v>7785</v>
      </c>
      <c r="W582" t="s">
        <v>3667</v>
      </c>
      <c r="X582">
        <v>139.1</v>
      </c>
    </row>
    <row r="583" spans="1:24" x14ac:dyDescent="0.25">
      <c r="A583" t="s">
        <v>5176</v>
      </c>
      <c r="B583" t="s">
        <v>7747</v>
      </c>
      <c r="C583" t="s">
        <v>7748</v>
      </c>
      <c r="D583" t="s">
        <v>30</v>
      </c>
      <c r="E583" t="s">
        <v>4913</v>
      </c>
      <c r="F583" t="s">
        <v>120</v>
      </c>
      <c r="G583">
        <f>IF(K583="Pick-up","PICKUPS",IF(K583="Staff drop-off","STAFF_DROPOFF",IF(K583="Replacements","REPLACEMENT",IF(K583="Central Stores Dispatch","CENTRAL STORES DISPATCH",IFNA(IFNA(VLOOKUP(F583,'Raw Platform Nov 4-6 2025'!C:C,1,FALSE),VLOOKUP(F583,'Raw Platform Nov 4-6 2025'!D:D,1,FALSE)),IFNA(VLOOKUP(F583,'Glovo Raw Nov 4-6 2025'!B:B,1,FALSE),"Not Matched"))))))</f>
      </c>
      <c r="H583">
        <f>COUNTIF(F:F,F583)</f>
      </c>
      <c r="I583" t="s">
        <v>7786</v>
      </c>
      <c r="J583" t="s">
        <v>4915</v>
      </c>
      <c r="K583" t="s">
        <v>4927</v>
      </c>
      <c r="L583" t="s">
        <v>7787</v>
      </c>
      <c r="M583" t="s">
        <v>6686</v>
      </c>
      <c r="N583" t="s">
        <v>6687</v>
      </c>
      <c r="O583" t="s">
        <v>2009</v>
      </c>
      <c r="P583" t="s">
        <v>4950</v>
      </c>
      <c r="Q583">
        <v>0</v>
      </c>
      <c r="R583" t="s">
        <v>5118</v>
      </c>
      <c r="S583" t="s">
        <v>45</v>
      </c>
      <c r="T583" t="s">
        <v>4923</v>
      </c>
      <c r="U583" t="s">
        <v>4924</v>
      </c>
      <c r="V583" t="s">
        <v>7788</v>
      </c>
      <c r="W583" t="s">
        <v>3667</v>
      </c>
      <c r="X583">
        <v>100</v>
      </c>
    </row>
    <row r="584" spans="1:24" x14ac:dyDescent="0.25">
      <c r="A584" t="s">
        <v>5130</v>
      </c>
      <c r="B584" t="s">
        <v>7789</v>
      </c>
      <c r="C584" t="s">
        <v>7790</v>
      </c>
      <c r="D584" t="s">
        <v>24</v>
      </c>
      <c r="E584" t="s">
        <v>4913</v>
      </c>
      <c r="F584" t="s">
        <v>756</v>
      </c>
      <c r="G584">
        <f>IF(K584="Pick-up","PICKUPS",IF(K584="Staff drop-off","STAFF_DROPOFF",IF(K584="Replacements","REPLACEMENT",IF(K584="Central Stores Dispatch","CENTRAL STORES DISPATCH",IFNA(IFNA(VLOOKUP(F584,'Raw Platform Nov 4-6 2025'!C:C,1,FALSE),VLOOKUP(F584,'Raw Platform Nov 4-6 2025'!D:D,1,FALSE)),IFNA(VLOOKUP(F584,'Glovo Raw Nov 4-6 2025'!B:B,1,FALSE),"Not Matched"))))))</f>
      </c>
      <c r="H584">
        <f>COUNTIF(F:F,F584)</f>
      </c>
      <c r="I584" t="s">
        <v>7791</v>
      </c>
      <c r="J584" t="s">
        <v>4915</v>
      </c>
      <c r="K584" t="s">
        <v>4927</v>
      </c>
      <c r="L584" t="s">
        <v>7792</v>
      </c>
      <c r="M584" t="s">
        <v>7793</v>
      </c>
      <c r="N584" t="s">
        <v>7794</v>
      </c>
      <c r="O584" t="s">
        <v>47</v>
      </c>
      <c r="P584" t="s">
        <v>5404</v>
      </c>
      <c r="Q584">
        <v>0</v>
      </c>
      <c r="R584" t="s">
        <v>4922</v>
      </c>
      <c r="S584" t="s">
        <v>5136</v>
      </c>
      <c r="T584" t="s">
        <v>4923</v>
      </c>
      <c r="U584" t="s">
        <v>4924</v>
      </c>
      <c r="V584" t="s">
        <v>7795</v>
      </c>
      <c r="W584" t="s">
        <v>3667</v>
      </c>
      <c r="X584">
        <v>123</v>
      </c>
    </row>
    <row r="585" spans="1:24" x14ac:dyDescent="0.25">
      <c r="A585" t="s">
        <v>5130</v>
      </c>
      <c r="B585" t="s">
        <v>7789</v>
      </c>
      <c r="C585" t="s">
        <v>7790</v>
      </c>
      <c r="D585" t="s">
        <v>24</v>
      </c>
      <c r="E585" t="s">
        <v>4913</v>
      </c>
      <c r="F585" t="s">
        <v>938</v>
      </c>
      <c r="G585">
        <f>IF(K585="Pick-up","PICKUPS",IF(K585="Staff drop-off","STAFF_DROPOFF",IF(K585="Replacements","REPLACEMENT",IF(K585="Central Stores Dispatch","CENTRAL STORES DISPATCH",IFNA(IFNA(VLOOKUP(F585,'Raw Platform Nov 4-6 2025'!C:C,1,FALSE),VLOOKUP(F585,'Raw Platform Nov 4-6 2025'!D:D,1,FALSE)),IFNA(VLOOKUP(F585,'Glovo Raw Nov 4-6 2025'!B:B,1,FALSE),"Not Matched"))))))</f>
      </c>
      <c r="H585">
        <f>COUNTIF(F:F,F585)</f>
      </c>
      <c r="I585" t="s">
        <v>7796</v>
      </c>
      <c r="J585" t="s">
        <v>4915</v>
      </c>
      <c r="K585" t="s">
        <v>4927</v>
      </c>
      <c r="L585" t="s">
        <v>7797</v>
      </c>
      <c r="M585" t="s">
        <v>7798</v>
      </c>
      <c r="N585" t="s">
        <v>7799</v>
      </c>
      <c r="O585" t="s">
        <v>9</v>
      </c>
      <c r="P585" t="s">
        <v>4974</v>
      </c>
      <c r="Q585">
        <v>0</v>
      </c>
      <c r="R585" t="s">
        <v>4922</v>
      </c>
      <c r="S585" t="s">
        <v>35</v>
      </c>
      <c r="T585" t="s">
        <v>4923</v>
      </c>
      <c r="U585" t="s">
        <v>4924</v>
      </c>
      <c r="V585" t="s">
        <v>7800</v>
      </c>
      <c r="W585" t="s">
        <v>3667</v>
      </c>
      <c r="X585">
        <v>178.2</v>
      </c>
    </row>
    <row r="586" spans="1:24" x14ac:dyDescent="0.25">
      <c r="A586" t="s">
        <v>5130</v>
      </c>
      <c r="B586" t="s">
        <v>7789</v>
      </c>
      <c r="C586" t="s">
        <v>7790</v>
      </c>
      <c r="D586" t="s">
        <v>24</v>
      </c>
      <c r="E586" t="s">
        <v>4913</v>
      </c>
      <c r="F586" t="s">
        <v>1162</v>
      </c>
      <c r="G586">
        <f>IF(K586="Pick-up","PICKUPS",IF(K586="Staff drop-off","STAFF_DROPOFF",IF(K586="Replacements","REPLACEMENT",IF(K586="Central Stores Dispatch","CENTRAL STORES DISPATCH",IFNA(IFNA(VLOOKUP(F586,'Raw Platform Nov 4-6 2025'!C:C,1,FALSE),VLOOKUP(F586,'Raw Platform Nov 4-6 2025'!D:D,1,FALSE)),IFNA(VLOOKUP(F586,'Glovo Raw Nov 4-6 2025'!B:B,1,FALSE),"Not Matched"))))))</f>
      </c>
      <c r="H586">
        <f>COUNTIF(F:F,F586)</f>
      </c>
      <c r="I586" t="s">
        <v>7801</v>
      </c>
      <c r="J586" t="s">
        <v>4915</v>
      </c>
      <c r="K586" t="s">
        <v>4927</v>
      </c>
      <c r="L586" t="s">
        <v>7802</v>
      </c>
      <c r="M586" t="s">
        <v>5824</v>
      </c>
      <c r="N586" t="s">
        <v>4973</v>
      </c>
      <c r="O586" t="s">
        <v>123</v>
      </c>
      <c r="P586" t="s">
        <v>5285</v>
      </c>
      <c r="Q586">
        <v>0</v>
      </c>
      <c r="R586" t="s">
        <v>4922</v>
      </c>
      <c r="S586" t="s">
        <v>35</v>
      </c>
      <c r="T586" t="s">
        <v>4923</v>
      </c>
      <c r="U586" t="s">
        <v>4924</v>
      </c>
      <c r="V586" t="s">
        <v>7803</v>
      </c>
      <c r="W586" t="s">
        <v>3667</v>
      </c>
      <c r="X586">
        <v>175.9</v>
      </c>
    </row>
    <row r="587" spans="1:24" x14ac:dyDescent="0.25">
      <c r="A587" t="s">
        <v>5130</v>
      </c>
      <c r="B587" t="s">
        <v>7789</v>
      </c>
      <c r="C587" t="s">
        <v>7790</v>
      </c>
      <c r="D587" t="s">
        <v>24</v>
      </c>
      <c r="E587" t="s">
        <v>4913</v>
      </c>
      <c r="F587" t="s">
        <v>831</v>
      </c>
      <c r="G587">
        <f>IF(K587="Pick-up","PICKUPS",IF(K587="Staff drop-off","STAFF_DROPOFF",IF(K587="Replacements","REPLACEMENT",IF(K587="Central Stores Dispatch","CENTRAL STORES DISPATCH",IFNA(IFNA(VLOOKUP(F587,'Raw Platform Nov 4-6 2025'!C:C,1,FALSE),VLOOKUP(F587,'Raw Platform Nov 4-6 2025'!D:D,1,FALSE)),IFNA(VLOOKUP(F587,'Glovo Raw Nov 4-6 2025'!B:B,1,FALSE),"Not Matched"))))))</f>
      </c>
      <c r="H587">
        <f>COUNTIF(F:F,F587)</f>
      </c>
      <c r="I587" t="s">
        <v>7804</v>
      </c>
      <c r="J587" t="s">
        <v>4915</v>
      </c>
      <c r="K587" t="s">
        <v>4916</v>
      </c>
      <c r="L587" t="s">
        <v>7805</v>
      </c>
      <c r="M587" t="s">
        <v>7806</v>
      </c>
      <c r="N587" t="s">
        <v>7807</v>
      </c>
      <c r="O587" t="s">
        <v>53</v>
      </c>
      <c r="P587" t="s">
        <v>5698</v>
      </c>
      <c r="Q587">
        <v>1574</v>
      </c>
      <c r="R587" t="s">
        <v>4922</v>
      </c>
      <c r="S587" t="s">
        <v>172</v>
      </c>
      <c r="T587" t="s">
        <v>4923</v>
      </c>
      <c r="U587" t="s">
        <v>4924</v>
      </c>
      <c r="V587" t="s">
        <v>7808</v>
      </c>
      <c r="W587" t="s">
        <v>3667</v>
      </c>
      <c r="X587">
        <v>200</v>
      </c>
    </row>
    <row r="588" spans="1:24" x14ac:dyDescent="0.25">
      <c r="A588" t="s">
        <v>5130</v>
      </c>
      <c r="B588" t="s">
        <v>7789</v>
      </c>
      <c r="C588" t="s">
        <v>7790</v>
      </c>
      <c r="D588" t="s">
        <v>24</v>
      </c>
      <c r="E588" t="s">
        <v>4913</v>
      </c>
      <c r="F588" t="s">
        <v>7809</v>
      </c>
      <c r="G588">
        <f>IF(K588="Pick-up","PICKUPS",IF(K588="Staff drop-off","STAFF_DROPOFF",IF(K588="Replacements","REPLACEMENT",IF(K588="Central Stores Dispatch","CENTRAL STORES DISPATCH",IFNA(IFNA(VLOOKUP(F588,'Raw Platform Nov 4-6 2025'!C:C,1,FALSE),VLOOKUP(F588,'Raw Platform Nov 4-6 2025'!D:D,1,FALSE)),IFNA(VLOOKUP(F588,'Glovo Raw Nov 4-6 2025'!B:B,1,FALSE),"Not Matched"))))))</f>
      </c>
      <c r="H588">
        <f>COUNTIF(F:F,F588)</f>
      </c>
      <c r="I588" t="s">
        <v>7810</v>
      </c>
      <c r="J588" t="s">
        <v>4915</v>
      </c>
      <c r="K588" t="s">
        <v>4927</v>
      </c>
      <c r="L588" t="s">
        <v>7811</v>
      </c>
      <c r="M588" t="s">
        <v>5217</v>
      </c>
      <c r="N588" t="s">
        <v>7812</v>
      </c>
      <c r="O588" t="s">
        <v>47</v>
      </c>
      <c r="P588" t="s">
        <v>4984</v>
      </c>
      <c r="Q588">
        <v>0</v>
      </c>
      <c r="R588" t="s">
        <v>4922</v>
      </c>
      <c r="S588" t="s">
        <v>5136</v>
      </c>
      <c r="T588" t="s">
        <v>4923</v>
      </c>
      <c r="U588" t="s">
        <v>4924</v>
      </c>
      <c r="V588" t="s">
        <v>7813</v>
      </c>
      <c r="W588" t="s">
        <v>3667</v>
      </c>
      <c r="X588">
        <v>100</v>
      </c>
    </row>
    <row r="589" spans="1:24" x14ac:dyDescent="0.25">
      <c r="A589" t="s">
        <v>5130</v>
      </c>
      <c r="B589" t="s">
        <v>7789</v>
      </c>
      <c r="C589" t="s">
        <v>7790</v>
      </c>
      <c r="D589" t="s">
        <v>24</v>
      </c>
      <c r="E589" t="s">
        <v>4913</v>
      </c>
      <c r="F589" t="s">
        <v>891</v>
      </c>
      <c r="G589">
        <f>IF(K589="Pick-up","PICKUPS",IF(K589="Staff drop-off","STAFF_DROPOFF",IF(K589="Replacements","REPLACEMENT",IF(K589="Central Stores Dispatch","CENTRAL STORES DISPATCH",IFNA(IFNA(VLOOKUP(F589,'Raw Platform Nov 4-6 2025'!C:C,1,FALSE),VLOOKUP(F589,'Raw Platform Nov 4-6 2025'!D:D,1,FALSE)),IFNA(VLOOKUP(F589,'Glovo Raw Nov 4-6 2025'!B:B,1,FALSE),"Not Matched"))))))</f>
      </c>
      <c r="H589">
        <f>COUNTIF(F:F,F589)</f>
      </c>
      <c r="I589" t="s">
        <v>7814</v>
      </c>
      <c r="J589" t="s">
        <v>5341</v>
      </c>
      <c r="K589" t="s">
        <v>4916</v>
      </c>
      <c r="L589" t="s">
        <v>7815</v>
      </c>
      <c r="M589" t="s">
        <v>7816</v>
      </c>
      <c r="N589" t="s">
        <v>7817</v>
      </c>
      <c r="O589" t="s">
        <v>123</v>
      </c>
      <c r="P589" t="s">
        <v>4996</v>
      </c>
      <c r="Q589">
        <v>1180</v>
      </c>
      <c r="R589" t="s">
        <v>4922</v>
      </c>
      <c r="S589" t="s">
        <v>5136</v>
      </c>
      <c r="T589" t="s">
        <v>4923</v>
      </c>
      <c r="U589" t="s">
        <v>4924</v>
      </c>
      <c r="V589" t="s">
        <v>7818</v>
      </c>
      <c r="W589" t="s">
        <v>3667</v>
      </c>
      <c r="X589">
        <v>200</v>
      </c>
    </row>
    <row r="590" spans="1:24" x14ac:dyDescent="0.25">
      <c r="A590" t="s">
        <v>5130</v>
      </c>
      <c r="B590" t="s">
        <v>7789</v>
      </c>
      <c r="C590" t="s">
        <v>7790</v>
      </c>
      <c r="D590" t="s">
        <v>24</v>
      </c>
      <c r="E590" t="s">
        <v>5034</v>
      </c>
      <c r="F590" t="s">
        <v>1773</v>
      </c>
      <c r="G590">
        <f>IF(K590="Pick-up","PICKUPS",IF(K590="Staff drop-off","STAFF_DROPOFF",IF(K590="Replacements","REPLACEMENT",IF(K590="Central Stores Dispatch","CENTRAL STORES DISPATCH",IFNA(IFNA(VLOOKUP(F590,'Raw Platform Nov 4-6 2025'!C:C,1,FALSE),VLOOKUP(F590,'Raw Platform Nov 4-6 2025'!D:D,1,FALSE)),IFNA(VLOOKUP(F590,'Glovo Raw Nov 4-6 2025'!B:B,1,FALSE),"Not Matched"))))))</f>
      </c>
      <c r="H590">
        <f>COUNTIF(F:F,F590)</f>
      </c>
      <c r="I590" t="s">
        <v>7819</v>
      </c>
      <c r="J590" t="s">
        <v>4915</v>
      </c>
      <c r="K590" t="s">
        <v>4927</v>
      </c>
      <c r="L590" t="s">
        <v>1773</v>
      </c>
      <c r="M590" t="s">
        <v>7820</v>
      </c>
      <c r="N590" t="s">
        <v>7821</v>
      </c>
      <c r="O590" t="s">
        <v>47</v>
      </c>
      <c r="P590" t="s">
        <v>7776</v>
      </c>
      <c r="Q590">
        <v>0</v>
      </c>
      <c r="R590" t="s">
        <v>4922</v>
      </c>
      <c r="S590" t="s">
        <v>116</v>
      </c>
      <c r="T590" t="s">
        <v>4923</v>
      </c>
      <c r="U590" t="s">
        <v>4923</v>
      </c>
      <c r="V590" t="s">
        <v>7822</v>
      </c>
      <c r="W590" t="s">
        <v>3667</v>
      </c>
      <c r="X590">
        <v>0</v>
      </c>
    </row>
    <row r="591" spans="1:24" x14ac:dyDescent="0.25">
      <c r="A591" t="s">
        <v>5130</v>
      </c>
      <c r="B591" t="s">
        <v>7789</v>
      </c>
      <c r="C591" t="s">
        <v>7790</v>
      </c>
      <c r="D591" t="s">
        <v>24</v>
      </c>
      <c r="E591" t="s">
        <v>4913</v>
      </c>
      <c r="F591" t="s">
        <v>1773</v>
      </c>
      <c r="G591">
        <f>IF(K591="Pick-up","PICKUPS",IF(K591="Staff drop-off","STAFF_DROPOFF",IF(K591="Replacements","REPLACEMENT",IF(K591="Central Stores Dispatch","CENTRAL STORES DISPATCH",IFNA(IFNA(VLOOKUP(F591,'Raw Platform Nov 4-6 2025'!C:C,1,FALSE),VLOOKUP(F591,'Raw Platform Nov 4-6 2025'!D:D,1,FALSE)),IFNA(VLOOKUP(F591,'Glovo Raw Nov 4-6 2025'!B:B,1,FALSE),"Not Matched"))))))</f>
      </c>
      <c r="H591">
        <f>COUNTIF(F:F,F591)</f>
      </c>
      <c r="I591" t="s">
        <v>7819</v>
      </c>
      <c r="J591" t="s">
        <v>4915</v>
      </c>
      <c r="K591" t="s">
        <v>4927</v>
      </c>
      <c r="L591" t="s">
        <v>1773</v>
      </c>
      <c r="M591" t="s">
        <v>7820</v>
      </c>
      <c r="N591" t="s">
        <v>7821</v>
      </c>
      <c r="O591" t="s">
        <v>47</v>
      </c>
      <c r="P591" t="s">
        <v>7776</v>
      </c>
      <c r="Q591">
        <v>0</v>
      </c>
      <c r="R591" t="s">
        <v>4922</v>
      </c>
      <c r="S591" t="s">
        <v>116</v>
      </c>
      <c r="T591" t="s">
        <v>4923</v>
      </c>
      <c r="U591" t="s">
        <v>4924</v>
      </c>
      <c r="V591" t="s">
        <v>7823</v>
      </c>
      <c r="W591" t="s">
        <v>3667</v>
      </c>
      <c r="X591">
        <v>113.8</v>
      </c>
    </row>
    <row r="592" spans="1:24" x14ac:dyDescent="0.25">
      <c r="A592" t="s">
        <v>5130</v>
      </c>
      <c r="B592" t="s">
        <v>7789</v>
      </c>
      <c r="C592" t="s">
        <v>7790</v>
      </c>
      <c r="D592" t="s">
        <v>24</v>
      </c>
      <c r="E592" t="s">
        <v>4913</v>
      </c>
      <c r="F592" t="s">
        <v>2230</v>
      </c>
      <c r="G592">
        <f>IF(K592="Pick-up","PICKUPS",IF(K592="Staff drop-off","STAFF_DROPOFF",IF(K592="Replacements","REPLACEMENT",IF(K592="Central Stores Dispatch","CENTRAL STORES DISPATCH",IFNA(IFNA(VLOOKUP(F592,'Raw Platform Nov 4-6 2025'!C:C,1,FALSE),VLOOKUP(F592,'Raw Platform Nov 4-6 2025'!D:D,1,FALSE)),IFNA(VLOOKUP(F592,'Glovo Raw Nov 4-6 2025'!B:B,1,FALSE),"Not Matched"))))))</f>
      </c>
      <c r="H592">
        <f>COUNTIF(F:F,F592)</f>
      </c>
      <c r="I592" t="s">
        <v>7824</v>
      </c>
      <c r="J592" t="s">
        <v>5341</v>
      </c>
      <c r="K592" t="s">
        <v>4916</v>
      </c>
      <c r="L592" t="s">
        <v>7825</v>
      </c>
      <c r="M592" t="s">
        <v>7826</v>
      </c>
      <c r="N592" t="s">
        <v>7827</v>
      </c>
      <c r="O592" t="s">
        <v>77</v>
      </c>
      <c r="P592" t="s">
        <v>6592</v>
      </c>
      <c r="Q592">
        <v>2890</v>
      </c>
      <c r="R592" t="s">
        <v>4922</v>
      </c>
      <c r="S592" t="s">
        <v>116</v>
      </c>
      <c r="T592" t="s">
        <v>4923</v>
      </c>
      <c r="U592" t="s">
        <v>4924</v>
      </c>
      <c r="V592" t="s">
        <v>7828</v>
      </c>
      <c r="W592" t="s">
        <v>3667</v>
      </c>
      <c r="X592">
        <v>155.2</v>
      </c>
    </row>
    <row r="593" spans="1:24" x14ac:dyDescent="0.25">
      <c r="A593" t="s">
        <v>5130</v>
      </c>
      <c r="B593" t="s">
        <v>7789</v>
      </c>
      <c r="C593" t="s">
        <v>7790</v>
      </c>
      <c r="D593" t="s">
        <v>24</v>
      </c>
      <c r="E593" t="s">
        <v>4913</v>
      </c>
      <c r="F593" t="s">
        <v>2217</v>
      </c>
      <c r="G593">
        <f>IF(K593="Pick-up","PICKUPS",IF(K593="Staff drop-off","STAFF_DROPOFF",IF(K593="Replacements","REPLACEMENT",IF(K593="Central Stores Dispatch","CENTRAL STORES DISPATCH",IFNA(IFNA(VLOOKUP(F593,'Raw Platform Nov 4-6 2025'!C:C,1,FALSE),VLOOKUP(F593,'Raw Platform Nov 4-6 2025'!D:D,1,FALSE)),IFNA(VLOOKUP(F593,'Glovo Raw Nov 4-6 2025'!B:B,1,FALSE),"Not Matched"))))))</f>
      </c>
      <c r="H593">
        <f>COUNTIF(F:F,F593)</f>
      </c>
      <c r="I593" t="s">
        <v>7829</v>
      </c>
      <c r="J593" t="s">
        <v>5341</v>
      </c>
      <c r="K593" t="s">
        <v>4927</v>
      </c>
      <c r="L593" t="s">
        <v>6232</v>
      </c>
      <c r="M593" t="s">
        <v>6233</v>
      </c>
      <c r="N593" t="s">
        <v>6234</v>
      </c>
      <c r="O593" t="s">
        <v>53</v>
      </c>
      <c r="P593" t="s">
        <v>6235</v>
      </c>
      <c r="Q593">
        <v>0</v>
      </c>
      <c r="R593" t="s">
        <v>4922</v>
      </c>
      <c r="S593" t="s">
        <v>45</v>
      </c>
      <c r="T593" t="s">
        <v>4923</v>
      </c>
      <c r="U593" t="s">
        <v>4924</v>
      </c>
      <c r="V593" t="s">
        <v>7830</v>
      </c>
      <c r="W593" t="s">
        <v>3667</v>
      </c>
      <c r="X593">
        <v>104.6</v>
      </c>
    </row>
    <row r="594" spans="1:24" x14ac:dyDescent="0.25">
      <c r="A594" t="s">
        <v>5130</v>
      </c>
      <c r="B594" t="s">
        <v>7789</v>
      </c>
      <c r="C594" t="s">
        <v>7790</v>
      </c>
      <c r="D594" t="s">
        <v>24</v>
      </c>
      <c r="E594" t="s">
        <v>4913</v>
      </c>
      <c r="F594" t="s">
        <v>1739</v>
      </c>
      <c r="G594">
        <f>IF(K594="Pick-up","PICKUPS",IF(K594="Staff drop-off","STAFF_DROPOFF",IF(K594="Replacements","REPLACEMENT",IF(K594="Central Stores Dispatch","CENTRAL STORES DISPATCH",IFNA(IFNA(VLOOKUP(F594,'Raw Platform Nov 4-6 2025'!C:C,1,FALSE),VLOOKUP(F594,'Raw Platform Nov 4-6 2025'!D:D,1,FALSE)),IFNA(VLOOKUP(F594,'Glovo Raw Nov 4-6 2025'!B:B,1,FALSE),"Not Matched"))))))</f>
      </c>
      <c r="H594">
        <f>COUNTIF(F:F,F594)</f>
      </c>
      <c r="I594" t="s">
        <v>5484</v>
      </c>
      <c r="J594" t="s">
        <v>4915</v>
      </c>
      <c r="K594" t="s">
        <v>4916</v>
      </c>
      <c r="L594" t="s">
        <v>5485</v>
      </c>
      <c r="M594" t="s">
        <v>5486</v>
      </c>
      <c r="N594" t="s">
        <v>5487</v>
      </c>
      <c r="O594" t="s">
        <v>47</v>
      </c>
      <c r="P594" t="s">
        <v>5062</v>
      </c>
      <c r="Q594">
        <v>1090</v>
      </c>
      <c r="R594" t="s">
        <v>4922</v>
      </c>
      <c r="S594" t="s">
        <v>432</v>
      </c>
      <c r="T594" t="s">
        <v>4923</v>
      </c>
      <c r="U594" t="s">
        <v>4924</v>
      </c>
      <c r="V594" t="s">
        <v>7831</v>
      </c>
      <c r="W594" t="s">
        <v>3667</v>
      </c>
      <c r="X594">
        <v>127.6</v>
      </c>
    </row>
    <row r="595" spans="1:24" x14ac:dyDescent="0.25">
      <c r="A595" t="s">
        <v>5130</v>
      </c>
      <c r="B595" t="s">
        <v>7789</v>
      </c>
      <c r="C595" t="s">
        <v>7790</v>
      </c>
      <c r="D595" t="s">
        <v>24</v>
      </c>
      <c r="E595" t="s">
        <v>4913</v>
      </c>
      <c r="F595" t="s">
        <v>1833</v>
      </c>
      <c r="G595">
        <f>IF(K595="Pick-up","PICKUPS",IF(K595="Staff drop-off","STAFF_DROPOFF",IF(K595="Replacements","REPLACEMENT",IF(K595="Central Stores Dispatch","CENTRAL STORES DISPATCH",IFNA(IFNA(VLOOKUP(F595,'Raw Platform Nov 4-6 2025'!C:C,1,FALSE),VLOOKUP(F595,'Raw Platform Nov 4-6 2025'!D:D,1,FALSE)),IFNA(VLOOKUP(F595,'Glovo Raw Nov 4-6 2025'!B:B,1,FALSE),"Not Matched"))))))</f>
      </c>
      <c r="H595">
        <f>COUNTIF(F:F,F595)</f>
      </c>
      <c r="I595" t="s">
        <v>7832</v>
      </c>
      <c r="J595" t="s">
        <v>4915</v>
      </c>
      <c r="K595" t="s">
        <v>4927</v>
      </c>
      <c r="L595" t="s">
        <v>7833</v>
      </c>
      <c r="M595" t="s">
        <v>7834</v>
      </c>
      <c r="N595" t="s">
        <v>4973</v>
      </c>
      <c r="O595" t="s">
        <v>123</v>
      </c>
      <c r="P595" t="s">
        <v>5285</v>
      </c>
      <c r="Q595">
        <v>0</v>
      </c>
      <c r="R595" t="s">
        <v>4922</v>
      </c>
      <c r="S595" t="s">
        <v>5136</v>
      </c>
      <c r="T595" t="s">
        <v>4923</v>
      </c>
      <c r="U595" t="s">
        <v>4924</v>
      </c>
      <c r="V595" t="s">
        <v>7835</v>
      </c>
      <c r="W595" t="s">
        <v>3667</v>
      </c>
      <c r="X595">
        <v>175.9</v>
      </c>
    </row>
    <row r="596" spans="1:24" x14ac:dyDescent="0.25">
      <c r="A596" t="s">
        <v>4932</v>
      </c>
      <c r="B596" t="s">
        <v>7789</v>
      </c>
      <c r="C596" t="s">
        <v>7790</v>
      </c>
      <c r="D596" t="s">
        <v>13</v>
      </c>
      <c r="E596" t="s">
        <v>4913</v>
      </c>
      <c r="F596" t="s">
        <v>1836</v>
      </c>
      <c r="G596">
        <f>IF(K596="Pick-up","PICKUPS",IF(K596="Staff drop-off","STAFF_DROPOFF",IF(K596="Replacements","REPLACEMENT",IF(K596="Central Stores Dispatch","CENTRAL STORES DISPATCH",IFNA(IFNA(VLOOKUP(F596,'Raw Platform Nov 4-6 2025'!C:C,1,FALSE),VLOOKUP(F596,'Raw Platform Nov 4-6 2025'!D:D,1,FALSE)),IFNA(VLOOKUP(F596,'Glovo Raw Nov 4-6 2025'!B:B,1,FALSE),"Not Matched"))))))</f>
      </c>
      <c r="H596">
        <f>COUNTIF(F:F,F596)</f>
      </c>
      <c r="I596" t="s">
        <v>7836</v>
      </c>
      <c r="J596" t="s">
        <v>63</v>
      </c>
      <c r="K596" t="s">
        <v>4916</v>
      </c>
      <c r="L596" t="s">
        <v>7837</v>
      </c>
      <c r="M596" t="s">
        <v>7838</v>
      </c>
      <c r="N596" t="s">
        <v>7839</v>
      </c>
      <c r="O596" t="s">
        <v>47</v>
      </c>
      <c r="P596" t="s">
        <v>5404</v>
      </c>
      <c r="Q596">
        <v>1022</v>
      </c>
      <c r="R596" t="s">
        <v>4922</v>
      </c>
      <c r="S596" t="s">
        <v>29</v>
      </c>
      <c r="T596" t="s">
        <v>4923</v>
      </c>
      <c r="U596" t="s">
        <v>4924</v>
      </c>
      <c r="V596" t="s">
        <v>7840</v>
      </c>
      <c r="W596" t="s">
        <v>3667</v>
      </c>
      <c r="X596">
        <v>123</v>
      </c>
    </row>
    <row r="597" spans="1:24" x14ac:dyDescent="0.25">
      <c r="A597" t="s">
        <v>5130</v>
      </c>
      <c r="B597" t="s">
        <v>7789</v>
      </c>
      <c r="C597" t="s">
        <v>7790</v>
      </c>
      <c r="D597" t="s">
        <v>24</v>
      </c>
      <c r="E597" t="s">
        <v>4913</v>
      </c>
      <c r="F597" t="s">
        <v>1522</v>
      </c>
      <c r="G597">
        <f>IF(K597="Pick-up","PICKUPS",IF(K597="Staff drop-off","STAFF_DROPOFF",IF(K597="Replacements","REPLACEMENT",IF(K597="Central Stores Dispatch","CENTRAL STORES DISPATCH",IFNA(IFNA(VLOOKUP(F597,'Raw Platform Nov 4-6 2025'!C:C,1,FALSE),VLOOKUP(F597,'Raw Platform Nov 4-6 2025'!D:D,1,FALSE)),IFNA(VLOOKUP(F597,'Glovo Raw Nov 4-6 2025'!B:B,1,FALSE),"Not Matched"))))))</f>
      </c>
      <c r="H597">
        <f>COUNTIF(F:F,F597)</f>
      </c>
      <c r="I597" t="s">
        <v>7841</v>
      </c>
      <c r="J597" t="s">
        <v>63</v>
      </c>
      <c r="K597" t="s">
        <v>4927</v>
      </c>
      <c r="L597" t="s">
        <v>7842</v>
      </c>
      <c r="M597" t="s">
        <v>7843</v>
      </c>
      <c r="N597" t="s">
        <v>7844</v>
      </c>
      <c r="O597" t="s">
        <v>47</v>
      </c>
      <c r="P597" t="s">
        <v>5387</v>
      </c>
      <c r="Q597">
        <v>0</v>
      </c>
      <c r="R597" t="s">
        <v>4922</v>
      </c>
      <c r="S597" t="s">
        <v>5136</v>
      </c>
      <c r="T597" t="s">
        <v>4923</v>
      </c>
      <c r="U597" t="s">
        <v>4924</v>
      </c>
      <c r="V597" t="s">
        <v>7845</v>
      </c>
      <c r="W597" t="s">
        <v>3667</v>
      </c>
      <c r="X597">
        <v>152.9</v>
      </c>
    </row>
    <row r="598" spans="1:24" x14ac:dyDescent="0.25">
      <c r="A598" t="s">
        <v>5130</v>
      </c>
      <c r="B598" t="s">
        <v>7789</v>
      </c>
      <c r="C598" t="s">
        <v>7790</v>
      </c>
      <c r="D598" t="s">
        <v>24</v>
      </c>
      <c r="E598" t="s">
        <v>4913</v>
      </c>
      <c r="F598" t="s">
        <v>2088</v>
      </c>
      <c r="G598">
        <f>IF(K598="Pick-up","PICKUPS",IF(K598="Staff drop-off","STAFF_DROPOFF",IF(K598="Replacements","REPLACEMENT",IF(K598="Central Stores Dispatch","CENTRAL STORES DISPATCH",IFNA(IFNA(VLOOKUP(F598,'Raw Platform Nov 4-6 2025'!C:C,1,FALSE),VLOOKUP(F598,'Raw Platform Nov 4-6 2025'!D:D,1,FALSE)),IFNA(VLOOKUP(F598,'Glovo Raw Nov 4-6 2025'!B:B,1,FALSE),"Not Matched"))))))</f>
      </c>
      <c r="H598">
        <f>COUNTIF(F:F,F598)</f>
      </c>
      <c r="I598" t="s">
        <v>7846</v>
      </c>
      <c r="J598" t="s">
        <v>4915</v>
      </c>
      <c r="K598" t="s">
        <v>4927</v>
      </c>
      <c r="L598" t="s">
        <v>7847</v>
      </c>
      <c r="M598" t="s">
        <v>7848</v>
      </c>
      <c r="N598" t="s">
        <v>7849</v>
      </c>
      <c r="O598" t="s">
        <v>47</v>
      </c>
      <c r="P598" t="s">
        <v>6158</v>
      </c>
      <c r="Q598">
        <v>0</v>
      </c>
      <c r="R598" t="s">
        <v>4922</v>
      </c>
      <c r="S598" t="s">
        <v>50</v>
      </c>
      <c r="T598" t="s">
        <v>4923</v>
      </c>
      <c r="U598" t="s">
        <v>4924</v>
      </c>
      <c r="V598" t="s">
        <v>7850</v>
      </c>
      <c r="W598" t="s">
        <v>3667</v>
      </c>
      <c r="X598">
        <v>136.8</v>
      </c>
    </row>
    <row r="599" spans="1:24" x14ac:dyDescent="0.25">
      <c r="A599" t="s">
        <v>5130</v>
      </c>
      <c r="B599" t="s">
        <v>7789</v>
      </c>
      <c r="C599" t="s">
        <v>7790</v>
      </c>
      <c r="D599" t="s">
        <v>24</v>
      </c>
      <c r="E599" t="s">
        <v>4913</v>
      </c>
      <c r="F599" t="s">
        <v>1606</v>
      </c>
      <c r="G599">
        <f>IF(K599="Pick-up","PICKUPS",IF(K599="Staff drop-off","STAFF_DROPOFF",IF(K599="Replacements","REPLACEMENT",IF(K599="Central Stores Dispatch","CENTRAL STORES DISPATCH",IFNA(IFNA(VLOOKUP(F599,'Raw Platform Nov 4-6 2025'!C:C,1,FALSE),VLOOKUP(F599,'Raw Platform Nov 4-6 2025'!D:D,1,FALSE)),IFNA(VLOOKUP(F599,'Glovo Raw Nov 4-6 2025'!B:B,1,FALSE),"Not Matched"))))))</f>
      </c>
      <c r="H599">
        <f>COUNTIF(F:F,F599)</f>
      </c>
      <c r="I599" t="s">
        <v>7851</v>
      </c>
      <c r="J599" t="s">
        <v>4915</v>
      </c>
      <c r="K599" t="s">
        <v>4927</v>
      </c>
      <c r="L599" t="s">
        <v>7852</v>
      </c>
      <c r="M599" t="s">
        <v>7853</v>
      </c>
      <c r="N599" t="s">
        <v>7854</v>
      </c>
      <c r="O599" t="s">
        <v>4962</v>
      </c>
      <c r="P599" t="s">
        <v>5097</v>
      </c>
      <c r="Q599">
        <v>0</v>
      </c>
      <c r="R599" t="s">
        <v>4922</v>
      </c>
      <c r="S599" t="s">
        <v>432</v>
      </c>
      <c r="T599" t="s">
        <v>4923</v>
      </c>
      <c r="U599" t="s">
        <v>4924</v>
      </c>
      <c r="V599" t="s">
        <v>7855</v>
      </c>
      <c r="W599" t="s">
        <v>3667</v>
      </c>
      <c r="X599">
        <v>100</v>
      </c>
    </row>
    <row r="600" spans="1:24" x14ac:dyDescent="0.25">
      <c r="A600" t="s">
        <v>5130</v>
      </c>
      <c r="B600" t="s">
        <v>7789</v>
      </c>
      <c r="C600" t="s">
        <v>7790</v>
      </c>
      <c r="D600" t="s">
        <v>24</v>
      </c>
      <c r="E600" t="s">
        <v>4913</v>
      </c>
      <c r="F600" t="s">
        <v>2733</v>
      </c>
      <c r="G600">
        <f>IF(K600="Pick-up","PICKUPS",IF(K600="Staff drop-off","STAFF_DROPOFF",IF(K600="Replacements","REPLACEMENT",IF(K600="Central Stores Dispatch","CENTRAL STORES DISPATCH",IFNA(IFNA(VLOOKUP(F600,'Raw Platform Nov 4-6 2025'!C:C,1,FALSE),VLOOKUP(F600,'Raw Platform Nov 4-6 2025'!D:D,1,FALSE)),IFNA(VLOOKUP(F600,'Glovo Raw Nov 4-6 2025'!B:B,1,FALSE),"Not Matched"))))))</f>
      </c>
      <c r="H600">
        <f>COUNTIF(F:F,F600)</f>
      </c>
      <c r="I600" t="s">
        <v>7856</v>
      </c>
      <c r="J600" t="s">
        <v>4915</v>
      </c>
      <c r="K600" t="s">
        <v>4927</v>
      </c>
      <c r="L600" t="s">
        <v>7857</v>
      </c>
      <c r="M600" t="s">
        <v>5217</v>
      </c>
      <c r="N600" t="s">
        <v>7858</v>
      </c>
      <c r="O600" t="s">
        <v>4956</v>
      </c>
      <c r="P600" t="s">
        <v>6558</v>
      </c>
      <c r="Q600">
        <v>0</v>
      </c>
      <c r="R600" t="s">
        <v>4922</v>
      </c>
      <c r="S600" t="s">
        <v>45</v>
      </c>
      <c r="T600" t="s">
        <v>4923</v>
      </c>
      <c r="U600" t="s">
        <v>4924</v>
      </c>
      <c r="V600" t="s">
        <v>7859</v>
      </c>
      <c r="W600" t="s">
        <v>3667</v>
      </c>
      <c r="X600">
        <v>100</v>
      </c>
    </row>
    <row r="601" spans="1:24" x14ac:dyDescent="0.25">
      <c r="A601" t="s">
        <v>5130</v>
      </c>
      <c r="B601" t="s">
        <v>7789</v>
      </c>
      <c r="C601" t="s">
        <v>7790</v>
      </c>
      <c r="D601" t="s">
        <v>24</v>
      </c>
      <c r="E601" t="s">
        <v>4913</v>
      </c>
      <c r="F601" t="s">
        <v>2782</v>
      </c>
      <c r="G601">
        <f>IF(K601="Pick-up","PICKUPS",IF(K601="Staff drop-off","STAFF_DROPOFF",IF(K601="Replacements","REPLACEMENT",IF(K601="Central Stores Dispatch","CENTRAL STORES DISPATCH",IFNA(IFNA(VLOOKUP(F601,'Raw Platform Nov 4-6 2025'!C:C,1,FALSE),VLOOKUP(F601,'Raw Platform Nov 4-6 2025'!D:D,1,FALSE)),IFNA(VLOOKUP(F601,'Glovo Raw Nov 4-6 2025'!B:B,1,FALSE),"Not Matched"))))))</f>
      </c>
      <c r="H601">
        <f>COUNTIF(F:F,F601)</f>
      </c>
      <c r="I601" t="s">
        <v>7860</v>
      </c>
      <c r="J601" t="s">
        <v>4915</v>
      </c>
      <c r="K601" t="s">
        <v>4927</v>
      </c>
      <c r="L601" t="s">
        <v>7861</v>
      </c>
      <c r="M601" t="s">
        <v>7862</v>
      </c>
      <c r="N601" t="s">
        <v>7863</v>
      </c>
      <c r="O601" t="s">
        <v>53</v>
      </c>
      <c r="P601" t="s">
        <v>5285</v>
      </c>
      <c r="Q601">
        <v>0</v>
      </c>
      <c r="R601" t="s">
        <v>4922</v>
      </c>
      <c r="S601" t="s">
        <v>5136</v>
      </c>
      <c r="T601" t="s">
        <v>4923</v>
      </c>
      <c r="U601" t="s">
        <v>4924</v>
      </c>
      <c r="V601" t="s">
        <v>7864</v>
      </c>
      <c r="W601" t="s">
        <v>3667</v>
      </c>
      <c r="X601">
        <v>175.9</v>
      </c>
    </row>
    <row r="602" spans="1:24" x14ac:dyDescent="0.25">
      <c r="A602" t="s">
        <v>5130</v>
      </c>
      <c r="B602" t="s">
        <v>7789</v>
      </c>
      <c r="C602" t="s">
        <v>7790</v>
      </c>
      <c r="D602" t="s">
        <v>24</v>
      </c>
      <c r="E602" t="s">
        <v>4913</v>
      </c>
      <c r="F602" t="s">
        <v>3386</v>
      </c>
      <c r="G602">
        <f>IF(K602="Pick-up","PICKUPS",IF(K602="Staff drop-off","STAFF_DROPOFF",IF(K602="Replacements","REPLACEMENT",IF(K602="Central Stores Dispatch","CENTRAL STORES DISPATCH",IFNA(IFNA(VLOOKUP(F602,'Raw Platform Nov 4-6 2025'!C:C,1,FALSE),VLOOKUP(F602,'Raw Platform Nov 4-6 2025'!D:D,1,FALSE)),IFNA(VLOOKUP(F602,'Glovo Raw Nov 4-6 2025'!B:B,1,FALSE),"Not Matched"))))))</f>
      </c>
      <c r="H602">
        <f>COUNTIF(F:F,F602)</f>
      </c>
      <c r="I602" t="s">
        <v>7865</v>
      </c>
      <c r="J602" t="s">
        <v>63</v>
      </c>
      <c r="K602" t="s">
        <v>4927</v>
      </c>
      <c r="L602" t="s">
        <v>5461</v>
      </c>
      <c r="M602" t="s">
        <v>5462</v>
      </c>
      <c r="N602" t="s">
        <v>5463</v>
      </c>
      <c r="O602" t="s">
        <v>4962</v>
      </c>
      <c r="P602" t="s">
        <v>5097</v>
      </c>
      <c r="Q602">
        <v>0</v>
      </c>
      <c r="R602" t="s">
        <v>4922</v>
      </c>
      <c r="S602" t="s">
        <v>45</v>
      </c>
      <c r="T602" t="s">
        <v>4923</v>
      </c>
      <c r="U602" t="s">
        <v>4924</v>
      </c>
      <c r="V602" t="s">
        <v>7866</v>
      </c>
      <c r="W602" t="s">
        <v>3667</v>
      </c>
      <c r="X602">
        <v>100</v>
      </c>
    </row>
    <row r="603" spans="1:24" x14ac:dyDescent="0.25">
      <c r="A603" t="s">
        <v>5130</v>
      </c>
      <c r="B603" t="s">
        <v>7789</v>
      </c>
      <c r="C603" t="s">
        <v>7790</v>
      </c>
      <c r="D603" t="s">
        <v>24</v>
      </c>
      <c r="E603" t="s">
        <v>4913</v>
      </c>
      <c r="F603" t="s">
        <v>3006</v>
      </c>
      <c r="G603">
        <f>IF(K603="Pick-up","PICKUPS",IF(K603="Staff drop-off","STAFF_DROPOFF",IF(K603="Replacements","REPLACEMENT",IF(K603="Central Stores Dispatch","CENTRAL STORES DISPATCH",IFNA(IFNA(VLOOKUP(F603,'Raw Platform Nov 4-6 2025'!C:C,1,FALSE),VLOOKUP(F603,'Raw Platform Nov 4-6 2025'!D:D,1,FALSE)),IFNA(VLOOKUP(F603,'Glovo Raw Nov 4-6 2025'!B:B,1,FALSE),"Not Matched"))))))</f>
      </c>
      <c r="H603">
        <f>COUNTIF(F:F,F603)</f>
      </c>
      <c r="I603" t="s">
        <v>7867</v>
      </c>
      <c r="J603" t="s">
        <v>63</v>
      </c>
      <c r="K603" t="s">
        <v>4927</v>
      </c>
      <c r="L603" t="s">
        <v>7868</v>
      </c>
      <c r="M603" t="s">
        <v>7869</v>
      </c>
      <c r="N603" t="s">
        <v>7500</v>
      </c>
      <c r="O603" t="s">
        <v>4949</v>
      </c>
      <c r="P603" t="s">
        <v>5007</v>
      </c>
      <c r="Q603">
        <v>0</v>
      </c>
      <c r="R603" t="s">
        <v>4922</v>
      </c>
      <c r="S603" t="s">
        <v>5136</v>
      </c>
      <c r="T603" t="s">
        <v>4923</v>
      </c>
      <c r="U603" t="s">
        <v>4924</v>
      </c>
      <c r="V603" t="s">
        <v>7870</v>
      </c>
      <c r="W603" t="s">
        <v>3667</v>
      </c>
      <c r="X603">
        <v>100</v>
      </c>
    </row>
    <row r="604" spans="1:24" x14ac:dyDescent="0.25">
      <c r="A604" t="s">
        <v>5231</v>
      </c>
      <c r="B604" t="s">
        <v>7789</v>
      </c>
      <c r="C604" t="s">
        <v>7790</v>
      </c>
      <c r="D604" t="s">
        <v>191</v>
      </c>
      <c r="E604" t="s">
        <v>4913</v>
      </c>
      <c r="F604" t="s">
        <v>3469</v>
      </c>
      <c r="G604">
        <f>IF(K604="Pick-up","PICKUPS",IF(K604="Staff drop-off","STAFF_DROPOFF",IF(K604="Replacements","REPLACEMENT",IF(K604="Central Stores Dispatch","CENTRAL STORES DISPATCH",IFNA(IFNA(VLOOKUP(F604,'Raw Platform Nov 4-6 2025'!C:C,1,FALSE),VLOOKUP(F604,'Raw Platform Nov 4-6 2025'!D:D,1,FALSE)),IFNA(VLOOKUP(F604,'Glovo Raw Nov 4-6 2025'!B:B,1,FALSE),"Not Matched"))))))</f>
      </c>
      <c r="H604">
        <f>COUNTIF(F:F,F604)</f>
      </c>
      <c r="I604" t="s">
        <v>7871</v>
      </c>
      <c r="J604" t="s">
        <v>4915</v>
      </c>
      <c r="K604" t="s">
        <v>4927</v>
      </c>
      <c r="L604" t="s">
        <v>7872</v>
      </c>
      <c r="M604" t="s">
        <v>7873</v>
      </c>
      <c r="N604" t="s">
        <v>7874</v>
      </c>
      <c r="O604" t="s">
        <v>53</v>
      </c>
      <c r="P604" t="s">
        <v>5128</v>
      </c>
      <c r="Q604">
        <v>0</v>
      </c>
      <c r="R604" t="s">
        <v>4922</v>
      </c>
      <c r="S604" t="s">
        <v>5184</v>
      </c>
      <c r="T604" t="s">
        <v>4923</v>
      </c>
      <c r="U604" t="s">
        <v>4924</v>
      </c>
      <c r="V604" t="s">
        <v>7875</v>
      </c>
      <c r="W604" t="s">
        <v>3667</v>
      </c>
      <c r="X604">
        <v>116.1</v>
      </c>
    </row>
    <row r="605" spans="1:24" x14ac:dyDescent="0.25">
      <c r="A605" t="s">
        <v>5130</v>
      </c>
      <c r="B605" t="s">
        <v>7789</v>
      </c>
      <c r="C605" t="s">
        <v>7790</v>
      </c>
      <c r="D605" t="s">
        <v>24</v>
      </c>
      <c r="E605" t="s">
        <v>4913</v>
      </c>
      <c r="F605" t="s">
        <v>3007</v>
      </c>
      <c r="G605">
        <f>IF(K605="Pick-up","PICKUPS",IF(K605="Staff drop-off","STAFF_DROPOFF",IF(K605="Replacements","REPLACEMENT",IF(K605="Central Stores Dispatch","CENTRAL STORES DISPATCH",IFNA(IFNA(VLOOKUP(F605,'Raw Platform Nov 4-6 2025'!C:C,1,FALSE),VLOOKUP(F605,'Raw Platform Nov 4-6 2025'!D:D,1,FALSE)),IFNA(VLOOKUP(F605,'Glovo Raw Nov 4-6 2025'!B:B,1,FALSE),"Not Matched"))))))</f>
      </c>
      <c r="H605">
        <f>COUNTIF(F:F,F605)</f>
      </c>
      <c r="I605" t="s">
        <v>7876</v>
      </c>
      <c r="J605" t="s">
        <v>63</v>
      </c>
      <c r="K605" t="s">
        <v>4927</v>
      </c>
      <c r="L605" t="s">
        <v>7868</v>
      </c>
      <c r="M605" t="s">
        <v>7877</v>
      </c>
      <c r="N605" t="s">
        <v>7500</v>
      </c>
      <c r="O605" t="s">
        <v>4949</v>
      </c>
      <c r="P605" t="s">
        <v>5007</v>
      </c>
      <c r="Q605">
        <v>0</v>
      </c>
      <c r="R605" t="s">
        <v>4922</v>
      </c>
      <c r="S605" t="s">
        <v>5136</v>
      </c>
      <c r="T605" t="s">
        <v>4923</v>
      </c>
      <c r="U605" t="s">
        <v>4924</v>
      </c>
      <c r="V605" t="s">
        <v>7878</v>
      </c>
      <c r="W605" t="s">
        <v>3667</v>
      </c>
      <c r="X605">
        <v>100</v>
      </c>
    </row>
    <row r="606" spans="1:24" x14ac:dyDescent="0.25">
      <c r="A606" t="s">
        <v>5130</v>
      </c>
      <c r="B606" t="s">
        <v>7789</v>
      </c>
      <c r="C606" t="s">
        <v>7790</v>
      </c>
      <c r="D606" t="s">
        <v>24</v>
      </c>
      <c r="E606" t="s">
        <v>4913</v>
      </c>
      <c r="F606" t="s">
        <v>7879</v>
      </c>
      <c r="G606">
        <f>IF(K606="Pick-up","PICKUPS",IF(K606="Staff drop-off","STAFF_DROPOFF",IF(K606="Replacements","REPLACEMENT",IF(K606="Central Stores Dispatch","CENTRAL STORES DISPATCH",IFNA(IFNA(VLOOKUP(F606,'Raw Platform Nov 4-6 2025'!C:C,1,FALSE),VLOOKUP(F606,'Raw Platform Nov 4-6 2025'!D:D,1,FALSE)),IFNA(VLOOKUP(F606,'Glovo Raw Nov 4-6 2025'!B:B,1,FALSE),"Not Matched"))))))</f>
      </c>
      <c r="H606">
        <f>COUNTIF(F:F,F606)</f>
      </c>
      <c r="I606" t="s">
        <v>7880</v>
      </c>
      <c r="J606" t="s">
        <v>4915</v>
      </c>
      <c r="K606" t="s">
        <v>4927</v>
      </c>
      <c r="L606" t="s">
        <v>7881</v>
      </c>
      <c r="M606" t="s">
        <v>7882</v>
      </c>
      <c r="N606" t="s">
        <v>5729</v>
      </c>
      <c r="O606" t="s">
        <v>5013</v>
      </c>
      <c r="P606" t="s">
        <v>5196</v>
      </c>
      <c r="Q606">
        <v>0</v>
      </c>
      <c r="R606" t="s">
        <v>4922</v>
      </c>
      <c r="S606" t="s">
        <v>35</v>
      </c>
      <c r="T606" t="s">
        <v>4923</v>
      </c>
      <c r="U606" t="s">
        <v>4924</v>
      </c>
      <c r="V606" t="s">
        <v>7883</v>
      </c>
      <c r="W606" t="s">
        <v>3667</v>
      </c>
      <c r="X606">
        <v>100</v>
      </c>
    </row>
    <row r="607" spans="1:24" x14ac:dyDescent="0.25">
      <c r="A607" t="s">
        <v>5130</v>
      </c>
      <c r="B607" t="s">
        <v>7884</v>
      </c>
      <c r="C607" t="s">
        <v>7885</v>
      </c>
      <c r="D607" t="s">
        <v>24</v>
      </c>
      <c r="E607" t="s">
        <v>4913</v>
      </c>
      <c r="F607" t="s">
        <v>323</v>
      </c>
      <c r="G607">
        <f>IF(K607="Pick-up","PICKUPS",IF(K607="Staff drop-off","STAFF_DROPOFF",IF(K607="Replacements","REPLACEMENT",IF(K607="Central Stores Dispatch","CENTRAL STORES DISPATCH",IFNA(IFNA(VLOOKUP(F607,'Raw Platform Nov 4-6 2025'!C:C,1,FALSE),VLOOKUP(F607,'Raw Platform Nov 4-6 2025'!D:D,1,FALSE)),IFNA(VLOOKUP(F607,'Glovo Raw Nov 4-6 2025'!B:B,1,FALSE),"Not Matched"))))))</f>
      </c>
      <c r="H607">
        <f>COUNTIF(F:F,F607)</f>
      </c>
      <c r="I607" t="s">
        <v>7886</v>
      </c>
      <c r="J607" t="s">
        <v>5341</v>
      </c>
      <c r="K607" t="s">
        <v>4927</v>
      </c>
      <c r="L607" t="s">
        <v>7887</v>
      </c>
      <c r="M607" t="s">
        <v>7888</v>
      </c>
      <c r="N607" t="s">
        <v>7889</v>
      </c>
      <c r="O607" t="s">
        <v>6318</v>
      </c>
      <c r="P607" t="s">
        <v>7890</v>
      </c>
      <c r="Q607">
        <v>0</v>
      </c>
      <c r="R607" t="s">
        <v>5118</v>
      </c>
      <c r="S607" t="s">
        <v>5136</v>
      </c>
      <c r="T607" t="s">
        <v>4923</v>
      </c>
      <c r="U607" t="s">
        <v>4924</v>
      </c>
      <c r="V607" t="s">
        <v>7891</v>
      </c>
      <c r="W607" t="s">
        <v>3667</v>
      </c>
      <c r="X607">
        <v>474.9</v>
      </c>
    </row>
    <row r="608" spans="1:24" x14ac:dyDescent="0.25">
      <c r="A608" t="s">
        <v>5130</v>
      </c>
      <c r="B608" t="s">
        <v>7884</v>
      </c>
      <c r="C608" t="s">
        <v>7885</v>
      </c>
      <c r="D608" t="s">
        <v>24</v>
      </c>
      <c r="E608" t="s">
        <v>4913</v>
      </c>
      <c r="F608" t="s">
        <v>776</v>
      </c>
      <c r="G608">
        <f>IF(K608="Pick-up","PICKUPS",IF(K608="Staff drop-off","STAFF_DROPOFF",IF(K608="Replacements","REPLACEMENT",IF(K608="Central Stores Dispatch","CENTRAL STORES DISPATCH",IFNA(IFNA(VLOOKUP(F608,'Raw Platform Nov 4-6 2025'!C:C,1,FALSE),VLOOKUP(F608,'Raw Platform Nov 4-6 2025'!D:D,1,FALSE)),IFNA(VLOOKUP(F608,'Glovo Raw Nov 4-6 2025'!B:B,1,FALSE),"Not Matched"))))))</f>
      </c>
      <c r="H608">
        <f>COUNTIF(F:F,F608)</f>
      </c>
      <c r="I608" t="s">
        <v>7892</v>
      </c>
      <c r="J608" t="s">
        <v>4915</v>
      </c>
      <c r="K608" t="s">
        <v>4927</v>
      </c>
      <c r="L608" t="s">
        <v>7893</v>
      </c>
      <c r="M608" t="s">
        <v>7894</v>
      </c>
      <c r="N608" t="s">
        <v>7895</v>
      </c>
      <c r="O608" t="s">
        <v>9</v>
      </c>
      <c r="P608" t="s">
        <v>5285</v>
      </c>
      <c r="Q608">
        <v>0</v>
      </c>
      <c r="R608" t="s">
        <v>5118</v>
      </c>
      <c r="S608" t="s">
        <v>35</v>
      </c>
      <c r="T608" t="s">
        <v>4923</v>
      </c>
      <c r="U608" t="s">
        <v>4924</v>
      </c>
      <c r="V608" t="s">
        <v>7896</v>
      </c>
      <c r="W608" t="s">
        <v>3667</v>
      </c>
      <c r="X608">
        <v>175.9</v>
      </c>
    </row>
    <row r="609" spans="1:24" x14ac:dyDescent="0.25">
      <c r="A609" t="s">
        <v>5130</v>
      </c>
      <c r="B609" t="s">
        <v>7884</v>
      </c>
      <c r="C609" t="s">
        <v>7885</v>
      </c>
      <c r="D609" t="s">
        <v>24</v>
      </c>
      <c r="E609" t="s">
        <v>4913</v>
      </c>
      <c r="F609" t="s">
        <v>781</v>
      </c>
      <c r="G609">
        <f>IF(K609="Pick-up","PICKUPS",IF(K609="Staff drop-off","STAFF_DROPOFF",IF(K609="Replacements","REPLACEMENT",IF(K609="Central Stores Dispatch","CENTRAL STORES DISPATCH",IFNA(IFNA(VLOOKUP(F609,'Raw Platform Nov 4-6 2025'!C:C,1,FALSE),VLOOKUP(F609,'Raw Platform Nov 4-6 2025'!D:D,1,FALSE)),IFNA(VLOOKUP(F609,'Glovo Raw Nov 4-6 2025'!B:B,1,FALSE),"Not Matched"))))))</f>
      </c>
      <c r="H609">
        <f>COUNTIF(F:F,F609)</f>
      </c>
      <c r="I609" t="s">
        <v>6248</v>
      </c>
      <c r="J609" t="s">
        <v>4915</v>
      </c>
      <c r="K609" t="s">
        <v>4927</v>
      </c>
      <c r="L609" t="s">
        <v>6249</v>
      </c>
      <c r="M609" t="s">
        <v>6250</v>
      </c>
      <c r="N609" t="s">
        <v>6251</v>
      </c>
      <c r="O609" t="s">
        <v>77</v>
      </c>
      <c r="P609" t="s">
        <v>2009</v>
      </c>
      <c r="Q609">
        <v>0</v>
      </c>
      <c r="R609" t="s">
        <v>5118</v>
      </c>
      <c r="S609" t="s">
        <v>5136</v>
      </c>
      <c r="T609" t="s">
        <v>4923</v>
      </c>
      <c r="U609" t="s">
        <v>4924</v>
      </c>
      <c r="V609" t="s">
        <v>7897</v>
      </c>
      <c r="W609" t="s">
        <v>3667</v>
      </c>
      <c r="X609">
        <v>203.5</v>
      </c>
    </row>
    <row r="610" spans="1:24" x14ac:dyDescent="0.25">
      <c r="A610" t="s">
        <v>4910</v>
      </c>
      <c r="B610" t="s">
        <v>7884</v>
      </c>
      <c r="C610" t="s">
        <v>7885</v>
      </c>
      <c r="D610" t="s">
        <v>13</v>
      </c>
      <c r="E610" t="s">
        <v>4913</v>
      </c>
      <c r="F610" t="s">
        <v>491</v>
      </c>
      <c r="G610">
        <f>IF(K610="Pick-up","PICKUPS",IF(K610="Staff drop-off","STAFF_DROPOFF",IF(K610="Replacements","REPLACEMENT",IF(K610="Central Stores Dispatch","CENTRAL STORES DISPATCH",IFNA(IFNA(VLOOKUP(F610,'Raw Platform Nov 4-6 2025'!C:C,1,FALSE),VLOOKUP(F610,'Raw Platform Nov 4-6 2025'!D:D,1,FALSE)),IFNA(VLOOKUP(F610,'Glovo Raw Nov 4-6 2025'!B:B,1,FALSE),"Not Matched"))))))</f>
      </c>
      <c r="H610">
        <f>COUNTIF(F:F,F610)</f>
      </c>
      <c r="I610" t="s">
        <v>7898</v>
      </c>
      <c r="J610" t="s">
        <v>63</v>
      </c>
      <c r="K610" t="s">
        <v>4927</v>
      </c>
      <c r="L610" t="s">
        <v>7899</v>
      </c>
      <c r="M610" t="s">
        <v>7900</v>
      </c>
      <c r="N610" t="s">
        <v>7901</v>
      </c>
      <c r="O610" t="s">
        <v>16</v>
      </c>
      <c r="P610" t="s">
        <v>5499</v>
      </c>
      <c r="Q610">
        <v>0</v>
      </c>
      <c r="R610" t="s">
        <v>5118</v>
      </c>
      <c r="S610" t="s">
        <v>12</v>
      </c>
      <c r="T610" t="s">
        <v>4923</v>
      </c>
      <c r="U610" t="s">
        <v>4924</v>
      </c>
      <c r="V610" t="s">
        <v>7902</v>
      </c>
      <c r="W610" t="s">
        <v>3667</v>
      </c>
      <c r="X610">
        <v>267.9</v>
      </c>
    </row>
    <row r="611" spans="1:24" x14ac:dyDescent="0.25">
      <c r="A611" t="s">
        <v>5231</v>
      </c>
      <c r="B611" t="s">
        <v>7884</v>
      </c>
      <c r="C611" t="s">
        <v>7885</v>
      </c>
      <c r="D611" t="s">
        <v>191</v>
      </c>
      <c r="E611" t="s">
        <v>4913</v>
      </c>
      <c r="F611" t="s">
        <v>48</v>
      </c>
      <c r="G611">
        <f>IF(K611="Pick-up","PICKUPS",IF(K611="Staff drop-off","STAFF_DROPOFF",IF(K611="Replacements","REPLACEMENT",IF(K611="Central Stores Dispatch","CENTRAL STORES DISPATCH",IFNA(IFNA(VLOOKUP(F611,'Raw Platform Nov 4-6 2025'!C:C,1,FALSE),VLOOKUP(F611,'Raw Platform Nov 4-6 2025'!D:D,1,FALSE)),IFNA(VLOOKUP(F611,'Glovo Raw Nov 4-6 2025'!B:B,1,FALSE),"Not Matched"))))))</f>
      </c>
      <c r="H611">
        <f>COUNTIF(F:F,F611)</f>
      </c>
      <c r="I611" t="s">
        <v>7903</v>
      </c>
      <c r="J611" t="s">
        <v>4915</v>
      </c>
      <c r="K611" t="s">
        <v>4927</v>
      </c>
      <c r="L611" t="s">
        <v>7904</v>
      </c>
      <c r="M611" t="s">
        <v>5234</v>
      </c>
      <c r="N611" t="s">
        <v>7905</v>
      </c>
      <c r="O611" t="s">
        <v>32</v>
      </c>
      <c r="P611" t="s">
        <v>7673</v>
      </c>
      <c r="Q611">
        <v>0</v>
      </c>
      <c r="R611" t="s">
        <v>5118</v>
      </c>
      <c r="S611" t="s">
        <v>5699</v>
      </c>
      <c r="T611" t="s">
        <v>4923</v>
      </c>
      <c r="U611" t="s">
        <v>4924</v>
      </c>
      <c r="V611" t="s">
        <v>7906</v>
      </c>
      <c r="W611" t="s">
        <v>3667</v>
      </c>
      <c r="X611">
        <v>274.8</v>
      </c>
    </row>
    <row r="612" spans="1:24" x14ac:dyDescent="0.25">
      <c r="A612" t="s">
        <v>5231</v>
      </c>
      <c r="B612" t="s">
        <v>7884</v>
      </c>
      <c r="C612" t="s">
        <v>7885</v>
      </c>
      <c r="D612" t="s">
        <v>191</v>
      </c>
      <c r="E612" t="s">
        <v>4913</v>
      </c>
      <c r="F612" t="s">
        <v>2744</v>
      </c>
      <c r="G612">
        <f>IF(K612="Pick-up","PICKUPS",IF(K612="Staff drop-off","STAFF_DROPOFF",IF(K612="Replacements","REPLACEMENT",IF(K612="Central Stores Dispatch","CENTRAL STORES DISPATCH",IFNA(IFNA(VLOOKUP(F612,'Raw Platform Nov 4-6 2025'!C:C,1,FALSE),VLOOKUP(F612,'Raw Platform Nov 4-6 2025'!D:D,1,FALSE)),IFNA(VLOOKUP(F612,'Glovo Raw Nov 4-6 2025'!B:B,1,FALSE),"Not Matched"))))))</f>
      </c>
      <c r="H612">
        <f>COUNTIF(F:F,F612)</f>
      </c>
      <c r="I612" t="s">
        <v>7907</v>
      </c>
      <c r="J612" t="s">
        <v>4915</v>
      </c>
      <c r="K612" t="s">
        <v>4927</v>
      </c>
      <c r="L612" t="s">
        <v>7908</v>
      </c>
      <c r="M612" t="s">
        <v>7909</v>
      </c>
      <c r="N612" t="s">
        <v>7910</v>
      </c>
      <c r="O612" t="s">
        <v>47</v>
      </c>
      <c r="P612" t="s">
        <v>5001</v>
      </c>
      <c r="Q612">
        <v>0</v>
      </c>
      <c r="R612" t="s">
        <v>5118</v>
      </c>
      <c r="S612" t="s">
        <v>5184</v>
      </c>
      <c r="T612" t="s">
        <v>4923</v>
      </c>
      <c r="U612" t="s">
        <v>4924</v>
      </c>
      <c r="V612" t="s">
        <v>7911</v>
      </c>
      <c r="W612" t="s">
        <v>3667</v>
      </c>
      <c r="X612">
        <v>120.7</v>
      </c>
    </row>
    <row r="613" spans="1:24" x14ac:dyDescent="0.25">
      <c r="A613" t="s">
        <v>5130</v>
      </c>
      <c r="B613" t="s">
        <v>7884</v>
      </c>
      <c r="C613" t="s">
        <v>7885</v>
      </c>
      <c r="D613" t="s">
        <v>7912</v>
      </c>
      <c r="E613" t="s">
        <v>4913</v>
      </c>
      <c r="F613" t="s">
        <v>2964</v>
      </c>
      <c r="G613">
        <f>IF(K613="Pick-up","PICKUPS",IF(K613="Staff drop-off","STAFF_DROPOFF",IF(K613="Replacements","REPLACEMENT",IF(K613="Central Stores Dispatch","CENTRAL STORES DISPATCH",IFNA(IFNA(VLOOKUP(F613,'Raw Platform Nov 4-6 2025'!C:C,1,FALSE),VLOOKUP(F613,'Raw Platform Nov 4-6 2025'!D:D,1,FALSE)),IFNA(VLOOKUP(F613,'Glovo Raw Nov 4-6 2025'!B:B,1,FALSE),"Not Matched"))))))</f>
      </c>
      <c r="H613">
        <f>COUNTIF(F:F,F613)</f>
      </c>
      <c r="I613" t="s">
        <v>7913</v>
      </c>
      <c r="J613" t="s">
        <v>5028</v>
      </c>
      <c r="K613" t="s">
        <v>4927</v>
      </c>
      <c r="L613" t="s">
        <v>7914</v>
      </c>
      <c r="M613" t="s">
        <v>7915</v>
      </c>
      <c r="N613" t="s">
        <v>7916</v>
      </c>
      <c r="O613" t="s">
        <v>16</v>
      </c>
      <c r="P613" t="s">
        <v>7917</v>
      </c>
      <c r="Q613">
        <v>0</v>
      </c>
      <c r="R613" t="s">
        <v>5118</v>
      </c>
      <c r="S613" t="s">
        <v>7912</v>
      </c>
      <c r="T613" t="s">
        <v>4923</v>
      </c>
      <c r="U613" t="s">
        <v>4924</v>
      </c>
      <c r="V613" t="s">
        <v>7918</v>
      </c>
      <c r="W613" t="s">
        <v>3667</v>
      </c>
      <c r="X613">
        <v>343.8</v>
      </c>
    </row>
    <row r="614" spans="1:24" x14ac:dyDescent="0.25">
      <c r="A614" t="s">
        <v>5130</v>
      </c>
      <c r="B614" t="s">
        <v>7884</v>
      </c>
      <c r="C614" t="s">
        <v>7885</v>
      </c>
      <c r="D614" t="s">
        <v>24</v>
      </c>
      <c r="E614" t="s">
        <v>4913</v>
      </c>
      <c r="F614" t="s">
        <v>2685</v>
      </c>
      <c r="G614">
        <f>IF(K614="Pick-up","PICKUPS",IF(K614="Staff drop-off","STAFF_DROPOFF",IF(K614="Replacements","REPLACEMENT",IF(K614="Central Stores Dispatch","CENTRAL STORES DISPATCH",IFNA(IFNA(VLOOKUP(F614,'Raw Platform Nov 4-6 2025'!C:C,1,FALSE),VLOOKUP(F614,'Raw Platform Nov 4-6 2025'!D:D,1,FALSE)),IFNA(VLOOKUP(F614,'Glovo Raw Nov 4-6 2025'!B:B,1,FALSE),"Not Matched"))))))</f>
      </c>
      <c r="H614">
        <f>COUNTIF(F:F,F614)</f>
      </c>
      <c r="I614" t="s">
        <v>7919</v>
      </c>
      <c r="J614" t="s">
        <v>4915</v>
      </c>
      <c r="K614" t="s">
        <v>4927</v>
      </c>
      <c r="L614" t="s">
        <v>7920</v>
      </c>
      <c r="M614" t="s">
        <v>5217</v>
      </c>
      <c r="N614" t="s">
        <v>7921</v>
      </c>
      <c r="O614" t="s">
        <v>100</v>
      </c>
      <c r="P614" t="s">
        <v>5213</v>
      </c>
      <c r="Q614">
        <v>0</v>
      </c>
      <c r="R614" t="s">
        <v>5118</v>
      </c>
      <c r="S614" t="s">
        <v>35</v>
      </c>
      <c r="T614" t="s">
        <v>4923</v>
      </c>
      <c r="U614" t="s">
        <v>4924</v>
      </c>
      <c r="V614" t="s">
        <v>7922</v>
      </c>
      <c r="W614" t="s">
        <v>3667</v>
      </c>
      <c r="X614">
        <v>215</v>
      </c>
    </row>
    <row r="615" spans="1:24" x14ac:dyDescent="0.25">
      <c r="A615" t="s">
        <v>6063</v>
      </c>
      <c r="B615" t="s">
        <v>7923</v>
      </c>
      <c r="C615" t="s">
        <v>7924</v>
      </c>
      <c r="D615" t="s">
        <v>19</v>
      </c>
      <c r="E615" t="s">
        <v>4913</v>
      </c>
      <c r="F615" t="s">
        <v>270</v>
      </c>
      <c r="G615">
        <f>IF(K615="Pick-up","PICKUPS",IF(K615="Staff drop-off","STAFF_DROPOFF",IF(K615="Replacements","REPLACEMENT",IF(K615="Central Stores Dispatch","CENTRAL STORES DISPATCH",IFNA(IFNA(VLOOKUP(F615,'Raw Platform Nov 4-6 2025'!C:C,1,FALSE),VLOOKUP(F615,'Raw Platform Nov 4-6 2025'!D:D,1,FALSE)),IFNA(VLOOKUP(F615,'Glovo Raw Nov 4-6 2025'!B:B,1,FALSE),"Not Matched"))))))</f>
      </c>
      <c r="H615">
        <f>COUNTIF(F:F,F615)</f>
      </c>
      <c r="I615" t="s">
        <v>7925</v>
      </c>
      <c r="J615" t="s">
        <v>4915</v>
      </c>
      <c r="K615" t="s">
        <v>4916</v>
      </c>
      <c r="L615" t="s">
        <v>7926</v>
      </c>
      <c r="M615" t="s">
        <v>7927</v>
      </c>
      <c r="N615" t="s">
        <v>7928</v>
      </c>
      <c r="O615" t="s">
        <v>37</v>
      </c>
      <c r="P615" t="s">
        <v>5213</v>
      </c>
      <c r="Q615">
        <v>833</v>
      </c>
      <c r="R615" t="s">
        <v>5118</v>
      </c>
      <c r="S615" t="s">
        <v>50</v>
      </c>
      <c r="T615" t="s">
        <v>4923</v>
      </c>
      <c r="U615" t="s">
        <v>4924</v>
      </c>
      <c r="V615" t="s">
        <v>7929</v>
      </c>
      <c r="W615" t="s">
        <v>3667</v>
      </c>
      <c r="X615">
        <v>215</v>
      </c>
    </row>
    <row r="616" spans="1:24" x14ac:dyDescent="0.25">
      <c r="A616" t="s">
        <v>6063</v>
      </c>
      <c r="B616" t="s">
        <v>7923</v>
      </c>
      <c r="C616" t="s">
        <v>7924</v>
      </c>
      <c r="D616" t="s">
        <v>19</v>
      </c>
      <c r="E616" t="s">
        <v>4913</v>
      </c>
      <c r="F616" t="s">
        <v>7930</v>
      </c>
      <c r="G616">
        <f>IF(K616="Pick-up","PICKUPS",IF(K616="Staff drop-off","STAFF_DROPOFF",IF(K616="Replacements","REPLACEMENT",IF(K616="Central Stores Dispatch","CENTRAL STORES DISPATCH",IFNA(IFNA(VLOOKUP(F616,'Raw Platform Nov 4-6 2025'!C:C,1,FALSE),VLOOKUP(F616,'Raw Platform Nov 4-6 2025'!D:D,1,FALSE)),IFNA(VLOOKUP(F616,'Glovo Raw Nov 4-6 2025'!B:B,1,FALSE),"Not Matched"))))))</f>
      </c>
      <c r="H616">
        <f>COUNTIF(F:F,F616)</f>
      </c>
      <c r="I616" t="s">
        <v>7931</v>
      </c>
      <c r="J616" t="s">
        <v>4915</v>
      </c>
      <c r="K616" t="s">
        <v>4916</v>
      </c>
      <c r="L616" t="s">
        <v>7932</v>
      </c>
      <c r="M616" t="s">
        <v>7933</v>
      </c>
      <c r="N616" t="s">
        <v>7934</v>
      </c>
      <c r="O616" t="s">
        <v>100</v>
      </c>
      <c r="P616" t="s">
        <v>7725</v>
      </c>
      <c r="Q616">
        <v>2098</v>
      </c>
      <c r="R616" t="s">
        <v>5118</v>
      </c>
      <c r="S616" t="s">
        <v>45</v>
      </c>
      <c r="T616" t="s">
        <v>4923</v>
      </c>
      <c r="U616" t="s">
        <v>4924</v>
      </c>
      <c r="V616" t="s">
        <v>7935</v>
      </c>
      <c r="W616" t="s">
        <v>3667</v>
      </c>
      <c r="X616">
        <v>221.9</v>
      </c>
    </row>
    <row r="617" spans="1:24" x14ac:dyDescent="0.25">
      <c r="A617" t="s">
        <v>6063</v>
      </c>
      <c r="B617" t="s">
        <v>7923</v>
      </c>
      <c r="C617" t="s">
        <v>7924</v>
      </c>
      <c r="D617" t="s">
        <v>191</v>
      </c>
      <c r="E617" t="s">
        <v>4913</v>
      </c>
      <c r="F617" t="s">
        <v>7936</v>
      </c>
      <c r="G617">
        <f>IF(K617="Pick-up","PICKUPS",IF(K617="Staff drop-off","STAFF_DROPOFF",IF(K617="Replacements","REPLACEMENT",IF(K617="Central Stores Dispatch","CENTRAL STORES DISPATCH",IFNA(IFNA(VLOOKUP(F617,'Raw Platform Nov 4-6 2025'!C:C,1,FALSE),VLOOKUP(F617,'Raw Platform Nov 4-6 2025'!D:D,1,FALSE)),IFNA(VLOOKUP(F617,'Glovo Raw Nov 4-6 2025'!B:B,1,FALSE),"Not Matched"))))))</f>
      </c>
      <c r="H617">
        <f>COUNTIF(F:F,F617)</f>
      </c>
      <c r="I617" t="s">
        <v>7937</v>
      </c>
      <c r="J617" t="s">
        <v>4915</v>
      </c>
      <c r="K617" t="s">
        <v>4927</v>
      </c>
      <c r="L617" t="s">
        <v>7938</v>
      </c>
      <c r="M617" t="s">
        <v>6120</v>
      </c>
      <c r="N617" t="s">
        <v>7939</v>
      </c>
      <c r="O617" t="s">
        <v>42</v>
      </c>
      <c r="P617" t="s">
        <v>7940</v>
      </c>
      <c r="Q617">
        <v>0</v>
      </c>
      <c r="R617" t="s">
        <v>5118</v>
      </c>
      <c r="S617" t="s">
        <v>641</v>
      </c>
      <c r="T617" t="s">
        <v>4923</v>
      </c>
      <c r="U617" t="s">
        <v>4924</v>
      </c>
      <c r="V617" t="s">
        <v>7941</v>
      </c>
      <c r="W617" t="s">
        <v>3667</v>
      </c>
      <c r="X617">
        <v>290.9</v>
      </c>
    </row>
    <row r="618" spans="1:24" x14ac:dyDescent="0.25">
      <c r="A618" t="s">
        <v>6063</v>
      </c>
      <c r="B618" t="s">
        <v>7923</v>
      </c>
      <c r="C618" t="s">
        <v>7924</v>
      </c>
      <c r="D618" t="s">
        <v>191</v>
      </c>
      <c r="E618" t="s">
        <v>4913</v>
      </c>
      <c r="F618" t="s">
        <v>753</v>
      </c>
      <c r="G618">
        <f>IF(K618="Pick-up","PICKUPS",IF(K618="Staff drop-off","STAFF_DROPOFF",IF(K618="Replacements","REPLACEMENT",IF(K618="Central Stores Dispatch","CENTRAL STORES DISPATCH",IFNA(IFNA(VLOOKUP(F618,'Raw Platform Nov 4-6 2025'!C:C,1,FALSE),VLOOKUP(F618,'Raw Platform Nov 4-6 2025'!D:D,1,FALSE)),IFNA(VLOOKUP(F618,'Glovo Raw Nov 4-6 2025'!B:B,1,FALSE),"Not Matched"))))))</f>
      </c>
      <c r="H618">
        <f>COUNTIF(F:F,F618)</f>
      </c>
      <c r="I618" t="s">
        <v>7942</v>
      </c>
      <c r="J618" t="s">
        <v>4915</v>
      </c>
      <c r="K618" t="s">
        <v>4927</v>
      </c>
      <c r="L618" t="s">
        <v>7943</v>
      </c>
      <c r="M618" t="s">
        <v>7944</v>
      </c>
      <c r="N618" t="s">
        <v>7945</v>
      </c>
      <c r="O618" t="s">
        <v>2009</v>
      </c>
      <c r="P618" t="s">
        <v>6235</v>
      </c>
      <c r="Q618">
        <v>0</v>
      </c>
      <c r="R618" t="s">
        <v>5118</v>
      </c>
      <c r="S618" t="s">
        <v>641</v>
      </c>
      <c r="T618" t="s">
        <v>4923</v>
      </c>
      <c r="U618" t="s">
        <v>4924</v>
      </c>
      <c r="V618" t="s">
        <v>7946</v>
      </c>
      <c r="W618" t="s">
        <v>3667</v>
      </c>
      <c r="X618">
        <v>104.6</v>
      </c>
    </row>
    <row r="619" spans="1:24" x14ac:dyDescent="0.25">
      <c r="A619" t="s">
        <v>6063</v>
      </c>
      <c r="B619" t="s">
        <v>7923</v>
      </c>
      <c r="C619" t="s">
        <v>7924</v>
      </c>
      <c r="D619" t="s">
        <v>191</v>
      </c>
      <c r="E619" t="s">
        <v>4913</v>
      </c>
      <c r="F619" t="s">
        <v>2235</v>
      </c>
      <c r="G619">
        <f>IF(K619="Pick-up","PICKUPS",IF(K619="Staff drop-off","STAFF_DROPOFF",IF(K619="Replacements","REPLACEMENT",IF(K619="Central Stores Dispatch","CENTRAL STORES DISPATCH",IFNA(IFNA(VLOOKUP(F619,'Raw Platform Nov 4-6 2025'!C:C,1,FALSE),VLOOKUP(F619,'Raw Platform Nov 4-6 2025'!D:D,1,FALSE)),IFNA(VLOOKUP(F619,'Glovo Raw Nov 4-6 2025'!B:B,1,FALSE),"Not Matched"))))))</f>
      </c>
      <c r="H619">
        <f>COUNTIF(F:F,F619)</f>
      </c>
      <c r="I619" t="s">
        <v>7947</v>
      </c>
      <c r="J619" t="s">
        <v>4915</v>
      </c>
      <c r="K619" t="s">
        <v>4927</v>
      </c>
      <c r="L619" t="s">
        <v>7948</v>
      </c>
      <c r="M619" t="s">
        <v>6120</v>
      </c>
      <c r="N619" t="s">
        <v>7949</v>
      </c>
      <c r="O619" t="s">
        <v>113</v>
      </c>
      <c r="P619" t="s">
        <v>5314</v>
      </c>
      <c r="Q619">
        <v>0</v>
      </c>
      <c r="R619" t="s">
        <v>5118</v>
      </c>
      <c r="S619" t="s">
        <v>641</v>
      </c>
      <c r="T619" t="s">
        <v>4923</v>
      </c>
      <c r="U619" t="s">
        <v>4924</v>
      </c>
      <c r="V619" t="s">
        <v>7950</v>
      </c>
      <c r="W619" t="s">
        <v>3667</v>
      </c>
      <c r="X619">
        <v>201.2</v>
      </c>
    </row>
    <row r="620" spans="1:24" x14ac:dyDescent="0.25">
      <c r="A620" t="s">
        <v>6063</v>
      </c>
      <c r="B620" t="s">
        <v>7923</v>
      </c>
      <c r="C620" t="s">
        <v>7924</v>
      </c>
      <c r="D620" t="s">
        <v>191</v>
      </c>
      <c r="E620" t="s">
        <v>4913</v>
      </c>
      <c r="F620" t="s">
        <v>2188</v>
      </c>
      <c r="G620">
        <f>IF(K620="Pick-up","PICKUPS",IF(K620="Staff drop-off","STAFF_DROPOFF",IF(K620="Replacements","REPLACEMENT",IF(K620="Central Stores Dispatch","CENTRAL STORES DISPATCH",IFNA(IFNA(VLOOKUP(F620,'Raw Platform Nov 4-6 2025'!C:C,1,FALSE),VLOOKUP(F620,'Raw Platform Nov 4-6 2025'!D:D,1,FALSE)),IFNA(VLOOKUP(F620,'Glovo Raw Nov 4-6 2025'!B:B,1,FALSE),"Not Matched"))))))</f>
      </c>
      <c r="H620">
        <f>COUNTIF(F:F,F620)</f>
      </c>
      <c r="I620" t="s">
        <v>7951</v>
      </c>
      <c r="J620" t="s">
        <v>4915</v>
      </c>
      <c r="K620" t="s">
        <v>4927</v>
      </c>
      <c r="L620" t="s">
        <v>7952</v>
      </c>
      <c r="M620" t="s">
        <v>6120</v>
      </c>
      <c r="N620" t="s">
        <v>7953</v>
      </c>
      <c r="O620" t="s">
        <v>113</v>
      </c>
      <c r="P620" t="s">
        <v>6267</v>
      </c>
      <c r="Q620">
        <v>0</v>
      </c>
      <c r="R620" t="s">
        <v>5118</v>
      </c>
      <c r="S620" t="s">
        <v>641</v>
      </c>
      <c r="T620" t="s">
        <v>4923</v>
      </c>
      <c r="U620" t="s">
        <v>4924</v>
      </c>
      <c r="V620" t="s">
        <v>7954</v>
      </c>
      <c r="W620" t="s">
        <v>3667</v>
      </c>
      <c r="X620">
        <v>198.9</v>
      </c>
    </row>
    <row r="621" spans="1:24" x14ac:dyDescent="0.25">
      <c r="A621" t="s">
        <v>6063</v>
      </c>
      <c r="B621" t="s">
        <v>7923</v>
      </c>
      <c r="C621" t="s">
        <v>7924</v>
      </c>
      <c r="D621" t="s">
        <v>19</v>
      </c>
      <c r="E621" t="s">
        <v>4913</v>
      </c>
      <c r="F621" t="s">
        <v>1562</v>
      </c>
      <c r="G621">
        <f>IF(K621="Pick-up","PICKUPS",IF(K621="Staff drop-off","STAFF_DROPOFF",IF(K621="Replacements","REPLACEMENT",IF(K621="Central Stores Dispatch","CENTRAL STORES DISPATCH",IFNA(IFNA(VLOOKUP(F621,'Raw Platform Nov 4-6 2025'!C:C,1,FALSE),VLOOKUP(F621,'Raw Platform Nov 4-6 2025'!D:D,1,FALSE)),IFNA(VLOOKUP(F621,'Glovo Raw Nov 4-6 2025'!B:B,1,FALSE),"Not Matched"))))))</f>
      </c>
      <c r="H621">
        <f>COUNTIF(F:F,F621)</f>
      </c>
      <c r="I621" t="s">
        <v>7955</v>
      </c>
      <c r="J621" t="s">
        <v>4915</v>
      </c>
      <c r="K621" t="s">
        <v>4927</v>
      </c>
      <c r="L621" t="s">
        <v>7956</v>
      </c>
      <c r="M621" t="s">
        <v>6120</v>
      </c>
      <c r="N621" t="s">
        <v>7957</v>
      </c>
      <c r="O621" t="s">
        <v>9</v>
      </c>
      <c r="P621" t="s">
        <v>5285</v>
      </c>
      <c r="Q621">
        <v>0</v>
      </c>
      <c r="R621" t="s">
        <v>5118</v>
      </c>
      <c r="S621" t="s">
        <v>50</v>
      </c>
      <c r="T621" t="s">
        <v>4923</v>
      </c>
      <c r="U621" t="s">
        <v>4924</v>
      </c>
      <c r="V621" t="s">
        <v>7958</v>
      </c>
      <c r="W621" t="s">
        <v>3667</v>
      </c>
      <c r="X621">
        <v>175.9</v>
      </c>
    </row>
    <row r="622" spans="1:24" x14ac:dyDescent="0.25">
      <c r="A622" t="s">
        <v>6063</v>
      </c>
      <c r="B622" t="s">
        <v>7923</v>
      </c>
      <c r="C622" t="s">
        <v>7924</v>
      </c>
      <c r="D622" t="s">
        <v>191</v>
      </c>
      <c r="E622" t="s">
        <v>4913</v>
      </c>
      <c r="F622" t="s">
        <v>2039</v>
      </c>
      <c r="G622">
        <f>IF(K622="Pick-up","PICKUPS",IF(K622="Staff drop-off","STAFF_DROPOFF",IF(K622="Replacements","REPLACEMENT",IF(K622="Central Stores Dispatch","CENTRAL STORES DISPATCH",IFNA(IFNA(VLOOKUP(F622,'Raw Platform Nov 4-6 2025'!C:C,1,FALSE),VLOOKUP(F622,'Raw Platform Nov 4-6 2025'!D:D,1,FALSE)),IFNA(VLOOKUP(F622,'Glovo Raw Nov 4-6 2025'!B:B,1,FALSE),"Not Matched"))))))</f>
      </c>
      <c r="H622">
        <f>COUNTIF(F:F,F622)</f>
      </c>
      <c r="I622" t="s">
        <v>7959</v>
      </c>
      <c r="J622" t="s">
        <v>63</v>
      </c>
      <c r="K622" t="s">
        <v>4916</v>
      </c>
      <c r="L622" t="s">
        <v>7960</v>
      </c>
      <c r="M622" t="s">
        <v>7961</v>
      </c>
      <c r="N622" t="s">
        <v>7962</v>
      </c>
      <c r="O622" t="s">
        <v>5469</v>
      </c>
      <c r="P622" t="s">
        <v>6139</v>
      </c>
      <c r="Q622">
        <v>2404</v>
      </c>
      <c r="R622" t="s">
        <v>5118</v>
      </c>
      <c r="S622" t="s">
        <v>641</v>
      </c>
      <c r="T622" t="s">
        <v>4923</v>
      </c>
      <c r="U622" t="s">
        <v>4924</v>
      </c>
      <c r="V622" t="s">
        <v>7963</v>
      </c>
      <c r="W622" t="s">
        <v>3667</v>
      </c>
      <c r="X622">
        <v>380.6</v>
      </c>
    </row>
    <row r="623" spans="1:24" x14ac:dyDescent="0.25">
      <c r="A623" t="s">
        <v>6063</v>
      </c>
      <c r="B623" t="s">
        <v>7923</v>
      </c>
      <c r="C623" t="s">
        <v>7924</v>
      </c>
      <c r="D623" t="s">
        <v>19</v>
      </c>
      <c r="E623" t="s">
        <v>4913</v>
      </c>
      <c r="F623" t="s">
        <v>2337</v>
      </c>
      <c r="G623">
        <f>IF(K623="Pick-up","PICKUPS",IF(K623="Staff drop-off","STAFF_DROPOFF",IF(K623="Replacements","REPLACEMENT",IF(K623="Central Stores Dispatch","CENTRAL STORES DISPATCH",IFNA(IFNA(VLOOKUP(F623,'Raw Platform Nov 4-6 2025'!C:C,1,FALSE),VLOOKUP(F623,'Raw Platform Nov 4-6 2025'!D:D,1,FALSE)),IFNA(VLOOKUP(F623,'Glovo Raw Nov 4-6 2025'!B:B,1,FALSE),"Not Matched"))))))</f>
      </c>
      <c r="H623">
        <f>COUNTIF(F:F,F623)</f>
      </c>
      <c r="I623" t="s">
        <v>7964</v>
      </c>
      <c r="J623" t="s">
        <v>4915</v>
      </c>
      <c r="K623" t="s">
        <v>4916</v>
      </c>
      <c r="L623" t="s">
        <v>7965</v>
      </c>
      <c r="M623" t="s">
        <v>7966</v>
      </c>
      <c r="N623" t="s">
        <v>7967</v>
      </c>
      <c r="O623" t="s">
        <v>6086</v>
      </c>
      <c r="P623" t="s">
        <v>5923</v>
      </c>
      <c r="Q623">
        <v>784</v>
      </c>
      <c r="R623" t="s">
        <v>5118</v>
      </c>
      <c r="S623" t="s">
        <v>35</v>
      </c>
      <c r="T623" t="s">
        <v>4923</v>
      </c>
      <c r="U623" t="s">
        <v>4924</v>
      </c>
      <c r="V623" t="s">
        <v>7968</v>
      </c>
      <c r="W623" t="s">
        <v>3667</v>
      </c>
      <c r="X623">
        <v>286.3</v>
      </c>
    </row>
    <row r="624" spans="1:24" x14ac:dyDescent="0.25">
      <c r="A624" t="s">
        <v>6063</v>
      </c>
      <c r="B624" t="s">
        <v>7923</v>
      </c>
      <c r="C624" t="s">
        <v>7924</v>
      </c>
      <c r="D624" t="s">
        <v>19</v>
      </c>
      <c r="E624" t="s">
        <v>4913</v>
      </c>
      <c r="F624" t="s">
        <v>1959</v>
      </c>
      <c r="G624">
        <f>IF(K624="Pick-up","PICKUPS",IF(K624="Staff drop-off","STAFF_DROPOFF",IF(K624="Replacements","REPLACEMENT",IF(K624="Central Stores Dispatch","CENTRAL STORES DISPATCH",IFNA(IFNA(VLOOKUP(F624,'Raw Platform Nov 4-6 2025'!C:C,1,FALSE),VLOOKUP(F624,'Raw Platform Nov 4-6 2025'!D:D,1,FALSE)),IFNA(VLOOKUP(F624,'Glovo Raw Nov 4-6 2025'!B:B,1,FALSE),"Not Matched"))))))</f>
      </c>
      <c r="H624">
        <f>COUNTIF(F:F,F624)</f>
      </c>
      <c r="I624" t="s">
        <v>7969</v>
      </c>
      <c r="J624" t="s">
        <v>4915</v>
      </c>
      <c r="K624" t="s">
        <v>4927</v>
      </c>
      <c r="L624" t="s">
        <v>7970</v>
      </c>
      <c r="M624" t="s">
        <v>7971</v>
      </c>
      <c r="N624" t="s">
        <v>7972</v>
      </c>
      <c r="O624" t="s">
        <v>77</v>
      </c>
      <c r="P624" t="s">
        <v>5271</v>
      </c>
      <c r="Q624">
        <v>0</v>
      </c>
      <c r="R624" t="s">
        <v>5118</v>
      </c>
      <c r="S624" t="s">
        <v>5136</v>
      </c>
      <c r="T624" t="s">
        <v>4923</v>
      </c>
      <c r="U624" t="s">
        <v>4924</v>
      </c>
      <c r="V624" t="s">
        <v>7973</v>
      </c>
      <c r="W624" t="s">
        <v>3667</v>
      </c>
      <c r="X624">
        <v>182.8</v>
      </c>
    </row>
    <row r="625" spans="1:24" x14ac:dyDescent="0.25">
      <c r="A625" t="s">
        <v>6063</v>
      </c>
      <c r="B625" t="s">
        <v>7923</v>
      </c>
      <c r="C625" t="s">
        <v>7924</v>
      </c>
      <c r="D625" t="s">
        <v>19</v>
      </c>
      <c r="E625" t="s">
        <v>4913</v>
      </c>
      <c r="F625" t="s">
        <v>2891</v>
      </c>
      <c r="G625">
        <f>IF(K625="Pick-up","PICKUPS",IF(K625="Staff drop-off","STAFF_DROPOFF",IF(K625="Replacements","REPLACEMENT",IF(K625="Central Stores Dispatch","CENTRAL STORES DISPATCH",IFNA(IFNA(VLOOKUP(F625,'Raw Platform Nov 4-6 2025'!C:C,1,FALSE),VLOOKUP(F625,'Raw Platform Nov 4-6 2025'!D:D,1,FALSE)),IFNA(VLOOKUP(F625,'Glovo Raw Nov 4-6 2025'!B:B,1,FALSE),"Not Matched"))))))</f>
      </c>
      <c r="H625">
        <f>COUNTIF(F:F,F625)</f>
      </c>
      <c r="I625" t="s">
        <v>7974</v>
      </c>
      <c r="J625" t="s">
        <v>4915</v>
      </c>
      <c r="K625" t="s">
        <v>4927</v>
      </c>
      <c r="L625" t="s">
        <v>7975</v>
      </c>
      <c r="M625" t="s">
        <v>7976</v>
      </c>
      <c r="N625" t="s">
        <v>7977</v>
      </c>
      <c r="O625" t="s">
        <v>16</v>
      </c>
      <c r="P625" t="s">
        <v>5345</v>
      </c>
      <c r="Q625">
        <v>0</v>
      </c>
      <c r="R625" t="s">
        <v>5118</v>
      </c>
      <c r="S625" t="s">
        <v>35</v>
      </c>
      <c r="T625" t="s">
        <v>4923</v>
      </c>
      <c r="U625" t="s">
        <v>4924</v>
      </c>
      <c r="V625" t="s">
        <v>7978</v>
      </c>
      <c r="W625" t="s">
        <v>3667</v>
      </c>
      <c r="X625">
        <v>208.1</v>
      </c>
    </row>
    <row r="626" spans="1:24" x14ac:dyDescent="0.25">
      <c r="A626" t="s">
        <v>6063</v>
      </c>
      <c r="B626" t="s">
        <v>7923</v>
      </c>
      <c r="C626" t="s">
        <v>7924</v>
      </c>
      <c r="D626" t="s">
        <v>19</v>
      </c>
      <c r="E626" t="s">
        <v>4913</v>
      </c>
      <c r="F626" t="s">
        <v>3093</v>
      </c>
      <c r="G626">
        <f>IF(K626="Pick-up","PICKUPS",IF(K626="Staff drop-off","STAFF_DROPOFF",IF(K626="Replacements","REPLACEMENT",IF(K626="Central Stores Dispatch","CENTRAL STORES DISPATCH",IFNA(IFNA(VLOOKUP(F626,'Raw Platform Nov 4-6 2025'!C:C,1,FALSE),VLOOKUP(F626,'Raw Platform Nov 4-6 2025'!D:D,1,FALSE)),IFNA(VLOOKUP(F626,'Glovo Raw Nov 4-6 2025'!B:B,1,FALSE),"Not Matched"))))))</f>
      </c>
      <c r="H626">
        <f>COUNTIF(F:F,F626)</f>
      </c>
      <c r="I626" t="s">
        <v>7979</v>
      </c>
      <c r="J626" t="s">
        <v>4915</v>
      </c>
      <c r="K626" t="s">
        <v>4927</v>
      </c>
      <c r="L626" t="s">
        <v>7980</v>
      </c>
      <c r="M626" t="s">
        <v>7981</v>
      </c>
      <c r="N626" t="s">
        <v>6869</v>
      </c>
      <c r="O626" t="s">
        <v>7232</v>
      </c>
      <c r="P626" t="s">
        <v>7349</v>
      </c>
      <c r="Q626">
        <v>0</v>
      </c>
      <c r="R626" t="s">
        <v>5118</v>
      </c>
      <c r="S626" t="s">
        <v>5136</v>
      </c>
      <c r="T626" t="s">
        <v>4923</v>
      </c>
      <c r="U626" t="s">
        <v>4924</v>
      </c>
      <c r="V626" t="s">
        <v>7982</v>
      </c>
      <c r="W626" t="s">
        <v>3667</v>
      </c>
      <c r="X626">
        <v>382.9</v>
      </c>
    </row>
    <row r="627" spans="1:24" x14ac:dyDescent="0.25">
      <c r="A627" t="s">
        <v>6063</v>
      </c>
      <c r="B627" t="s">
        <v>7923</v>
      </c>
      <c r="C627" t="s">
        <v>7924</v>
      </c>
      <c r="D627" t="s">
        <v>19</v>
      </c>
      <c r="E627" t="s">
        <v>4913</v>
      </c>
      <c r="F627" t="s">
        <v>2939</v>
      </c>
      <c r="G627">
        <f>IF(K627="Pick-up","PICKUPS",IF(K627="Staff drop-off","STAFF_DROPOFF",IF(K627="Replacements","REPLACEMENT",IF(K627="Central Stores Dispatch","CENTRAL STORES DISPATCH",IFNA(IFNA(VLOOKUP(F627,'Raw Platform Nov 4-6 2025'!C:C,1,FALSE),VLOOKUP(F627,'Raw Platform Nov 4-6 2025'!D:D,1,FALSE)),IFNA(VLOOKUP(F627,'Glovo Raw Nov 4-6 2025'!B:B,1,FALSE),"Not Matched"))))))</f>
      </c>
      <c r="H627">
        <f>COUNTIF(F:F,F627)</f>
      </c>
      <c r="I627" t="s">
        <v>7983</v>
      </c>
      <c r="J627" t="s">
        <v>4915</v>
      </c>
      <c r="K627" t="s">
        <v>4927</v>
      </c>
      <c r="L627" t="s">
        <v>7984</v>
      </c>
      <c r="M627" t="s">
        <v>7985</v>
      </c>
      <c r="N627" t="s">
        <v>7986</v>
      </c>
      <c r="O627" t="s">
        <v>5534</v>
      </c>
      <c r="P627" t="s">
        <v>7987</v>
      </c>
      <c r="Q627">
        <v>0</v>
      </c>
      <c r="R627" t="s">
        <v>5118</v>
      </c>
      <c r="S627" t="s">
        <v>50</v>
      </c>
      <c r="T627" t="s">
        <v>4923</v>
      </c>
      <c r="U627" t="s">
        <v>4924</v>
      </c>
      <c r="V627" t="s">
        <v>7988</v>
      </c>
      <c r="W627" t="s">
        <v>3667</v>
      </c>
      <c r="X627">
        <v>362.2</v>
      </c>
    </row>
    <row r="628" spans="1:24" x14ac:dyDescent="0.25">
      <c r="A628" t="s">
        <v>6063</v>
      </c>
      <c r="B628" t="s">
        <v>7923</v>
      </c>
      <c r="C628" t="s">
        <v>7924</v>
      </c>
      <c r="D628" t="s">
        <v>191</v>
      </c>
      <c r="E628" t="s">
        <v>4913</v>
      </c>
      <c r="F628" t="s">
        <v>3422</v>
      </c>
      <c r="G628">
        <f>IF(K628="Pick-up","PICKUPS",IF(K628="Staff drop-off","STAFF_DROPOFF",IF(K628="Replacements","REPLACEMENT",IF(K628="Central Stores Dispatch","CENTRAL STORES DISPATCH",IFNA(IFNA(VLOOKUP(F628,'Raw Platform Nov 4-6 2025'!C:C,1,FALSE),VLOOKUP(F628,'Raw Platform Nov 4-6 2025'!D:D,1,FALSE)),IFNA(VLOOKUP(F628,'Glovo Raw Nov 4-6 2025'!B:B,1,FALSE),"Not Matched"))))))</f>
      </c>
      <c r="H628">
        <f>COUNTIF(F:F,F628)</f>
      </c>
      <c r="I628" t="s">
        <v>7989</v>
      </c>
      <c r="J628" t="s">
        <v>4915</v>
      </c>
      <c r="K628" t="s">
        <v>4927</v>
      </c>
      <c r="L628" t="s">
        <v>7990</v>
      </c>
      <c r="M628" t="s">
        <v>7991</v>
      </c>
      <c r="N628" t="s">
        <v>7992</v>
      </c>
      <c r="O628" t="s">
        <v>6329</v>
      </c>
      <c r="P628" t="s">
        <v>6299</v>
      </c>
      <c r="Q628">
        <v>0</v>
      </c>
      <c r="R628" t="s">
        <v>5118</v>
      </c>
      <c r="S628" t="s">
        <v>641</v>
      </c>
      <c r="T628" t="s">
        <v>4923</v>
      </c>
      <c r="U628" t="s">
        <v>4924</v>
      </c>
      <c r="V628" t="s">
        <v>7993</v>
      </c>
      <c r="W628" t="s">
        <v>3667</v>
      </c>
      <c r="X628">
        <v>408.2</v>
      </c>
    </row>
    <row r="629" spans="1:24" x14ac:dyDescent="0.25">
      <c r="A629" t="s">
        <v>6063</v>
      </c>
      <c r="B629" t="s">
        <v>7923</v>
      </c>
      <c r="C629" t="s">
        <v>7924</v>
      </c>
      <c r="D629" t="s">
        <v>19</v>
      </c>
      <c r="E629" t="s">
        <v>4913</v>
      </c>
      <c r="F629" t="s">
        <v>2747</v>
      </c>
      <c r="G629">
        <f>IF(K629="Pick-up","PICKUPS",IF(K629="Staff drop-off","STAFF_DROPOFF",IF(K629="Replacements","REPLACEMENT",IF(K629="Central Stores Dispatch","CENTRAL STORES DISPATCH",IFNA(IFNA(VLOOKUP(F629,'Raw Platform Nov 4-6 2025'!C:C,1,FALSE),VLOOKUP(F629,'Raw Platform Nov 4-6 2025'!D:D,1,FALSE)),IFNA(VLOOKUP(F629,'Glovo Raw Nov 4-6 2025'!B:B,1,FALSE),"Not Matched"))))))</f>
      </c>
      <c r="H629">
        <f>COUNTIF(F:F,F629)</f>
      </c>
      <c r="I629" t="s">
        <v>7994</v>
      </c>
      <c r="J629" t="s">
        <v>4915</v>
      </c>
      <c r="K629" t="s">
        <v>4927</v>
      </c>
      <c r="L629" t="s">
        <v>7995</v>
      </c>
      <c r="M629" t="s">
        <v>7996</v>
      </c>
      <c r="N629" t="s">
        <v>7703</v>
      </c>
      <c r="O629" t="s">
        <v>183</v>
      </c>
      <c r="P629" t="s">
        <v>5265</v>
      </c>
      <c r="Q629">
        <v>0</v>
      </c>
      <c r="R629" t="s">
        <v>5118</v>
      </c>
      <c r="S629" t="s">
        <v>45</v>
      </c>
      <c r="T629" t="s">
        <v>4923</v>
      </c>
      <c r="U629" t="s">
        <v>4924</v>
      </c>
      <c r="V629" t="s">
        <v>7997</v>
      </c>
      <c r="W629" t="s">
        <v>3667</v>
      </c>
      <c r="X629">
        <v>263.3</v>
      </c>
    </row>
    <row r="630" spans="1:24" x14ac:dyDescent="0.25">
      <c r="A630" t="s">
        <v>6063</v>
      </c>
      <c r="B630" t="s">
        <v>7923</v>
      </c>
      <c r="C630" t="s">
        <v>7924</v>
      </c>
      <c r="D630" t="s">
        <v>19</v>
      </c>
      <c r="E630" t="s">
        <v>4913</v>
      </c>
      <c r="F630" t="s">
        <v>3454</v>
      </c>
      <c r="G630">
        <f>IF(K630="Pick-up","PICKUPS",IF(K630="Staff drop-off","STAFF_DROPOFF",IF(K630="Replacements","REPLACEMENT",IF(K630="Central Stores Dispatch","CENTRAL STORES DISPATCH",IFNA(IFNA(VLOOKUP(F630,'Raw Platform Nov 4-6 2025'!C:C,1,FALSE),VLOOKUP(F630,'Raw Platform Nov 4-6 2025'!D:D,1,FALSE)),IFNA(VLOOKUP(F630,'Glovo Raw Nov 4-6 2025'!B:B,1,FALSE),"Not Matched"))))))</f>
      </c>
      <c r="H630">
        <f>COUNTIF(F:F,F630)</f>
      </c>
      <c r="I630" t="s">
        <v>7998</v>
      </c>
      <c r="J630" t="s">
        <v>4915</v>
      </c>
      <c r="K630" t="s">
        <v>4927</v>
      </c>
      <c r="L630" t="s">
        <v>7999</v>
      </c>
      <c r="M630" t="s">
        <v>8000</v>
      </c>
      <c r="N630" t="s">
        <v>8001</v>
      </c>
      <c r="O630" t="s">
        <v>4962</v>
      </c>
      <c r="P630" t="s">
        <v>6235</v>
      </c>
      <c r="Q630">
        <v>0</v>
      </c>
      <c r="R630" t="s">
        <v>5118</v>
      </c>
      <c r="S630" t="s">
        <v>12</v>
      </c>
      <c r="T630" t="s">
        <v>4923</v>
      </c>
      <c r="U630" t="s">
        <v>4924</v>
      </c>
      <c r="V630" t="s">
        <v>8002</v>
      </c>
      <c r="W630" t="s">
        <v>3667</v>
      </c>
      <c r="X630">
        <v>104.6</v>
      </c>
    </row>
    <row r="631" spans="1:24" x14ac:dyDescent="0.25">
      <c r="A631" t="s">
        <v>5231</v>
      </c>
      <c r="B631" t="s">
        <v>8003</v>
      </c>
      <c r="C631" t="s">
        <v>8004</v>
      </c>
      <c r="D631" t="s">
        <v>191</v>
      </c>
      <c r="E631" t="s">
        <v>4913</v>
      </c>
      <c r="F631" t="s">
        <v>989</v>
      </c>
      <c r="G631">
        <f>IF(K631="Pick-up","PICKUPS",IF(K631="Staff drop-off","STAFF_DROPOFF",IF(K631="Replacements","REPLACEMENT",IF(K631="Central Stores Dispatch","CENTRAL STORES DISPATCH",IFNA(IFNA(VLOOKUP(F631,'Raw Platform Nov 4-6 2025'!C:C,1,FALSE),VLOOKUP(F631,'Raw Platform Nov 4-6 2025'!D:D,1,FALSE)),IFNA(VLOOKUP(F631,'Glovo Raw Nov 4-6 2025'!B:B,1,FALSE),"Not Matched"))))))</f>
      </c>
      <c r="H631">
        <f>COUNTIF(F:F,F631)</f>
      </c>
      <c r="I631" t="s">
        <v>8005</v>
      </c>
      <c r="J631" t="s">
        <v>63</v>
      </c>
      <c r="K631" t="s">
        <v>4927</v>
      </c>
      <c r="L631" t="s">
        <v>8006</v>
      </c>
      <c r="M631" t="s">
        <v>8007</v>
      </c>
      <c r="N631" t="s">
        <v>8008</v>
      </c>
      <c r="O631" t="s">
        <v>6086</v>
      </c>
      <c r="P631" t="s">
        <v>8009</v>
      </c>
      <c r="Q631">
        <v>0</v>
      </c>
      <c r="R631" t="s">
        <v>4922</v>
      </c>
      <c r="S631" t="s">
        <v>5184</v>
      </c>
      <c r="T631" t="s">
        <v>4923</v>
      </c>
      <c r="U631" t="s">
        <v>4924</v>
      </c>
      <c r="V631" t="s">
        <v>8010</v>
      </c>
      <c r="W631" t="s">
        <v>3667</v>
      </c>
      <c r="X631">
        <v>451.9</v>
      </c>
    </row>
    <row r="632" spans="1:24" x14ac:dyDescent="0.25">
      <c r="A632" t="s">
        <v>5130</v>
      </c>
      <c r="B632" t="s">
        <v>8003</v>
      </c>
      <c r="C632" t="s">
        <v>8004</v>
      </c>
      <c r="D632" t="s">
        <v>24</v>
      </c>
      <c r="E632" t="s">
        <v>4913</v>
      </c>
      <c r="F632" t="s">
        <v>1199</v>
      </c>
      <c r="G632">
        <f>IF(K632="Pick-up","PICKUPS",IF(K632="Staff drop-off","STAFF_DROPOFF",IF(K632="Replacements","REPLACEMENT",IF(K632="Central Stores Dispatch","CENTRAL STORES DISPATCH",IFNA(IFNA(VLOOKUP(F632,'Raw Platform Nov 4-6 2025'!C:C,1,FALSE),VLOOKUP(F632,'Raw Platform Nov 4-6 2025'!D:D,1,FALSE)),IFNA(VLOOKUP(F632,'Glovo Raw Nov 4-6 2025'!B:B,1,FALSE),"Not Matched"))))))</f>
      </c>
      <c r="H632">
        <f>COUNTIF(F:F,F632)</f>
      </c>
      <c r="I632" t="s">
        <v>8011</v>
      </c>
      <c r="J632" t="s">
        <v>4915</v>
      </c>
      <c r="K632" t="s">
        <v>4927</v>
      </c>
      <c r="L632" t="s">
        <v>8012</v>
      </c>
      <c r="M632" t="s">
        <v>8013</v>
      </c>
      <c r="N632" t="s">
        <v>8014</v>
      </c>
      <c r="O632" t="s">
        <v>5534</v>
      </c>
      <c r="P632" t="s">
        <v>8015</v>
      </c>
      <c r="Q632">
        <v>0</v>
      </c>
      <c r="R632" t="s">
        <v>4922</v>
      </c>
      <c r="S632" t="s">
        <v>45</v>
      </c>
      <c r="T632" t="s">
        <v>4923</v>
      </c>
      <c r="U632" t="s">
        <v>4924</v>
      </c>
      <c r="V632" t="s">
        <v>8016</v>
      </c>
      <c r="W632" t="s">
        <v>3667</v>
      </c>
      <c r="X632">
        <v>426.6</v>
      </c>
    </row>
    <row r="633" spans="1:24" x14ac:dyDescent="0.25">
      <c r="A633" t="s">
        <v>5130</v>
      </c>
      <c r="B633" t="s">
        <v>8003</v>
      </c>
      <c r="C633" t="s">
        <v>8004</v>
      </c>
      <c r="D633" t="s">
        <v>24</v>
      </c>
      <c r="E633" t="s">
        <v>4913</v>
      </c>
      <c r="F633" t="s">
        <v>703</v>
      </c>
      <c r="G633">
        <f>IF(K633="Pick-up","PICKUPS",IF(K633="Staff drop-off","STAFF_DROPOFF",IF(K633="Replacements","REPLACEMENT",IF(K633="Central Stores Dispatch","CENTRAL STORES DISPATCH",IFNA(IFNA(VLOOKUP(F633,'Raw Platform Nov 4-6 2025'!C:C,1,FALSE),VLOOKUP(F633,'Raw Platform Nov 4-6 2025'!D:D,1,FALSE)),IFNA(VLOOKUP(F633,'Glovo Raw Nov 4-6 2025'!B:B,1,FALSE),"Not Matched"))))))</f>
      </c>
      <c r="H633">
        <f>COUNTIF(F:F,F633)</f>
      </c>
      <c r="I633" t="s">
        <v>8017</v>
      </c>
      <c r="J633" t="s">
        <v>4915</v>
      </c>
      <c r="K633" t="s">
        <v>4927</v>
      </c>
      <c r="L633" t="s">
        <v>8018</v>
      </c>
      <c r="M633" t="s">
        <v>8019</v>
      </c>
      <c r="N633" t="s">
        <v>7120</v>
      </c>
      <c r="O633" t="s">
        <v>4962</v>
      </c>
      <c r="P633" t="s">
        <v>4984</v>
      </c>
      <c r="Q633">
        <v>0</v>
      </c>
      <c r="R633" t="s">
        <v>4922</v>
      </c>
      <c r="S633" t="s">
        <v>35</v>
      </c>
      <c r="T633" t="s">
        <v>4923</v>
      </c>
      <c r="U633" t="s">
        <v>4924</v>
      </c>
      <c r="V633" t="s">
        <v>8020</v>
      </c>
      <c r="W633" t="s">
        <v>3667</v>
      </c>
      <c r="X633">
        <v>100</v>
      </c>
    </row>
    <row r="634" spans="1:24" x14ac:dyDescent="0.25">
      <c r="A634" t="s">
        <v>5130</v>
      </c>
      <c r="B634" t="s">
        <v>8003</v>
      </c>
      <c r="C634" t="s">
        <v>8004</v>
      </c>
      <c r="D634" t="s">
        <v>24</v>
      </c>
      <c r="E634" t="s">
        <v>4913</v>
      </c>
      <c r="F634" t="s">
        <v>396</v>
      </c>
      <c r="G634">
        <f>IF(K634="Pick-up","PICKUPS",IF(K634="Staff drop-off","STAFF_DROPOFF",IF(K634="Replacements","REPLACEMENT",IF(K634="Central Stores Dispatch","CENTRAL STORES DISPATCH",IFNA(IFNA(VLOOKUP(F634,'Raw Platform Nov 4-6 2025'!C:C,1,FALSE),VLOOKUP(F634,'Raw Platform Nov 4-6 2025'!D:D,1,FALSE)),IFNA(VLOOKUP(F634,'Glovo Raw Nov 4-6 2025'!B:B,1,FALSE),"Not Matched"))))))</f>
      </c>
      <c r="H634">
        <f>COUNTIF(F:F,F634)</f>
      </c>
      <c r="I634" t="s">
        <v>8021</v>
      </c>
      <c r="J634" t="s">
        <v>4915</v>
      </c>
      <c r="K634" t="s">
        <v>4916</v>
      </c>
      <c r="L634" t="s">
        <v>8022</v>
      </c>
      <c r="M634" t="s">
        <v>8023</v>
      </c>
      <c r="N634" t="s">
        <v>8024</v>
      </c>
      <c r="O634" t="s">
        <v>4956</v>
      </c>
      <c r="P634" t="s">
        <v>5578</v>
      </c>
      <c r="Q634">
        <v>112</v>
      </c>
      <c r="R634" t="s">
        <v>4922</v>
      </c>
      <c r="S634" t="s">
        <v>172</v>
      </c>
      <c r="T634" t="s">
        <v>4923</v>
      </c>
      <c r="U634" t="s">
        <v>4924</v>
      </c>
      <c r="V634" t="s">
        <v>8025</v>
      </c>
      <c r="W634" t="s">
        <v>3667</v>
      </c>
      <c r="X634">
        <v>100</v>
      </c>
    </row>
    <row r="635" spans="1:24" x14ac:dyDescent="0.25">
      <c r="A635" t="s">
        <v>5130</v>
      </c>
      <c r="B635" t="s">
        <v>8003</v>
      </c>
      <c r="C635" t="s">
        <v>8004</v>
      </c>
      <c r="D635" t="s">
        <v>24</v>
      </c>
      <c r="E635" t="s">
        <v>4913</v>
      </c>
      <c r="F635" t="s">
        <v>1370</v>
      </c>
      <c r="G635">
        <f>IF(K635="Pick-up","PICKUPS",IF(K635="Staff drop-off","STAFF_DROPOFF",IF(K635="Replacements","REPLACEMENT",IF(K635="Central Stores Dispatch","CENTRAL STORES DISPATCH",IFNA(IFNA(VLOOKUP(F635,'Raw Platform Nov 4-6 2025'!C:C,1,FALSE),VLOOKUP(F635,'Raw Platform Nov 4-6 2025'!D:D,1,FALSE)),IFNA(VLOOKUP(F635,'Glovo Raw Nov 4-6 2025'!B:B,1,FALSE),"Not Matched"))))))</f>
      </c>
      <c r="H635">
        <f>COUNTIF(F:F,F635)</f>
      </c>
      <c r="I635" t="s">
        <v>8026</v>
      </c>
      <c r="J635" t="s">
        <v>4915</v>
      </c>
      <c r="K635" t="s">
        <v>4916</v>
      </c>
      <c r="L635" t="s">
        <v>8027</v>
      </c>
      <c r="M635" t="s">
        <v>8028</v>
      </c>
      <c r="N635" t="s">
        <v>8029</v>
      </c>
      <c r="O635" t="s">
        <v>4990</v>
      </c>
      <c r="P635" t="s">
        <v>5219</v>
      </c>
      <c r="Q635">
        <v>892</v>
      </c>
      <c r="R635" t="s">
        <v>4922</v>
      </c>
      <c r="S635" t="s">
        <v>5136</v>
      </c>
      <c r="T635" t="s">
        <v>4923</v>
      </c>
      <c r="U635" t="s">
        <v>4924</v>
      </c>
      <c r="V635" t="s">
        <v>8030</v>
      </c>
      <c r="W635" t="s">
        <v>3667</v>
      </c>
      <c r="X635">
        <v>100</v>
      </c>
    </row>
    <row r="636" spans="1:24" x14ac:dyDescent="0.25">
      <c r="A636" t="s">
        <v>4932</v>
      </c>
      <c r="B636" t="s">
        <v>8003</v>
      </c>
      <c r="C636" t="s">
        <v>8004</v>
      </c>
      <c r="D636" t="s">
        <v>13</v>
      </c>
      <c r="E636" t="s">
        <v>4913</v>
      </c>
      <c r="F636" t="s">
        <v>714</v>
      </c>
      <c r="G636">
        <f>IF(K636="Pick-up","PICKUPS",IF(K636="Staff drop-off","STAFF_DROPOFF",IF(K636="Replacements","REPLACEMENT",IF(K636="Central Stores Dispatch","CENTRAL STORES DISPATCH",IFNA(IFNA(VLOOKUP(F636,'Raw Platform Nov 4-6 2025'!C:C,1,FALSE),VLOOKUP(F636,'Raw Platform Nov 4-6 2025'!D:D,1,FALSE)),IFNA(VLOOKUP(F636,'Glovo Raw Nov 4-6 2025'!B:B,1,FALSE),"Not Matched"))))))</f>
      </c>
      <c r="H636">
        <f>COUNTIF(F:F,F636)</f>
      </c>
      <c r="I636" t="s">
        <v>7808</v>
      </c>
      <c r="J636" t="s">
        <v>4915</v>
      </c>
      <c r="K636" t="s">
        <v>4916</v>
      </c>
      <c r="L636" t="s">
        <v>8031</v>
      </c>
      <c r="M636" t="s">
        <v>8032</v>
      </c>
      <c r="N636" t="s">
        <v>5719</v>
      </c>
      <c r="O636" t="s">
        <v>6086</v>
      </c>
      <c r="P636" t="s">
        <v>6133</v>
      </c>
      <c r="Q636">
        <v>1045</v>
      </c>
      <c r="R636" t="s">
        <v>4922</v>
      </c>
      <c r="S636" t="s">
        <v>29</v>
      </c>
      <c r="T636" t="s">
        <v>4923</v>
      </c>
      <c r="U636" t="s">
        <v>4924</v>
      </c>
      <c r="V636" t="s">
        <v>8033</v>
      </c>
      <c r="W636" t="s">
        <v>3667</v>
      </c>
      <c r="X636">
        <v>293.2</v>
      </c>
    </row>
    <row r="637" spans="1:24" x14ac:dyDescent="0.25">
      <c r="A637" t="s">
        <v>4932</v>
      </c>
      <c r="B637" t="s">
        <v>8003</v>
      </c>
      <c r="C637" t="s">
        <v>8004</v>
      </c>
      <c r="D637" t="s">
        <v>13</v>
      </c>
      <c r="E637" t="s">
        <v>4913</v>
      </c>
      <c r="F637" t="s">
        <v>1618</v>
      </c>
      <c r="G637">
        <f>IF(K637="Pick-up","PICKUPS",IF(K637="Staff drop-off","STAFF_DROPOFF",IF(K637="Replacements","REPLACEMENT",IF(K637="Central Stores Dispatch","CENTRAL STORES DISPATCH",IFNA(IFNA(VLOOKUP(F637,'Raw Platform Nov 4-6 2025'!C:C,1,FALSE),VLOOKUP(F637,'Raw Platform Nov 4-6 2025'!D:D,1,FALSE)),IFNA(VLOOKUP(F637,'Glovo Raw Nov 4-6 2025'!B:B,1,FALSE),"Not Matched"))))))</f>
      </c>
      <c r="H637">
        <f>COUNTIF(F:F,F637)</f>
      </c>
      <c r="I637" t="s">
        <v>8034</v>
      </c>
      <c r="J637" t="s">
        <v>4915</v>
      </c>
      <c r="K637" t="s">
        <v>4927</v>
      </c>
      <c r="L637" t="s">
        <v>7353</v>
      </c>
      <c r="M637" t="s">
        <v>8035</v>
      </c>
      <c r="N637" t="s">
        <v>7354</v>
      </c>
      <c r="O637" t="s">
        <v>4956</v>
      </c>
      <c r="P637" t="s">
        <v>4930</v>
      </c>
      <c r="Q637">
        <v>0</v>
      </c>
      <c r="R637" t="s">
        <v>4922</v>
      </c>
      <c r="S637" t="s">
        <v>29</v>
      </c>
      <c r="T637" t="s">
        <v>4923</v>
      </c>
      <c r="U637" t="s">
        <v>4924</v>
      </c>
      <c r="V637" t="s">
        <v>8036</v>
      </c>
      <c r="W637" t="s">
        <v>3667</v>
      </c>
      <c r="X637">
        <v>100</v>
      </c>
    </row>
    <row r="638" spans="1:24" x14ac:dyDescent="0.25">
      <c r="A638" t="s">
        <v>4910</v>
      </c>
      <c r="B638" t="s">
        <v>8003</v>
      </c>
      <c r="C638" t="s">
        <v>8004</v>
      </c>
      <c r="D638" t="s">
        <v>13</v>
      </c>
      <c r="E638" t="s">
        <v>4913</v>
      </c>
      <c r="F638" t="s">
        <v>2227</v>
      </c>
      <c r="G638">
        <f>IF(K638="Pick-up","PICKUPS",IF(K638="Staff drop-off","STAFF_DROPOFF",IF(K638="Replacements","REPLACEMENT",IF(K638="Central Stores Dispatch","CENTRAL STORES DISPATCH",IFNA(IFNA(VLOOKUP(F638,'Raw Platform Nov 4-6 2025'!C:C,1,FALSE),VLOOKUP(F638,'Raw Platform Nov 4-6 2025'!D:D,1,FALSE)),IFNA(VLOOKUP(F638,'Glovo Raw Nov 4-6 2025'!B:B,1,FALSE),"Not Matched"))))))</f>
      </c>
      <c r="H638">
        <f>COUNTIF(F:F,F638)</f>
      </c>
      <c r="I638" t="s">
        <v>8037</v>
      </c>
      <c r="J638" t="s">
        <v>4915</v>
      </c>
      <c r="K638" t="s">
        <v>4927</v>
      </c>
      <c r="L638" t="s">
        <v>8038</v>
      </c>
      <c r="M638" t="s">
        <v>8039</v>
      </c>
      <c r="N638" t="s">
        <v>6807</v>
      </c>
      <c r="O638" t="s">
        <v>73</v>
      </c>
      <c r="P638" t="s">
        <v>4949</v>
      </c>
      <c r="Q638">
        <v>0</v>
      </c>
      <c r="R638" t="s">
        <v>4922</v>
      </c>
      <c r="S638" t="s">
        <v>12</v>
      </c>
      <c r="T638" t="s">
        <v>4923</v>
      </c>
      <c r="U638" t="s">
        <v>4924</v>
      </c>
      <c r="V638" t="s">
        <v>8040</v>
      </c>
      <c r="W638" t="s">
        <v>3667</v>
      </c>
      <c r="X638">
        <v>157.5</v>
      </c>
    </row>
    <row r="639" spans="1:24" x14ac:dyDescent="0.25">
      <c r="A639" t="s">
        <v>4910</v>
      </c>
      <c r="B639" t="s">
        <v>8003</v>
      </c>
      <c r="C639" t="s">
        <v>8004</v>
      </c>
      <c r="D639" t="s">
        <v>13</v>
      </c>
      <c r="E639" t="s">
        <v>4913</v>
      </c>
      <c r="F639" t="s">
        <v>1874</v>
      </c>
      <c r="G639">
        <f>IF(K639="Pick-up","PICKUPS",IF(K639="Staff drop-off","STAFF_DROPOFF",IF(K639="Replacements","REPLACEMENT",IF(K639="Central Stores Dispatch","CENTRAL STORES DISPATCH",IFNA(IFNA(VLOOKUP(F639,'Raw Platform Nov 4-6 2025'!C:C,1,FALSE),VLOOKUP(F639,'Raw Platform Nov 4-6 2025'!D:D,1,FALSE)),IFNA(VLOOKUP(F639,'Glovo Raw Nov 4-6 2025'!B:B,1,FALSE),"Not Matched"))))))</f>
      </c>
      <c r="H639">
        <f>COUNTIF(F:F,F639)</f>
      </c>
      <c r="I639" t="s">
        <v>8041</v>
      </c>
      <c r="J639" t="s">
        <v>4915</v>
      </c>
      <c r="K639" t="s">
        <v>4927</v>
      </c>
      <c r="L639" t="s">
        <v>8042</v>
      </c>
      <c r="M639" t="s">
        <v>8043</v>
      </c>
      <c r="N639" t="s">
        <v>8044</v>
      </c>
      <c r="O639" t="s">
        <v>47</v>
      </c>
      <c r="P639" t="s">
        <v>5572</v>
      </c>
      <c r="Q639">
        <v>0</v>
      </c>
      <c r="R639" t="s">
        <v>4922</v>
      </c>
      <c r="S639" t="s">
        <v>12</v>
      </c>
      <c r="T639" t="s">
        <v>4923</v>
      </c>
      <c r="U639" t="s">
        <v>4924</v>
      </c>
      <c r="V639" t="s">
        <v>8045</v>
      </c>
      <c r="W639" t="s">
        <v>3667</v>
      </c>
      <c r="X639">
        <v>125.3</v>
      </c>
    </row>
    <row r="640" spans="1:24" x14ac:dyDescent="0.25">
      <c r="A640" t="s">
        <v>5231</v>
      </c>
      <c r="B640" t="s">
        <v>8003</v>
      </c>
      <c r="C640" t="s">
        <v>8004</v>
      </c>
      <c r="D640" t="s">
        <v>191</v>
      </c>
      <c r="E640" t="s">
        <v>4913</v>
      </c>
      <c r="F640" t="s">
        <v>2397</v>
      </c>
      <c r="G640">
        <f>IF(K640="Pick-up","PICKUPS",IF(K640="Staff drop-off","STAFF_DROPOFF",IF(K640="Replacements","REPLACEMENT",IF(K640="Central Stores Dispatch","CENTRAL STORES DISPATCH",IFNA(IFNA(VLOOKUP(F640,'Raw Platform Nov 4-6 2025'!C:C,1,FALSE),VLOOKUP(F640,'Raw Platform Nov 4-6 2025'!D:D,1,FALSE)),IFNA(VLOOKUP(F640,'Glovo Raw Nov 4-6 2025'!B:B,1,FALSE),"Not Matched"))))))</f>
      </c>
      <c r="H640">
        <f>COUNTIF(F:F,F640)</f>
      </c>
      <c r="I640" t="s">
        <v>8046</v>
      </c>
      <c r="J640" t="s">
        <v>4915</v>
      </c>
      <c r="K640" t="s">
        <v>4927</v>
      </c>
      <c r="L640" t="s">
        <v>8047</v>
      </c>
      <c r="M640" t="s">
        <v>8048</v>
      </c>
      <c r="N640" t="s">
        <v>8049</v>
      </c>
      <c r="O640" t="s">
        <v>53</v>
      </c>
      <c r="P640" t="s">
        <v>5436</v>
      </c>
      <c r="Q640">
        <v>0</v>
      </c>
      <c r="R640" t="s">
        <v>4922</v>
      </c>
      <c r="S640" t="s">
        <v>5184</v>
      </c>
      <c r="T640" t="s">
        <v>4923</v>
      </c>
      <c r="U640" t="s">
        <v>4924</v>
      </c>
      <c r="V640" t="s">
        <v>8050</v>
      </c>
      <c r="W640" t="s">
        <v>3667</v>
      </c>
      <c r="X640">
        <v>164.4</v>
      </c>
    </row>
    <row r="641" spans="1:24" x14ac:dyDescent="0.25">
      <c r="A641" t="s">
        <v>5231</v>
      </c>
      <c r="B641" t="s">
        <v>8003</v>
      </c>
      <c r="C641" t="s">
        <v>8004</v>
      </c>
      <c r="D641" t="s">
        <v>191</v>
      </c>
      <c r="E641" t="s">
        <v>4913</v>
      </c>
      <c r="F641" t="s">
        <v>1761</v>
      </c>
      <c r="G641">
        <f>IF(K641="Pick-up","PICKUPS",IF(K641="Staff drop-off","STAFF_DROPOFF",IF(K641="Replacements","REPLACEMENT",IF(K641="Central Stores Dispatch","CENTRAL STORES DISPATCH",IFNA(IFNA(VLOOKUP(F641,'Raw Platform Nov 4-6 2025'!C:C,1,FALSE),VLOOKUP(F641,'Raw Platform Nov 4-6 2025'!D:D,1,FALSE)),IFNA(VLOOKUP(F641,'Glovo Raw Nov 4-6 2025'!B:B,1,FALSE),"Not Matched"))))))</f>
      </c>
      <c r="H641">
        <f>COUNTIF(F:F,F641)</f>
      </c>
      <c r="I641" t="s">
        <v>8051</v>
      </c>
      <c r="J641" t="s">
        <v>63</v>
      </c>
      <c r="K641" t="s">
        <v>4927</v>
      </c>
      <c r="L641" t="s">
        <v>8052</v>
      </c>
      <c r="M641" t="s">
        <v>8053</v>
      </c>
      <c r="N641" t="s">
        <v>8054</v>
      </c>
      <c r="O641" t="s">
        <v>8055</v>
      </c>
      <c r="P641" t="s">
        <v>8056</v>
      </c>
      <c r="Q641">
        <v>0</v>
      </c>
      <c r="R641" t="s">
        <v>4922</v>
      </c>
      <c r="S641" t="s">
        <v>5699</v>
      </c>
      <c r="T641" t="s">
        <v>4923</v>
      </c>
      <c r="U641" t="s">
        <v>4924</v>
      </c>
      <c r="V641" t="s">
        <v>8057</v>
      </c>
      <c r="W641" t="s">
        <v>3667</v>
      </c>
      <c r="X641">
        <v>808.4</v>
      </c>
    </row>
    <row r="642" spans="1:24" x14ac:dyDescent="0.25">
      <c r="A642" t="s">
        <v>5130</v>
      </c>
      <c r="B642" t="s">
        <v>8003</v>
      </c>
      <c r="C642" t="s">
        <v>8004</v>
      </c>
      <c r="D642" t="s">
        <v>24</v>
      </c>
      <c r="E642" t="s">
        <v>4913</v>
      </c>
      <c r="F642" t="s">
        <v>1826</v>
      </c>
      <c r="G642">
        <f>IF(K642="Pick-up","PICKUPS",IF(K642="Staff drop-off","STAFF_DROPOFF",IF(K642="Replacements","REPLACEMENT",IF(K642="Central Stores Dispatch","CENTRAL STORES DISPATCH",IFNA(IFNA(VLOOKUP(F642,'Raw Platform Nov 4-6 2025'!C:C,1,FALSE),VLOOKUP(F642,'Raw Platform Nov 4-6 2025'!D:D,1,FALSE)),IFNA(VLOOKUP(F642,'Glovo Raw Nov 4-6 2025'!B:B,1,FALSE),"Not Matched"))))))</f>
      </c>
      <c r="H642">
        <f>COUNTIF(F:F,F642)</f>
      </c>
      <c r="I642" t="s">
        <v>8058</v>
      </c>
      <c r="J642" t="s">
        <v>4915</v>
      </c>
      <c r="K642" t="s">
        <v>4927</v>
      </c>
      <c r="L642" t="s">
        <v>8059</v>
      </c>
      <c r="M642" t="s">
        <v>8060</v>
      </c>
      <c r="N642" t="s">
        <v>7614</v>
      </c>
      <c r="O642" t="s">
        <v>37</v>
      </c>
      <c r="P642" t="s">
        <v>5213</v>
      </c>
      <c r="Q642">
        <v>0</v>
      </c>
      <c r="R642" t="s">
        <v>4922</v>
      </c>
      <c r="S642" t="s">
        <v>5136</v>
      </c>
      <c r="T642" t="s">
        <v>4923</v>
      </c>
      <c r="U642" t="s">
        <v>4924</v>
      </c>
      <c r="V642" t="s">
        <v>8061</v>
      </c>
      <c r="W642" t="s">
        <v>3667</v>
      </c>
      <c r="X642">
        <v>215</v>
      </c>
    </row>
    <row r="643" spans="1:24" x14ac:dyDescent="0.25">
      <c r="A643" t="s">
        <v>5130</v>
      </c>
      <c r="B643" t="s">
        <v>8003</v>
      </c>
      <c r="C643" t="s">
        <v>8004</v>
      </c>
      <c r="D643" t="s">
        <v>24</v>
      </c>
      <c r="E643" t="s">
        <v>4913</v>
      </c>
      <c r="F643" t="s">
        <v>8062</v>
      </c>
      <c r="G643">
        <f>IF(K643="Pick-up","PICKUPS",IF(K643="Staff drop-off","STAFF_DROPOFF",IF(K643="Replacements","REPLACEMENT",IF(K643="Central Stores Dispatch","CENTRAL STORES DISPATCH",IFNA(IFNA(VLOOKUP(F643,'Raw Platform Nov 4-6 2025'!C:C,1,FALSE),VLOOKUP(F643,'Raw Platform Nov 4-6 2025'!D:D,1,FALSE)),IFNA(VLOOKUP(F643,'Glovo Raw Nov 4-6 2025'!B:B,1,FALSE),"Not Matched"))))))</f>
      </c>
      <c r="H643">
        <f>COUNTIF(F:F,F643)</f>
      </c>
      <c r="I643" t="s">
        <v>8063</v>
      </c>
      <c r="J643" t="s">
        <v>4915</v>
      </c>
      <c r="K643" t="s">
        <v>4927</v>
      </c>
      <c r="L643" t="s">
        <v>8064</v>
      </c>
      <c r="M643" t="s">
        <v>7848</v>
      </c>
      <c r="N643" t="s">
        <v>7849</v>
      </c>
      <c r="O643" t="s">
        <v>47</v>
      </c>
      <c r="P643" t="s">
        <v>6158</v>
      </c>
      <c r="Q643">
        <v>0</v>
      </c>
      <c r="R643" t="s">
        <v>4922</v>
      </c>
      <c r="S643" t="s">
        <v>50</v>
      </c>
      <c r="T643" t="s">
        <v>4923</v>
      </c>
      <c r="U643" t="s">
        <v>4924</v>
      </c>
      <c r="V643" t="s">
        <v>8065</v>
      </c>
      <c r="W643" t="s">
        <v>3667</v>
      </c>
      <c r="X643">
        <v>136.8</v>
      </c>
    </row>
    <row r="644" spans="1:24" x14ac:dyDescent="0.25">
      <c r="A644" t="s">
        <v>5130</v>
      </c>
      <c r="B644" t="s">
        <v>8066</v>
      </c>
      <c r="C644" t="s">
        <v>8067</v>
      </c>
      <c r="D644" t="s">
        <v>24</v>
      </c>
      <c r="E644" t="s">
        <v>4913</v>
      </c>
      <c r="F644" t="s">
        <v>8068</v>
      </c>
      <c r="G644">
        <f>IF(K644="Pick-up","PICKUPS",IF(K644="Staff drop-off","STAFF_DROPOFF",IF(K644="Replacements","REPLACEMENT",IF(K644="Central Stores Dispatch","CENTRAL STORES DISPATCH",IFNA(IFNA(VLOOKUP(F644,'Raw Platform Nov 4-6 2025'!C:C,1,FALSE),VLOOKUP(F644,'Raw Platform Nov 4-6 2025'!D:D,1,FALSE)),IFNA(VLOOKUP(F644,'Glovo Raw Nov 4-6 2025'!B:B,1,FALSE),"Not Matched"))))))</f>
      </c>
      <c r="H644">
        <f>COUNTIF(F:F,F644)</f>
      </c>
      <c r="I644" t="s">
        <v>8069</v>
      </c>
      <c r="J644" t="s">
        <v>5289</v>
      </c>
      <c r="K644" t="s">
        <v>4927</v>
      </c>
      <c r="L644" t="s">
        <v>8070</v>
      </c>
      <c r="M644" t="s">
        <v>5419</v>
      </c>
      <c r="N644" t="s">
        <v>8071</v>
      </c>
      <c r="O644" t="s">
        <v>2009</v>
      </c>
      <c r="P644" t="s">
        <v>5062</v>
      </c>
      <c r="Q644">
        <v>0</v>
      </c>
      <c r="R644" t="s">
        <v>5118</v>
      </c>
      <c r="S644" t="s">
        <v>5293</v>
      </c>
      <c r="T644" t="s">
        <v>4923</v>
      </c>
      <c r="U644" t="s">
        <v>4924</v>
      </c>
      <c r="V644" t="s">
        <v>8072</v>
      </c>
      <c r="W644" t="s">
        <v>3667</v>
      </c>
      <c r="X644">
        <v>127.6</v>
      </c>
    </row>
    <row r="645" spans="1:24" x14ac:dyDescent="0.25">
      <c r="A645" t="s">
        <v>5130</v>
      </c>
      <c r="B645" t="s">
        <v>8066</v>
      </c>
      <c r="C645" t="s">
        <v>8067</v>
      </c>
      <c r="D645" t="s">
        <v>24</v>
      </c>
      <c r="E645" t="s">
        <v>4913</v>
      </c>
      <c r="F645" t="s">
        <v>742</v>
      </c>
      <c r="G645">
        <f>IF(K645="Pick-up","PICKUPS",IF(K645="Staff drop-off","STAFF_DROPOFF",IF(K645="Replacements","REPLACEMENT",IF(K645="Central Stores Dispatch","CENTRAL STORES DISPATCH",IFNA(IFNA(VLOOKUP(F645,'Raw Platform Nov 4-6 2025'!C:C,1,FALSE),VLOOKUP(F645,'Raw Platform Nov 4-6 2025'!D:D,1,FALSE)),IFNA(VLOOKUP(F645,'Glovo Raw Nov 4-6 2025'!B:B,1,FALSE),"Not Matched"))))))</f>
      </c>
      <c r="H645">
        <f>COUNTIF(F:F,F645)</f>
      </c>
      <c r="I645" t="s">
        <v>8073</v>
      </c>
      <c r="J645" t="s">
        <v>4915</v>
      </c>
      <c r="K645" t="s">
        <v>4927</v>
      </c>
      <c r="L645" t="s">
        <v>8074</v>
      </c>
      <c r="M645" t="s">
        <v>8075</v>
      </c>
      <c r="N645" t="s">
        <v>6568</v>
      </c>
      <c r="O645" t="s">
        <v>9</v>
      </c>
      <c r="P645" t="s">
        <v>5285</v>
      </c>
      <c r="Q645">
        <v>0</v>
      </c>
      <c r="R645" t="s">
        <v>5118</v>
      </c>
      <c r="S645" t="s">
        <v>35</v>
      </c>
      <c r="T645" t="s">
        <v>4923</v>
      </c>
      <c r="U645" t="s">
        <v>4924</v>
      </c>
      <c r="V645" t="s">
        <v>8076</v>
      </c>
      <c r="W645" t="s">
        <v>3667</v>
      </c>
      <c r="X645">
        <v>175.9</v>
      </c>
    </row>
    <row r="646" spans="1:24" x14ac:dyDescent="0.25">
      <c r="A646" t="s">
        <v>5130</v>
      </c>
      <c r="B646" t="s">
        <v>8066</v>
      </c>
      <c r="C646" t="s">
        <v>8067</v>
      </c>
      <c r="D646" t="s">
        <v>24</v>
      </c>
      <c r="E646" t="s">
        <v>4913</v>
      </c>
      <c r="F646" t="s">
        <v>92</v>
      </c>
      <c r="G646">
        <f>IF(K646="Pick-up","PICKUPS",IF(K646="Staff drop-off","STAFF_DROPOFF",IF(K646="Replacements","REPLACEMENT",IF(K646="Central Stores Dispatch","CENTRAL STORES DISPATCH",IFNA(IFNA(VLOOKUP(F646,'Raw Platform Nov 4-6 2025'!C:C,1,FALSE),VLOOKUP(F646,'Raw Platform Nov 4-6 2025'!D:D,1,FALSE)),IFNA(VLOOKUP(F646,'Glovo Raw Nov 4-6 2025'!B:B,1,FALSE),"Not Matched"))))))</f>
      </c>
      <c r="H646">
        <f>COUNTIF(F:F,F646)</f>
      </c>
      <c r="I646" t="s">
        <v>8077</v>
      </c>
      <c r="J646" t="s">
        <v>4915</v>
      </c>
      <c r="K646" t="s">
        <v>4927</v>
      </c>
      <c r="L646" t="s">
        <v>8078</v>
      </c>
      <c r="M646" t="s">
        <v>8079</v>
      </c>
      <c r="N646" t="s">
        <v>4948</v>
      </c>
      <c r="O646" t="s">
        <v>4956</v>
      </c>
      <c r="P646" t="s">
        <v>4920</v>
      </c>
      <c r="Q646">
        <v>0</v>
      </c>
      <c r="R646" t="s">
        <v>5118</v>
      </c>
      <c r="S646" t="s">
        <v>45</v>
      </c>
      <c r="T646" t="s">
        <v>4923</v>
      </c>
      <c r="U646" t="s">
        <v>4924</v>
      </c>
      <c r="V646" t="s">
        <v>8080</v>
      </c>
      <c r="W646" t="s">
        <v>3667</v>
      </c>
      <c r="X646">
        <v>100</v>
      </c>
    </row>
    <row r="647" spans="1:24" x14ac:dyDescent="0.25">
      <c r="A647" t="s">
        <v>5130</v>
      </c>
      <c r="B647" t="s">
        <v>8066</v>
      </c>
      <c r="C647" t="s">
        <v>8067</v>
      </c>
      <c r="D647" t="s">
        <v>24</v>
      </c>
      <c r="E647" t="s">
        <v>4913</v>
      </c>
      <c r="F647" t="s">
        <v>8081</v>
      </c>
      <c r="G647">
        <f>IF(K647="Pick-up","PICKUPS",IF(K647="Staff drop-off","STAFF_DROPOFF",IF(K647="Replacements","REPLACEMENT",IF(K647="Central Stores Dispatch","CENTRAL STORES DISPATCH",IFNA(IFNA(VLOOKUP(F647,'Raw Platform Nov 4-6 2025'!C:C,1,FALSE),VLOOKUP(F647,'Raw Platform Nov 4-6 2025'!D:D,1,FALSE)),IFNA(VLOOKUP(F647,'Glovo Raw Nov 4-6 2025'!B:B,1,FALSE),"Not Matched"))))))</f>
      </c>
      <c r="H647">
        <f>COUNTIF(F:F,F647)</f>
      </c>
      <c r="I647" t="s">
        <v>8082</v>
      </c>
      <c r="J647" t="s">
        <v>4915</v>
      </c>
      <c r="K647" t="s">
        <v>4927</v>
      </c>
      <c r="L647" t="s">
        <v>8083</v>
      </c>
      <c r="M647" t="s">
        <v>5419</v>
      </c>
      <c r="N647" t="s">
        <v>8084</v>
      </c>
      <c r="O647" t="s">
        <v>73</v>
      </c>
      <c r="P647" t="s">
        <v>4962</v>
      </c>
      <c r="Q647">
        <v>0</v>
      </c>
      <c r="R647" t="s">
        <v>5118</v>
      </c>
      <c r="S647" t="s">
        <v>5136</v>
      </c>
      <c r="T647" t="s">
        <v>4923</v>
      </c>
      <c r="U647" t="s">
        <v>4924</v>
      </c>
      <c r="V647" t="s">
        <v>8085</v>
      </c>
      <c r="W647" t="s">
        <v>3667</v>
      </c>
      <c r="X647">
        <v>180.5</v>
      </c>
    </row>
    <row r="648" spans="1:24" x14ac:dyDescent="0.25">
      <c r="A648" t="s">
        <v>5231</v>
      </c>
      <c r="B648" t="s">
        <v>8066</v>
      </c>
      <c r="C648" t="s">
        <v>8067</v>
      </c>
      <c r="D648" t="s">
        <v>191</v>
      </c>
      <c r="E648" t="s">
        <v>4913</v>
      </c>
      <c r="F648" t="s">
        <v>1824</v>
      </c>
      <c r="G648">
        <f>IF(K648="Pick-up","PICKUPS",IF(K648="Staff drop-off","STAFF_DROPOFF",IF(K648="Replacements","REPLACEMENT",IF(K648="Central Stores Dispatch","CENTRAL STORES DISPATCH",IFNA(IFNA(VLOOKUP(F648,'Raw Platform Nov 4-6 2025'!C:C,1,FALSE),VLOOKUP(F648,'Raw Platform Nov 4-6 2025'!D:D,1,FALSE)),IFNA(VLOOKUP(F648,'Glovo Raw Nov 4-6 2025'!B:B,1,FALSE),"Not Matched"))))))</f>
      </c>
      <c r="H648">
        <f>COUNTIF(F:F,F648)</f>
      </c>
      <c r="I648" t="s">
        <v>8086</v>
      </c>
      <c r="J648" t="s">
        <v>4915</v>
      </c>
      <c r="K648" t="s">
        <v>4916</v>
      </c>
      <c r="L648" t="s">
        <v>8087</v>
      </c>
      <c r="M648" t="s">
        <v>8088</v>
      </c>
      <c r="N648" t="s">
        <v>8089</v>
      </c>
      <c r="O648" t="s">
        <v>2009</v>
      </c>
      <c r="P648" t="s">
        <v>4943</v>
      </c>
      <c r="Q648">
        <v>2030</v>
      </c>
      <c r="R648" t="s">
        <v>5118</v>
      </c>
      <c r="S648" t="s">
        <v>5184</v>
      </c>
      <c r="T648" t="s">
        <v>4923</v>
      </c>
      <c r="U648" t="s">
        <v>4924</v>
      </c>
      <c r="V648" t="s">
        <v>8090</v>
      </c>
      <c r="W648" t="s">
        <v>3667</v>
      </c>
      <c r="X648">
        <v>106.9</v>
      </c>
    </row>
    <row r="649" spans="1:24" x14ac:dyDescent="0.25">
      <c r="A649" t="s">
        <v>5130</v>
      </c>
      <c r="B649" t="s">
        <v>8066</v>
      </c>
      <c r="C649" t="s">
        <v>8067</v>
      </c>
      <c r="D649" t="s">
        <v>24</v>
      </c>
      <c r="E649" t="s">
        <v>4913</v>
      </c>
      <c r="F649" t="s">
        <v>2223</v>
      </c>
      <c r="G649">
        <f>IF(K649="Pick-up","PICKUPS",IF(K649="Staff drop-off","STAFF_DROPOFF",IF(K649="Replacements","REPLACEMENT",IF(K649="Central Stores Dispatch","CENTRAL STORES DISPATCH",IFNA(IFNA(VLOOKUP(F649,'Raw Platform Nov 4-6 2025'!C:C,1,FALSE),VLOOKUP(F649,'Raw Platform Nov 4-6 2025'!D:D,1,FALSE)),IFNA(VLOOKUP(F649,'Glovo Raw Nov 4-6 2025'!B:B,1,FALSE),"Not Matched"))))))</f>
      </c>
      <c r="H649">
        <f>COUNTIF(F:F,F649)</f>
      </c>
      <c r="I649" t="s">
        <v>8091</v>
      </c>
      <c r="J649" t="s">
        <v>4915</v>
      </c>
      <c r="K649" t="s">
        <v>4916</v>
      </c>
      <c r="L649" t="s">
        <v>8092</v>
      </c>
      <c r="M649" t="s">
        <v>7816</v>
      </c>
      <c r="N649" t="s">
        <v>7817</v>
      </c>
      <c r="O649" t="s">
        <v>123</v>
      </c>
      <c r="P649" t="s">
        <v>4996</v>
      </c>
      <c r="Q649">
        <v>1090</v>
      </c>
      <c r="R649" t="s">
        <v>5118</v>
      </c>
      <c r="S649" t="s">
        <v>116</v>
      </c>
      <c r="T649" t="s">
        <v>4923</v>
      </c>
      <c r="U649" t="s">
        <v>4924</v>
      </c>
      <c r="V649" t="s">
        <v>8093</v>
      </c>
      <c r="W649" t="s">
        <v>3667</v>
      </c>
      <c r="X649">
        <v>200</v>
      </c>
    </row>
    <row r="650" spans="1:24" x14ac:dyDescent="0.25">
      <c r="A650" t="s">
        <v>5130</v>
      </c>
      <c r="B650" t="s">
        <v>8066</v>
      </c>
      <c r="C650" t="s">
        <v>8067</v>
      </c>
      <c r="D650" t="s">
        <v>24</v>
      </c>
      <c r="E650" t="s">
        <v>4913</v>
      </c>
      <c r="F650" t="s">
        <v>2272</v>
      </c>
      <c r="G650">
        <f>IF(K650="Pick-up","PICKUPS",IF(K650="Staff drop-off","STAFF_DROPOFF",IF(K650="Replacements","REPLACEMENT",IF(K650="Central Stores Dispatch","CENTRAL STORES DISPATCH",IFNA(IFNA(VLOOKUP(F650,'Raw Platform Nov 4-6 2025'!C:C,1,FALSE),VLOOKUP(F650,'Raw Platform Nov 4-6 2025'!D:D,1,FALSE)),IFNA(VLOOKUP(F650,'Glovo Raw Nov 4-6 2025'!B:B,1,FALSE),"Not Matched"))))))</f>
      </c>
      <c r="H650">
        <f>COUNTIF(F:F,F650)</f>
      </c>
      <c r="I650" t="s">
        <v>8094</v>
      </c>
      <c r="J650" t="s">
        <v>4915</v>
      </c>
      <c r="K650" t="s">
        <v>4927</v>
      </c>
      <c r="L650" t="s">
        <v>8095</v>
      </c>
      <c r="M650" t="s">
        <v>8079</v>
      </c>
      <c r="N650" t="s">
        <v>4948</v>
      </c>
      <c r="O650" t="s">
        <v>4956</v>
      </c>
      <c r="P650" t="s">
        <v>4920</v>
      </c>
      <c r="Q650">
        <v>0</v>
      </c>
      <c r="R650" t="s">
        <v>5118</v>
      </c>
      <c r="S650" t="s">
        <v>116</v>
      </c>
      <c r="T650" t="s">
        <v>4923</v>
      </c>
      <c r="U650" t="s">
        <v>4924</v>
      </c>
      <c r="V650" t="s">
        <v>8096</v>
      </c>
      <c r="W650" t="s">
        <v>3667</v>
      </c>
      <c r="X650">
        <v>100</v>
      </c>
    </row>
    <row r="651" spans="1:24" x14ac:dyDescent="0.25">
      <c r="A651" t="s">
        <v>5130</v>
      </c>
      <c r="B651" t="s">
        <v>8066</v>
      </c>
      <c r="C651" t="s">
        <v>8067</v>
      </c>
      <c r="D651" t="s">
        <v>24</v>
      </c>
      <c r="E651" t="s">
        <v>4913</v>
      </c>
      <c r="F651" t="s">
        <v>2941</v>
      </c>
      <c r="G651">
        <f>IF(K651="Pick-up","PICKUPS",IF(K651="Staff drop-off","STAFF_DROPOFF",IF(K651="Replacements","REPLACEMENT",IF(K651="Central Stores Dispatch","CENTRAL STORES DISPATCH",IFNA(IFNA(VLOOKUP(F651,'Raw Platform Nov 4-6 2025'!C:C,1,FALSE),VLOOKUP(F651,'Raw Platform Nov 4-6 2025'!D:D,1,FALSE)),IFNA(VLOOKUP(F651,'Glovo Raw Nov 4-6 2025'!B:B,1,FALSE),"Not Matched"))))))</f>
      </c>
      <c r="H651">
        <f>COUNTIF(F:F,F651)</f>
      </c>
      <c r="I651" t="s">
        <v>8097</v>
      </c>
      <c r="J651" t="s">
        <v>4915</v>
      </c>
      <c r="K651" t="s">
        <v>4927</v>
      </c>
      <c r="L651" t="s">
        <v>8098</v>
      </c>
      <c r="M651" t="s">
        <v>8099</v>
      </c>
      <c r="N651" t="s">
        <v>8100</v>
      </c>
      <c r="O651" t="s">
        <v>6086</v>
      </c>
      <c r="P651" t="s">
        <v>8101</v>
      </c>
      <c r="Q651">
        <v>0</v>
      </c>
      <c r="R651" t="s">
        <v>5118</v>
      </c>
      <c r="S651" t="s">
        <v>172</v>
      </c>
      <c r="T651" t="s">
        <v>4923</v>
      </c>
      <c r="U651" t="s">
        <v>4924</v>
      </c>
      <c r="V651" t="s">
        <v>8102</v>
      </c>
      <c r="W651" t="s">
        <v>3667</v>
      </c>
      <c r="X651">
        <v>403.6</v>
      </c>
    </row>
    <row r="652" spans="1:24" x14ac:dyDescent="0.25">
      <c r="A652" t="s">
        <v>5130</v>
      </c>
      <c r="B652" t="s">
        <v>8066</v>
      </c>
      <c r="C652" t="s">
        <v>8067</v>
      </c>
      <c r="D652" t="s">
        <v>24</v>
      </c>
      <c r="E652" t="s">
        <v>4913</v>
      </c>
      <c r="F652" t="s">
        <v>3530</v>
      </c>
      <c r="G652">
        <f>IF(K652="Pick-up","PICKUPS",IF(K652="Staff drop-off","STAFF_DROPOFF",IF(K652="Replacements","REPLACEMENT",IF(K652="Central Stores Dispatch","CENTRAL STORES DISPATCH",IFNA(IFNA(VLOOKUP(F652,'Raw Platform Nov 4-6 2025'!C:C,1,FALSE),VLOOKUP(F652,'Raw Platform Nov 4-6 2025'!D:D,1,FALSE)),IFNA(VLOOKUP(F652,'Glovo Raw Nov 4-6 2025'!B:B,1,FALSE),"Not Matched"))))))</f>
      </c>
      <c r="H652">
        <f>COUNTIF(F:F,F652)</f>
      </c>
      <c r="I652" t="s">
        <v>6760</v>
      </c>
      <c r="J652" t="s">
        <v>4915</v>
      </c>
      <c r="K652" t="s">
        <v>4927</v>
      </c>
      <c r="L652" t="s">
        <v>8103</v>
      </c>
      <c r="M652" t="s">
        <v>8104</v>
      </c>
      <c r="N652" t="s">
        <v>8105</v>
      </c>
      <c r="O652" t="s">
        <v>47</v>
      </c>
      <c r="P652" t="s">
        <v>6592</v>
      </c>
      <c r="Q652">
        <v>0</v>
      </c>
      <c r="R652" t="s">
        <v>5118</v>
      </c>
      <c r="S652" t="s">
        <v>5136</v>
      </c>
      <c r="T652" t="s">
        <v>4923</v>
      </c>
      <c r="U652" t="s">
        <v>4924</v>
      </c>
      <c r="V652" t="s">
        <v>8106</v>
      </c>
      <c r="W652" t="s">
        <v>3667</v>
      </c>
      <c r="X652">
        <v>155.2</v>
      </c>
    </row>
    <row r="653" spans="1:24" x14ac:dyDescent="0.25">
      <c r="A653" t="s">
        <v>5130</v>
      </c>
      <c r="B653" t="s">
        <v>8066</v>
      </c>
      <c r="C653" t="s">
        <v>8067</v>
      </c>
      <c r="D653" t="s">
        <v>24</v>
      </c>
      <c r="E653" t="s">
        <v>5034</v>
      </c>
      <c r="F653" t="s">
        <v>3530</v>
      </c>
      <c r="G653">
        <f>IF(K653="Pick-up","PICKUPS",IF(K653="Staff drop-off","STAFF_DROPOFF",IF(K653="Replacements","REPLACEMENT",IF(K653="Central Stores Dispatch","CENTRAL STORES DISPATCH",IFNA(IFNA(VLOOKUP(F653,'Raw Platform Nov 4-6 2025'!C:C,1,FALSE),VLOOKUP(F653,'Raw Platform Nov 4-6 2025'!D:D,1,FALSE)),IFNA(VLOOKUP(F653,'Glovo Raw Nov 4-6 2025'!B:B,1,FALSE),"Not Matched"))))))</f>
      </c>
      <c r="H653">
        <f>COUNTIF(F:F,F653)</f>
      </c>
      <c r="I653" t="s">
        <v>6760</v>
      </c>
      <c r="J653" t="s">
        <v>4915</v>
      </c>
      <c r="K653" t="s">
        <v>4927</v>
      </c>
      <c r="L653" t="s">
        <v>8103</v>
      </c>
      <c r="M653" t="s">
        <v>8104</v>
      </c>
      <c r="N653" t="s">
        <v>8105</v>
      </c>
      <c r="O653" t="s">
        <v>47</v>
      </c>
      <c r="P653" t="s">
        <v>6592</v>
      </c>
      <c r="Q653">
        <v>0</v>
      </c>
      <c r="R653" t="s">
        <v>5118</v>
      </c>
      <c r="S653" t="s">
        <v>5136</v>
      </c>
      <c r="T653" t="s">
        <v>4923</v>
      </c>
      <c r="U653" t="s">
        <v>4923</v>
      </c>
      <c r="V653" t="s">
        <v>8107</v>
      </c>
      <c r="W653" t="s">
        <v>3667</v>
      </c>
      <c r="X653">
        <v>0</v>
      </c>
    </row>
    <row r="654" spans="1:24" x14ac:dyDescent="0.25">
      <c r="A654" t="s">
        <v>5176</v>
      </c>
      <c r="B654" t="s">
        <v>8108</v>
      </c>
      <c r="C654" t="s">
        <v>8109</v>
      </c>
      <c r="D654" t="s">
        <v>30</v>
      </c>
      <c r="E654" t="s">
        <v>4913</v>
      </c>
      <c r="F654" t="s">
        <v>791</v>
      </c>
      <c r="G654">
        <f>IF(K654="Pick-up","PICKUPS",IF(K654="Staff drop-off","STAFF_DROPOFF",IF(K654="Replacements","REPLACEMENT",IF(K654="Central Stores Dispatch","CENTRAL STORES DISPATCH",IFNA(IFNA(VLOOKUP(F654,'Raw Platform Nov 4-6 2025'!C:C,1,FALSE),VLOOKUP(F654,'Raw Platform Nov 4-6 2025'!D:D,1,FALSE)),IFNA(VLOOKUP(F654,'Glovo Raw Nov 4-6 2025'!B:B,1,FALSE),"Not Matched"))))))</f>
      </c>
      <c r="H654">
        <f>COUNTIF(F:F,F654)</f>
      </c>
      <c r="I654" t="s">
        <v>8020</v>
      </c>
      <c r="J654" t="s">
        <v>63</v>
      </c>
      <c r="K654" t="s">
        <v>4927</v>
      </c>
      <c r="L654" t="s">
        <v>8110</v>
      </c>
      <c r="M654" t="s">
        <v>8111</v>
      </c>
      <c r="N654" t="s">
        <v>8112</v>
      </c>
      <c r="O654" t="s">
        <v>100</v>
      </c>
      <c r="P654" t="s">
        <v>5164</v>
      </c>
      <c r="Q654">
        <v>0</v>
      </c>
      <c r="R654" t="s">
        <v>4922</v>
      </c>
      <c r="S654" t="s">
        <v>29</v>
      </c>
      <c r="T654" t="s">
        <v>4923</v>
      </c>
      <c r="U654" t="s">
        <v>4924</v>
      </c>
      <c r="V654" t="s">
        <v>8113</v>
      </c>
      <c r="W654" t="s">
        <v>3667</v>
      </c>
      <c r="X654">
        <v>146</v>
      </c>
    </row>
    <row r="655" spans="1:24" x14ac:dyDescent="0.25">
      <c r="A655" t="s">
        <v>5176</v>
      </c>
      <c r="B655" t="s">
        <v>8108</v>
      </c>
      <c r="C655" t="s">
        <v>8109</v>
      </c>
      <c r="D655" t="s">
        <v>30</v>
      </c>
      <c r="E655" t="s">
        <v>4913</v>
      </c>
      <c r="F655" t="s">
        <v>716</v>
      </c>
      <c r="G655">
        <f>IF(K655="Pick-up","PICKUPS",IF(K655="Staff drop-off","STAFF_DROPOFF",IF(K655="Replacements","REPLACEMENT",IF(K655="Central Stores Dispatch","CENTRAL STORES DISPATCH",IFNA(IFNA(VLOOKUP(F655,'Raw Platform Nov 4-6 2025'!C:C,1,FALSE),VLOOKUP(F655,'Raw Platform Nov 4-6 2025'!D:D,1,FALSE)),IFNA(VLOOKUP(F655,'Glovo Raw Nov 4-6 2025'!B:B,1,FALSE),"Not Matched"))))))</f>
      </c>
      <c r="H655">
        <f>COUNTIF(F:F,F655)</f>
      </c>
      <c r="I655" t="s">
        <v>8114</v>
      </c>
      <c r="J655" t="s">
        <v>4915</v>
      </c>
      <c r="K655" t="s">
        <v>4927</v>
      </c>
      <c r="L655" t="s">
        <v>7787</v>
      </c>
      <c r="M655" t="s">
        <v>6686</v>
      </c>
      <c r="N655" t="s">
        <v>6687</v>
      </c>
      <c r="O655" t="s">
        <v>2009</v>
      </c>
      <c r="P655" t="s">
        <v>4950</v>
      </c>
      <c r="Q655">
        <v>0</v>
      </c>
      <c r="R655" t="s">
        <v>4922</v>
      </c>
      <c r="S655" t="s">
        <v>45</v>
      </c>
      <c r="T655" t="s">
        <v>4923</v>
      </c>
      <c r="U655" t="s">
        <v>4924</v>
      </c>
      <c r="V655" t="s">
        <v>8115</v>
      </c>
      <c r="W655" t="s">
        <v>3667</v>
      </c>
      <c r="X655">
        <v>100</v>
      </c>
    </row>
    <row r="656" spans="1:24" x14ac:dyDescent="0.25">
      <c r="A656" t="s">
        <v>5176</v>
      </c>
      <c r="B656" t="s">
        <v>8108</v>
      </c>
      <c r="C656" t="s">
        <v>8109</v>
      </c>
      <c r="D656" t="s">
        <v>30</v>
      </c>
      <c r="E656" t="s">
        <v>4913</v>
      </c>
      <c r="F656" t="s">
        <v>1336</v>
      </c>
      <c r="G656">
        <f>IF(K656="Pick-up","PICKUPS",IF(K656="Staff drop-off","STAFF_DROPOFF",IF(K656="Replacements","REPLACEMENT",IF(K656="Central Stores Dispatch","CENTRAL STORES DISPATCH",IFNA(IFNA(VLOOKUP(F656,'Raw Platform Nov 4-6 2025'!C:C,1,FALSE),VLOOKUP(F656,'Raw Platform Nov 4-6 2025'!D:D,1,FALSE)),IFNA(VLOOKUP(F656,'Glovo Raw Nov 4-6 2025'!B:B,1,FALSE),"Not Matched"))))))</f>
      </c>
      <c r="H656">
        <f>COUNTIF(F:F,F656)</f>
      </c>
      <c r="I656" t="s">
        <v>8116</v>
      </c>
      <c r="J656" t="s">
        <v>4915</v>
      </c>
      <c r="K656" t="s">
        <v>4927</v>
      </c>
      <c r="L656" t="s">
        <v>6890</v>
      </c>
      <c r="M656" t="s">
        <v>8117</v>
      </c>
      <c r="N656" t="s">
        <v>8118</v>
      </c>
      <c r="O656" t="s">
        <v>77</v>
      </c>
      <c r="P656" t="s">
        <v>6808</v>
      </c>
      <c r="Q656">
        <v>0</v>
      </c>
      <c r="R656" t="s">
        <v>4922</v>
      </c>
      <c r="S656" t="s">
        <v>29</v>
      </c>
      <c r="T656" t="s">
        <v>4923</v>
      </c>
      <c r="U656" t="s">
        <v>4924</v>
      </c>
      <c r="V656" t="s">
        <v>8119</v>
      </c>
      <c r="W656" t="s">
        <v>3667</v>
      </c>
      <c r="X656">
        <v>194.3</v>
      </c>
    </row>
    <row r="657" spans="1:24" x14ac:dyDescent="0.25">
      <c r="A657" t="s">
        <v>5176</v>
      </c>
      <c r="B657" t="s">
        <v>8108</v>
      </c>
      <c r="C657" t="s">
        <v>8109</v>
      </c>
      <c r="D657" t="s">
        <v>30</v>
      </c>
      <c r="E657" t="s">
        <v>4913</v>
      </c>
      <c r="F657" t="s">
        <v>962</v>
      </c>
      <c r="G657">
        <f>IF(K657="Pick-up","PICKUPS",IF(K657="Staff drop-off","STAFF_DROPOFF",IF(K657="Replacements","REPLACEMENT",IF(K657="Central Stores Dispatch","CENTRAL STORES DISPATCH",IFNA(IFNA(VLOOKUP(F657,'Raw Platform Nov 4-6 2025'!C:C,1,FALSE),VLOOKUP(F657,'Raw Platform Nov 4-6 2025'!D:D,1,FALSE)),IFNA(VLOOKUP(F657,'Glovo Raw Nov 4-6 2025'!B:B,1,FALSE),"Not Matched"))))))</f>
      </c>
      <c r="H657">
        <f>COUNTIF(F:F,F657)</f>
      </c>
      <c r="I657" t="s">
        <v>8120</v>
      </c>
      <c r="J657" t="s">
        <v>4915</v>
      </c>
      <c r="K657" t="s">
        <v>4927</v>
      </c>
      <c r="L657" t="s">
        <v>8121</v>
      </c>
      <c r="M657" t="s">
        <v>8122</v>
      </c>
      <c r="N657" t="s">
        <v>8123</v>
      </c>
      <c r="O657" t="s">
        <v>47</v>
      </c>
      <c r="P657" t="s">
        <v>5045</v>
      </c>
      <c r="Q657">
        <v>0</v>
      </c>
      <c r="R657" t="s">
        <v>4922</v>
      </c>
      <c r="S657" t="s">
        <v>45</v>
      </c>
      <c r="T657" t="s">
        <v>4923</v>
      </c>
      <c r="U657" t="s">
        <v>4924</v>
      </c>
      <c r="V657" t="s">
        <v>8124</v>
      </c>
      <c r="W657" t="s">
        <v>3667</v>
      </c>
      <c r="X657">
        <v>102.3</v>
      </c>
    </row>
    <row r="658" spans="1:24" x14ac:dyDescent="0.25">
      <c r="A658" t="s">
        <v>5176</v>
      </c>
      <c r="B658" t="s">
        <v>8108</v>
      </c>
      <c r="C658" t="s">
        <v>8109</v>
      </c>
      <c r="D658" t="s">
        <v>191</v>
      </c>
      <c r="E658" t="s">
        <v>4913</v>
      </c>
      <c r="F658" t="s">
        <v>689</v>
      </c>
      <c r="G658">
        <f>IF(K658="Pick-up","PICKUPS",IF(K658="Staff drop-off","STAFF_DROPOFF",IF(K658="Replacements","REPLACEMENT",IF(K658="Central Stores Dispatch","CENTRAL STORES DISPATCH",IFNA(IFNA(VLOOKUP(F658,'Raw Platform Nov 4-6 2025'!C:C,1,FALSE),VLOOKUP(F658,'Raw Platform Nov 4-6 2025'!D:D,1,FALSE)),IFNA(VLOOKUP(F658,'Glovo Raw Nov 4-6 2025'!B:B,1,FALSE),"Not Matched"))))))</f>
      </c>
      <c r="H658">
        <f>COUNTIF(F:F,F658)</f>
      </c>
      <c r="I658" t="s">
        <v>8125</v>
      </c>
      <c r="J658" t="s">
        <v>4915</v>
      </c>
      <c r="K658" t="s">
        <v>4927</v>
      </c>
      <c r="L658" t="s">
        <v>689</v>
      </c>
      <c r="M658" t="s">
        <v>8126</v>
      </c>
      <c r="N658" t="s">
        <v>8127</v>
      </c>
      <c r="O658" t="s">
        <v>4949</v>
      </c>
      <c r="P658" t="s">
        <v>5219</v>
      </c>
      <c r="Q658">
        <v>0</v>
      </c>
      <c r="R658" t="s">
        <v>4922</v>
      </c>
      <c r="S658" t="s">
        <v>5184</v>
      </c>
      <c r="T658" t="s">
        <v>4923</v>
      </c>
      <c r="U658" t="s">
        <v>4924</v>
      </c>
      <c r="V658" t="s">
        <v>8128</v>
      </c>
      <c r="W658" t="s">
        <v>3667</v>
      </c>
      <c r="X658">
        <v>100</v>
      </c>
    </row>
    <row r="659" spans="1:24" x14ac:dyDescent="0.25">
      <c r="A659" t="s">
        <v>5176</v>
      </c>
      <c r="B659" t="s">
        <v>8108</v>
      </c>
      <c r="C659" t="s">
        <v>8109</v>
      </c>
      <c r="D659" t="s">
        <v>30</v>
      </c>
      <c r="E659" t="s">
        <v>4913</v>
      </c>
      <c r="F659" t="s">
        <v>1428</v>
      </c>
      <c r="G659">
        <f>IF(K659="Pick-up","PICKUPS",IF(K659="Staff drop-off","STAFF_DROPOFF",IF(K659="Replacements","REPLACEMENT",IF(K659="Central Stores Dispatch","CENTRAL STORES DISPATCH",IFNA(IFNA(VLOOKUP(F659,'Raw Platform Nov 4-6 2025'!C:C,1,FALSE),VLOOKUP(F659,'Raw Platform Nov 4-6 2025'!D:D,1,FALSE)),IFNA(VLOOKUP(F659,'Glovo Raw Nov 4-6 2025'!B:B,1,FALSE),"Not Matched"))))))</f>
      </c>
      <c r="H659">
        <f>COUNTIF(F:F,F659)</f>
      </c>
      <c r="I659" t="s">
        <v>8129</v>
      </c>
      <c r="J659" t="s">
        <v>4915</v>
      </c>
      <c r="K659" t="s">
        <v>4916</v>
      </c>
      <c r="L659" t="s">
        <v>8130</v>
      </c>
      <c r="M659" t="s">
        <v>8131</v>
      </c>
      <c r="N659" t="s">
        <v>8132</v>
      </c>
      <c r="O659" t="s">
        <v>2009</v>
      </c>
      <c r="P659" t="s">
        <v>4984</v>
      </c>
      <c r="Q659">
        <v>1272</v>
      </c>
      <c r="R659" t="s">
        <v>4922</v>
      </c>
      <c r="S659" t="s">
        <v>172</v>
      </c>
      <c r="T659" t="s">
        <v>4923</v>
      </c>
      <c r="U659" t="s">
        <v>4924</v>
      </c>
      <c r="V659" t="s">
        <v>8133</v>
      </c>
      <c r="W659" t="s">
        <v>3667</v>
      </c>
      <c r="X659">
        <v>100</v>
      </c>
    </row>
    <row r="660" spans="1:24" x14ac:dyDescent="0.25">
      <c r="A660" t="s">
        <v>5176</v>
      </c>
      <c r="B660" t="s">
        <v>8108</v>
      </c>
      <c r="C660" t="s">
        <v>8109</v>
      </c>
      <c r="D660" t="s">
        <v>30</v>
      </c>
      <c r="E660" t="s">
        <v>4913</v>
      </c>
      <c r="F660" t="s">
        <v>2423</v>
      </c>
      <c r="G660">
        <f>IF(K660="Pick-up","PICKUPS",IF(K660="Staff drop-off","STAFF_DROPOFF",IF(K660="Replacements","REPLACEMENT",IF(K660="Central Stores Dispatch","CENTRAL STORES DISPATCH",IFNA(IFNA(VLOOKUP(F660,'Raw Platform Nov 4-6 2025'!C:C,1,FALSE),VLOOKUP(F660,'Raw Platform Nov 4-6 2025'!D:D,1,FALSE)),IFNA(VLOOKUP(F660,'Glovo Raw Nov 4-6 2025'!B:B,1,FALSE),"Not Matched"))))))</f>
      </c>
      <c r="H660">
        <f>COUNTIF(F:F,F660)</f>
      </c>
      <c r="I660" t="s">
        <v>8134</v>
      </c>
      <c r="J660" t="s">
        <v>4915</v>
      </c>
      <c r="K660" t="s">
        <v>4916</v>
      </c>
      <c r="L660" t="s">
        <v>8135</v>
      </c>
      <c r="M660" t="s">
        <v>8136</v>
      </c>
      <c r="N660" t="s">
        <v>5620</v>
      </c>
      <c r="O660" t="s">
        <v>47</v>
      </c>
      <c r="P660" t="s">
        <v>5953</v>
      </c>
      <c r="Q660">
        <v>862</v>
      </c>
      <c r="R660" t="s">
        <v>4922</v>
      </c>
      <c r="S660" t="s">
        <v>172</v>
      </c>
      <c r="T660" t="s">
        <v>4923</v>
      </c>
      <c r="U660" t="s">
        <v>4924</v>
      </c>
      <c r="V660" t="s">
        <v>8137</v>
      </c>
      <c r="W660" t="s">
        <v>3667</v>
      </c>
      <c r="X660">
        <v>118.4</v>
      </c>
    </row>
    <row r="661" spans="1:24" x14ac:dyDescent="0.25">
      <c r="A661" t="s">
        <v>5176</v>
      </c>
      <c r="B661" t="s">
        <v>8108</v>
      </c>
      <c r="C661" t="s">
        <v>8109</v>
      </c>
      <c r="D661" t="s">
        <v>30</v>
      </c>
      <c r="E661" t="s">
        <v>4913</v>
      </c>
      <c r="F661" t="s">
        <v>2187</v>
      </c>
      <c r="G661">
        <f>IF(K661="Pick-up","PICKUPS",IF(K661="Staff drop-off","STAFF_DROPOFF",IF(K661="Replacements","REPLACEMENT",IF(K661="Central Stores Dispatch","CENTRAL STORES DISPATCH",IFNA(IFNA(VLOOKUP(F661,'Raw Platform Nov 4-6 2025'!C:C,1,FALSE),VLOOKUP(F661,'Raw Platform Nov 4-6 2025'!D:D,1,FALSE)),IFNA(VLOOKUP(F661,'Glovo Raw Nov 4-6 2025'!B:B,1,FALSE),"Not Matched"))))))</f>
      </c>
      <c r="H661">
        <f>COUNTIF(F:F,F661)</f>
      </c>
      <c r="I661" t="s">
        <v>8138</v>
      </c>
      <c r="J661" t="s">
        <v>63</v>
      </c>
      <c r="K661" t="s">
        <v>4916</v>
      </c>
      <c r="L661" t="s">
        <v>8139</v>
      </c>
      <c r="M661" t="s">
        <v>8140</v>
      </c>
      <c r="N661" t="s">
        <v>8141</v>
      </c>
      <c r="O661" t="s">
        <v>9</v>
      </c>
      <c r="P661" t="s">
        <v>5795</v>
      </c>
      <c r="Q661">
        <v>2020</v>
      </c>
      <c r="R661" t="s">
        <v>4922</v>
      </c>
      <c r="S661" t="s">
        <v>50</v>
      </c>
      <c r="T661" t="s">
        <v>4923</v>
      </c>
      <c r="U661" t="s">
        <v>4924</v>
      </c>
      <c r="V661" t="s">
        <v>8142</v>
      </c>
      <c r="W661" t="s">
        <v>3667</v>
      </c>
      <c r="X661">
        <v>150.6</v>
      </c>
    </row>
    <row r="662" spans="1:24" x14ac:dyDescent="0.25">
      <c r="A662" t="s">
        <v>5176</v>
      </c>
      <c r="B662" t="s">
        <v>8108</v>
      </c>
      <c r="C662" t="s">
        <v>8109</v>
      </c>
      <c r="D662" t="s">
        <v>191</v>
      </c>
      <c r="E662" t="s">
        <v>4913</v>
      </c>
      <c r="F662" t="s">
        <v>1565</v>
      </c>
      <c r="G662">
        <f>IF(K662="Pick-up","PICKUPS",IF(K662="Staff drop-off","STAFF_DROPOFF",IF(K662="Replacements","REPLACEMENT",IF(K662="Central Stores Dispatch","CENTRAL STORES DISPATCH",IFNA(IFNA(VLOOKUP(F662,'Raw Platform Nov 4-6 2025'!C:C,1,FALSE),VLOOKUP(F662,'Raw Platform Nov 4-6 2025'!D:D,1,FALSE)),IFNA(VLOOKUP(F662,'Glovo Raw Nov 4-6 2025'!B:B,1,FALSE),"Not Matched"))))))</f>
      </c>
      <c r="H662">
        <f>COUNTIF(F:F,F662)</f>
      </c>
      <c r="I662" t="s">
        <v>8143</v>
      </c>
      <c r="J662" t="s">
        <v>63</v>
      </c>
      <c r="K662" t="s">
        <v>4927</v>
      </c>
      <c r="L662" t="s">
        <v>8144</v>
      </c>
      <c r="M662" t="s">
        <v>8145</v>
      </c>
      <c r="N662" t="s">
        <v>8146</v>
      </c>
      <c r="O662" t="s">
        <v>123</v>
      </c>
      <c r="P662" t="s">
        <v>7776</v>
      </c>
      <c r="Q662">
        <v>0</v>
      </c>
      <c r="R662" t="s">
        <v>4922</v>
      </c>
      <c r="S662" t="s">
        <v>5184</v>
      </c>
      <c r="T662" t="s">
        <v>4923</v>
      </c>
      <c r="U662" t="s">
        <v>4924</v>
      </c>
      <c r="V662" t="s">
        <v>8147</v>
      </c>
      <c r="W662" t="s">
        <v>3667</v>
      </c>
      <c r="X662">
        <v>113.8</v>
      </c>
    </row>
    <row r="663" spans="1:24" x14ac:dyDescent="0.25">
      <c r="A663" t="s">
        <v>5176</v>
      </c>
      <c r="B663" t="s">
        <v>8108</v>
      </c>
      <c r="C663" t="s">
        <v>8109</v>
      </c>
      <c r="D663" t="s">
        <v>30</v>
      </c>
      <c r="E663" t="s">
        <v>4913</v>
      </c>
      <c r="F663" t="s">
        <v>1815</v>
      </c>
      <c r="G663">
        <f>IF(K663="Pick-up","PICKUPS",IF(K663="Staff drop-off","STAFF_DROPOFF",IF(K663="Replacements","REPLACEMENT",IF(K663="Central Stores Dispatch","CENTRAL STORES DISPATCH",IFNA(IFNA(VLOOKUP(F663,'Raw Platform Nov 4-6 2025'!C:C,1,FALSE),VLOOKUP(F663,'Raw Platform Nov 4-6 2025'!D:D,1,FALSE)),IFNA(VLOOKUP(F663,'Glovo Raw Nov 4-6 2025'!B:B,1,FALSE),"Not Matched"))))))</f>
      </c>
      <c r="H663">
        <f>COUNTIF(F:F,F663)</f>
      </c>
      <c r="I663" t="s">
        <v>8148</v>
      </c>
      <c r="J663" t="s">
        <v>63</v>
      </c>
      <c r="K663" t="s">
        <v>4927</v>
      </c>
      <c r="L663" t="s">
        <v>8149</v>
      </c>
      <c r="M663" t="s">
        <v>8150</v>
      </c>
      <c r="N663" t="s">
        <v>8151</v>
      </c>
      <c r="O663" t="s">
        <v>77</v>
      </c>
      <c r="P663" t="s">
        <v>5516</v>
      </c>
      <c r="Q663">
        <v>0</v>
      </c>
      <c r="R663" t="s">
        <v>4922</v>
      </c>
      <c r="S663" t="s">
        <v>172</v>
      </c>
      <c r="T663" t="s">
        <v>4923</v>
      </c>
      <c r="U663" t="s">
        <v>4924</v>
      </c>
      <c r="V663" t="s">
        <v>8152</v>
      </c>
      <c r="W663" t="s">
        <v>3667</v>
      </c>
      <c r="X663">
        <v>169</v>
      </c>
    </row>
    <row r="664" spans="1:24" x14ac:dyDescent="0.25">
      <c r="A664" t="s">
        <v>5176</v>
      </c>
      <c r="B664" t="s">
        <v>8108</v>
      </c>
      <c r="C664" t="s">
        <v>8109</v>
      </c>
      <c r="D664" t="s">
        <v>30</v>
      </c>
      <c r="E664" t="s">
        <v>4913</v>
      </c>
      <c r="F664" t="s">
        <v>2583</v>
      </c>
      <c r="G664">
        <f>IF(K664="Pick-up","PICKUPS",IF(K664="Staff drop-off","STAFF_DROPOFF",IF(K664="Replacements","REPLACEMENT",IF(K664="Central Stores Dispatch","CENTRAL STORES DISPATCH",IFNA(IFNA(VLOOKUP(F664,'Raw Platform Nov 4-6 2025'!C:C,1,FALSE),VLOOKUP(F664,'Raw Platform Nov 4-6 2025'!D:D,1,FALSE)),IFNA(VLOOKUP(F664,'Glovo Raw Nov 4-6 2025'!B:B,1,FALSE),"Not Matched"))))))</f>
      </c>
      <c r="H664">
        <f>COUNTIF(F:F,F664)</f>
      </c>
      <c r="I664" t="s">
        <v>8153</v>
      </c>
      <c r="J664" t="s">
        <v>4915</v>
      </c>
      <c r="K664" t="s">
        <v>4927</v>
      </c>
      <c r="L664" t="s">
        <v>8154</v>
      </c>
      <c r="M664" t="s">
        <v>8155</v>
      </c>
      <c r="N664" t="s">
        <v>8156</v>
      </c>
      <c r="O664" t="s">
        <v>5469</v>
      </c>
      <c r="P664" t="s">
        <v>6435</v>
      </c>
      <c r="Q664">
        <v>0</v>
      </c>
      <c r="R664" t="s">
        <v>4922</v>
      </c>
      <c r="S664" t="s">
        <v>5437</v>
      </c>
      <c r="T664" t="s">
        <v>4923</v>
      </c>
      <c r="U664" t="s">
        <v>4924</v>
      </c>
      <c r="V664" t="s">
        <v>8157</v>
      </c>
      <c r="W664" t="s">
        <v>3667</v>
      </c>
      <c r="X664">
        <v>359.9</v>
      </c>
    </row>
    <row r="665" spans="1:24" x14ac:dyDescent="0.25">
      <c r="A665" t="s">
        <v>5176</v>
      </c>
      <c r="B665" t="s">
        <v>8108</v>
      </c>
      <c r="C665" t="s">
        <v>8109</v>
      </c>
      <c r="D665" t="s">
        <v>30</v>
      </c>
      <c r="E665" t="s">
        <v>4913</v>
      </c>
      <c r="F665" t="s">
        <v>8158</v>
      </c>
      <c r="G665">
        <f>IF(K665="Pick-up","PICKUPS",IF(K665="Staff drop-off","STAFF_DROPOFF",IF(K665="Replacements","REPLACEMENT",IF(K665="Central Stores Dispatch","CENTRAL STORES DISPATCH",IFNA(IFNA(VLOOKUP(F665,'Raw Platform Nov 4-6 2025'!C:C,1,FALSE),VLOOKUP(F665,'Raw Platform Nov 4-6 2025'!D:D,1,FALSE)),IFNA(VLOOKUP(F665,'Glovo Raw Nov 4-6 2025'!B:B,1,FALSE),"Not Matched"))))))</f>
      </c>
      <c r="H665">
        <f>COUNTIF(F:F,F665)</f>
      </c>
      <c r="I665" t="s">
        <v>8159</v>
      </c>
      <c r="J665" t="s">
        <v>5289</v>
      </c>
      <c r="K665" t="s">
        <v>4927</v>
      </c>
      <c r="L665" t="s">
        <v>8160</v>
      </c>
      <c r="M665" t="s">
        <v>5327</v>
      </c>
      <c r="N665" t="s">
        <v>5292</v>
      </c>
      <c r="O665" t="s">
        <v>100</v>
      </c>
      <c r="P665" t="s">
        <v>5328</v>
      </c>
      <c r="Q665">
        <v>0</v>
      </c>
      <c r="R665" t="s">
        <v>4922</v>
      </c>
      <c r="S665" t="s">
        <v>5293</v>
      </c>
      <c r="T665" t="s">
        <v>4923</v>
      </c>
      <c r="U665" t="s">
        <v>4924</v>
      </c>
      <c r="V665" t="s">
        <v>8161</v>
      </c>
      <c r="W665" t="s">
        <v>3667</v>
      </c>
      <c r="X665">
        <v>205.8</v>
      </c>
    </row>
    <row r="666" spans="1:24" x14ac:dyDescent="0.25">
      <c r="A666" t="s">
        <v>5176</v>
      </c>
      <c r="B666" t="s">
        <v>8108</v>
      </c>
      <c r="C666" t="s">
        <v>8109</v>
      </c>
      <c r="D666" t="s">
        <v>30</v>
      </c>
      <c r="E666" t="s">
        <v>4913</v>
      </c>
      <c r="F666" t="s">
        <v>2705</v>
      </c>
      <c r="G666">
        <f>IF(K666="Pick-up","PICKUPS",IF(K666="Staff drop-off","STAFF_DROPOFF",IF(K666="Replacements","REPLACEMENT",IF(K666="Central Stores Dispatch","CENTRAL STORES DISPATCH",IFNA(IFNA(VLOOKUP(F666,'Raw Platform Nov 4-6 2025'!C:C,1,FALSE),VLOOKUP(F666,'Raw Platform Nov 4-6 2025'!D:D,1,FALSE)),IFNA(VLOOKUP(F666,'Glovo Raw Nov 4-6 2025'!B:B,1,FALSE),"Not Matched"))))))</f>
      </c>
      <c r="H666">
        <f>COUNTIF(F:F,F666)</f>
      </c>
      <c r="I666" t="s">
        <v>8162</v>
      </c>
      <c r="J666" t="s">
        <v>4915</v>
      </c>
      <c r="K666" t="s">
        <v>4927</v>
      </c>
      <c r="L666" t="s">
        <v>8163</v>
      </c>
      <c r="M666" t="s">
        <v>8164</v>
      </c>
      <c r="N666" t="s">
        <v>8165</v>
      </c>
      <c r="O666" t="s">
        <v>4949</v>
      </c>
      <c r="P666" t="s">
        <v>5007</v>
      </c>
      <c r="Q666">
        <v>0</v>
      </c>
      <c r="R666" t="s">
        <v>4922</v>
      </c>
      <c r="S666" t="s">
        <v>29</v>
      </c>
      <c r="T666" t="s">
        <v>4923</v>
      </c>
      <c r="U666" t="s">
        <v>4924</v>
      </c>
      <c r="V666" t="s">
        <v>8166</v>
      </c>
      <c r="W666" t="s">
        <v>3667</v>
      </c>
      <c r="X666">
        <v>100</v>
      </c>
    </row>
    <row r="667" spans="1:24" x14ac:dyDescent="0.25">
      <c r="A667" t="s">
        <v>5176</v>
      </c>
      <c r="B667" t="s">
        <v>8108</v>
      </c>
      <c r="C667" t="s">
        <v>8109</v>
      </c>
      <c r="D667" t="s">
        <v>30</v>
      </c>
      <c r="E667" t="s">
        <v>4913</v>
      </c>
      <c r="F667" t="s">
        <v>3483</v>
      </c>
      <c r="G667">
        <f>IF(K667="Pick-up","PICKUPS",IF(K667="Staff drop-off","STAFF_DROPOFF",IF(K667="Replacements","REPLACEMENT",IF(K667="Central Stores Dispatch","CENTRAL STORES DISPATCH",IFNA(IFNA(VLOOKUP(F667,'Raw Platform Nov 4-6 2025'!C:C,1,FALSE),VLOOKUP(F667,'Raw Platform Nov 4-6 2025'!D:D,1,FALSE)),IFNA(VLOOKUP(F667,'Glovo Raw Nov 4-6 2025'!B:B,1,FALSE),"Not Matched"))))))</f>
      </c>
      <c r="H667">
        <f>COUNTIF(F:F,F667)</f>
      </c>
      <c r="I667" t="s">
        <v>8167</v>
      </c>
      <c r="J667" t="s">
        <v>4915</v>
      </c>
      <c r="K667" t="s">
        <v>4927</v>
      </c>
      <c r="L667" t="s">
        <v>8168</v>
      </c>
      <c r="M667" t="s">
        <v>8169</v>
      </c>
      <c r="N667" t="s">
        <v>5972</v>
      </c>
      <c r="O667" t="s">
        <v>123</v>
      </c>
      <c r="P667" t="s">
        <v>5820</v>
      </c>
      <c r="Q667">
        <v>0</v>
      </c>
      <c r="R667" t="s">
        <v>4922</v>
      </c>
      <c r="S667" t="s">
        <v>12</v>
      </c>
      <c r="T667" t="s">
        <v>4923</v>
      </c>
      <c r="U667" t="s">
        <v>4924</v>
      </c>
      <c r="V667" t="s">
        <v>8170</v>
      </c>
      <c r="W667" t="s">
        <v>3667</v>
      </c>
      <c r="X667">
        <v>139.1</v>
      </c>
    </row>
    <row r="668" spans="1:24" x14ac:dyDescent="0.25">
      <c r="A668" t="s">
        <v>6063</v>
      </c>
      <c r="B668" t="s">
        <v>8171</v>
      </c>
      <c r="C668" t="s">
        <v>8172</v>
      </c>
      <c r="D668" t="s">
        <v>19</v>
      </c>
      <c r="E668" t="s">
        <v>4913</v>
      </c>
      <c r="F668" t="s">
        <v>3520</v>
      </c>
      <c r="G668">
        <f>IF(K668="Pick-up","PICKUPS",IF(K668="Staff drop-off","STAFF_DROPOFF",IF(K668="Replacements","REPLACEMENT",IF(K668="Central Stores Dispatch","CENTRAL STORES DISPATCH",IFNA(IFNA(VLOOKUP(F668,'Raw Platform Nov 4-6 2025'!C:C,1,FALSE),VLOOKUP(F668,'Raw Platform Nov 4-6 2025'!D:D,1,FALSE)),IFNA(VLOOKUP(F668,'Glovo Raw Nov 4-6 2025'!B:B,1,FALSE),"Not Matched"))))))</f>
      </c>
      <c r="H668">
        <f>COUNTIF(F:F,F668)</f>
      </c>
      <c r="I668" t="s">
        <v>8173</v>
      </c>
      <c r="J668" t="s">
        <v>4915</v>
      </c>
      <c r="K668" t="s">
        <v>4916</v>
      </c>
      <c r="L668" t="s">
        <v>8174</v>
      </c>
      <c r="M668" t="s">
        <v>8175</v>
      </c>
      <c r="N668" t="s">
        <v>8176</v>
      </c>
      <c r="O668" t="s">
        <v>5937</v>
      </c>
      <c r="P668" t="s">
        <v>8177</v>
      </c>
      <c r="Q668">
        <v>2680</v>
      </c>
      <c r="R668" t="s">
        <v>5855</v>
      </c>
      <c r="S668" t="s">
        <v>45</v>
      </c>
      <c r="T668" t="s">
        <v>4923</v>
      </c>
      <c r="U668" t="s">
        <v>4924</v>
      </c>
      <c r="V668" t="s">
        <v>8178</v>
      </c>
      <c r="W668" t="s">
        <v>3667</v>
      </c>
      <c r="X668">
        <v>330</v>
      </c>
    </row>
    <row r="669" spans="1:24" x14ac:dyDescent="0.25">
      <c r="A669" t="s">
        <v>5130</v>
      </c>
      <c r="B669" t="s">
        <v>8179</v>
      </c>
      <c r="C669" t="s">
        <v>8180</v>
      </c>
      <c r="D669" t="s">
        <v>24</v>
      </c>
      <c r="E669" t="s">
        <v>4913</v>
      </c>
      <c r="F669" t="s">
        <v>854</v>
      </c>
      <c r="G669">
        <f>IF(K669="Pick-up","PICKUPS",IF(K669="Staff drop-off","STAFF_DROPOFF",IF(K669="Replacements","REPLACEMENT",IF(K669="Central Stores Dispatch","CENTRAL STORES DISPATCH",IFNA(IFNA(VLOOKUP(F669,'Raw Platform Nov 4-6 2025'!C:C,1,FALSE),VLOOKUP(F669,'Raw Platform Nov 4-6 2025'!D:D,1,FALSE)),IFNA(VLOOKUP(F669,'Glovo Raw Nov 4-6 2025'!B:B,1,FALSE),"Not Matched"))))))</f>
      </c>
      <c r="H669">
        <f>COUNTIF(F:F,F669)</f>
      </c>
      <c r="I669" t="s">
        <v>8181</v>
      </c>
      <c r="J669" t="s">
        <v>4915</v>
      </c>
      <c r="K669" t="s">
        <v>4916</v>
      </c>
      <c r="L669" t="s">
        <v>8182</v>
      </c>
      <c r="M669" t="s">
        <v>8183</v>
      </c>
      <c r="N669" t="s">
        <v>8184</v>
      </c>
      <c r="O669" t="s">
        <v>5183</v>
      </c>
      <c r="P669" t="s">
        <v>6583</v>
      </c>
      <c r="Q669">
        <v>1424</v>
      </c>
      <c r="R669" t="s">
        <v>5118</v>
      </c>
      <c r="S669" t="s">
        <v>172</v>
      </c>
      <c r="T669" t="s">
        <v>4923</v>
      </c>
      <c r="U669" t="s">
        <v>4924</v>
      </c>
      <c r="V669" t="s">
        <v>8185</v>
      </c>
      <c r="W669" t="s">
        <v>3667</v>
      </c>
      <c r="X669">
        <v>442.7</v>
      </c>
    </row>
    <row r="670" spans="1:24" x14ac:dyDescent="0.25">
      <c r="A670" t="s">
        <v>5130</v>
      </c>
      <c r="B670" t="s">
        <v>8179</v>
      </c>
      <c r="C670" t="s">
        <v>8180</v>
      </c>
      <c r="D670" t="s">
        <v>24</v>
      </c>
      <c r="E670" t="s">
        <v>4913</v>
      </c>
      <c r="F670" t="s">
        <v>1432</v>
      </c>
      <c r="G670">
        <f>IF(K670="Pick-up","PICKUPS",IF(K670="Staff drop-off","STAFF_DROPOFF",IF(K670="Replacements","REPLACEMENT",IF(K670="Central Stores Dispatch","CENTRAL STORES DISPATCH",IFNA(IFNA(VLOOKUP(F670,'Raw Platform Nov 4-6 2025'!C:C,1,FALSE),VLOOKUP(F670,'Raw Platform Nov 4-6 2025'!D:D,1,FALSE)),IFNA(VLOOKUP(F670,'Glovo Raw Nov 4-6 2025'!B:B,1,FALSE),"Not Matched"))))))</f>
      </c>
      <c r="H670">
        <f>COUNTIF(F:F,F670)</f>
      </c>
      <c r="I670" t="s">
        <v>8186</v>
      </c>
      <c r="J670" t="s">
        <v>4915</v>
      </c>
      <c r="K670" t="s">
        <v>4916</v>
      </c>
      <c r="L670" t="s">
        <v>8187</v>
      </c>
      <c r="M670" t="s">
        <v>6143</v>
      </c>
      <c r="N670" t="s">
        <v>6144</v>
      </c>
      <c r="O670" t="s">
        <v>26</v>
      </c>
      <c r="P670" t="s">
        <v>5914</v>
      </c>
      <c r="Q670">
        <v>892</v>
      </c>
      <c r="R670" t="s">
        <v>5118</v>
      </c>
      <c r="S670" t="s">
        <v>35</v>
      </c>
      <c r="T670" t="s">
        <v>4923</v>
      </c>
      <c r="U670" t="s">
        <v>4924</v>
      </c>
      <c r="V670" t="s">
        <v>8188</v>
      </c>
      <c r="W670" t="s">
        <v>3667</v>
      </c>
      <c r="X670">
        <v>192</v>
      </c>
    </row>
    <row r="671" spans="1:24" x14ac:dyDescent="0.25">
      <c r="A671" t="s">
        <v>5231</v>
      </c>
      <c r="B671" t="s">
        <v>8179</v>
      </c>
      <c r="C671" t="s">
        <v>8180</v>
      </c>
      <c r="D671" t="s">
        <v>191</v>
      </c>
      <c r="E671" t="s">
        <v>4913</v>
      </c>
      <c r="F671" t="s">
        <v>577</v>
      </c>
      <c r="G671">
        <f>IF(K671="Pick-up","PICKUPS",IF(K671="Staff drop-off","STAFF_DROPOFF",IF(K671="Replacements","REPLACEMENT",IF(K671="Central Stores Dispatch","CENTRAL STORES DISPATCH",IFNA(IFNA(VLOOKUP(F671,'Raw Platform Nov 4-6 2025'!C:C,1,FALSE),VLOOKUP(F671,'Raw Platform Nov 4-6 2025'!D:D,1,FALSE)),IFNA(VLOOKUP(F671,'Glovo Raw Nov 4-6 2025'!B:B,1,FALSE),"Not Matched"))))))</f>
      </c>
      <c r="H671">
        <f>COUNTIF(F:F,F671)</f>
      </c>
      <c r="I671" t="s">
        <v>8189</v>
      </c>
      <c r="J671" t="s">
        <v>4915</v>
      </c>
      <c r="K671" t="s">
        <v>4927</v>
      </c>
      <c r="L671" t="s">
        <v>8190</v>
      </c>
      <c r="M671" t="s">
        <v>8191</v>
      </c>
      <c r="N671" t="s">
        <v>8192</v>
      </c>
      <c r="O671" t="s">
        <v>100</v>
      </c>
      <c r="P671" t="s">
        <v>7740</v>
      </c>
      <c r="Q671">
        <v>0</v>
      </c>
      <c r="R671" t="s">
        <v>5118</v>
      </c>
      <c r="S671" t="s">
        <v>5184</v>
      </c>
      <c r="T671" t="s">
        <v>4923</v>
      </c>
      <c r="U671" t="s">
        <v>4924</v>
      </c>
      <c r="V671" t="s">
        <v>8193</v>
      </c>
      <c r="W671" t="s">
        <v>3667</v>
      </c>
      <c r="X671">
        <v>256.4</v>
      </c>
    </row>
    <row r="672" spans="1:24" x14ac:dyDescent="0.25">
      <c r="A672" t="s">
        <v>5130</v>
      </c>
      <c r="B672" t="s">
        <v>8179</v>
      </c>
      <c r="C672" t="s">
        <v>8180</v>
      </c>
      <c r="D672" t="s">
        <v>24</v>
      </c>
      <c r="E672" t="s">
        <v>4913</v>
      </c>
      <c r="F672" t="s">
        <v>8194</v>
      </c>
      <c r="G672">
        <f>IF(K672="Pick-up","PICKUPS",IF(K672="Staff drop-off","STAFF_DROPOFF",IF(K672="Replacements","REPLACEMENT",IF(K672="Central Stores Dispatch","CENTRAL STORES DISPATCH",IFNA(IFNA(VLOOKUP(F672,'Raw Platform Nov 4-6 2025'!C:C,1,FALSE),VLOOKUP(F672,'Raw Platform Nov 4-6 2025'!D:D,1,FALSE)),IFNA(VLOOKUP(F672,'Glovo Raw Nov 4-6 2025'!B:B,1,FALSE),"Not Matched"))))))</f>
      </c>
      <c r="H672">
        <f>COUNTIF(F:F,F672)</f>
      </c>
      <c r="I672" t="s">
        <v>8195</v>
      </c>
      <c r="J672" t="s">
        <v>4915</v>
      </c>
      <c r="K672" t="s">
        <v>4927</v>
      </c>
      <c r="L672" t="s">
        <v>8196</v>
      </c>
      <c r="M672" t="s">
        <v>8197</v>
      </c>
      <c r="N672" t="s">
        <v>8198</v>
      </c>
      <c r="O672" t="s">
        <v>73</v>
      </c>
      <c r="P672" t="s">
        <v>4962</v>
      </c>
      <c r="Q672">
        <v>0</v>
      </c>
      <c r="R672" t="s">
        <v>5118</v>
      </c>
      <c r="S672" t="s">
        <v>5136</v>
      </c>
      <c r="T672" t="s">
        <v>4923</v>
      </c>
      <c r="U672" t="s">
        <v>4924</v>
      </c>
      <c r="V672" t="s">
        <v>8199</v>
      </c>
      <c r="W672" t="s">
        <v>3667</v>
      </c>
      <c r="X672">
        <v>180.5</v>
      </c>
    </row>
    <row r="673" spans="1:24" x14ac:dyDescent="0.25">
      <c r="A673" t="s">
        <v>5176</v>
      </c>
      <c r="B673" t="s">
        <v>8200</v>
      </c>
      <c r="C673" t="s">
        <v>8201</v>
      </c>
      <c r="D673" t="s">
        <v>30</v>
      </c>
      <c r="E673" t="s">
        <v>4913</v>
      </c>
      <c r="F673" t="s">
        <v>637</v>
      </c>
      <c r="G673">
        <f>IF(K673="Pick-up","PICKUPS",IF(K673="Staff drop-off","STAFF_DROPOFF",IF(K673="Replacements","REPLACEMENT",IF(K673="Central Stores Dispatch","CENTRAL STORES DISPATCH",IFNA(IFNA(VLOOKUP(F673,'Raw Platform Nov 4-6 2025'!C:C,1,FALSE),VLOOKUP(F673,'Raw Platform Nov 4-6 2025'!D:D,1,FALSE)),IFNA(VLOOKUP(F673,'Glovo Raw Nov 4-6 2025'!B:B,1,FALSE),"Not Matched"))))))</f>
      </c>
      <c r="H673">
        <f>COUNTIF(F:F,F673)</f>
      </c>
      <c r="I673" t="s">
        <v>8202</v>
      </c>
      <c r="J673" t="s">
        <v>4915</v>
      </c>
      <c r="K673" t="s">
        <v>4916</v>
      </c>
      <c r="L673" t="s">
        <v>8203</v>
      </c>
      <c r="M673" t="s">
        <v>8204</v>
      </c>
      <c r="N673" t="s">
        <v>8205</v>
      </c>
      <c r="O673" t="s">
        <v>100</v>
      </c>
      <c r="P673" t="s">
        <v>5314</v>
      </c>
      <c r="Q673">
        <v>1218</v>
      </c>
      <c r="R673" t="s">
        <v>4922</v>
      </c>
      <c r="S673" t="s">
        <v>29</v>
      </c>
      <c r="T673" t="s">
        <v>4923</v>
      </c>
      <c r="U673" t="s">
        <v>4924</v>
      </c>
      <c r="V673" t="s">
        <v>8206</v>
      </c>
      <c r="W673" t="s">
        <v>3667</v>
      </c>
      <c r="X673">
        <v>0</v>
      </c>
    </row>
    <row r="674" spans="1:24" x14ac:dyDescent="0.25">
      <c r="A674" t="s">
        <v>5176</v>
      </c>
      <c r="B674" t="s">
        <v>8200</v>
      </c>
      <c r="C674" t="s">
        <v>8201</v>
      </c>
      <c r="D674" t="s">
        <v>30</v>
      </c>
      <c r="E674" t="s">
        <v>4913</v>
      </c>
      <c r="F674" t="s">
        <v>8207</v>
      </c>
      <c r="G674">
        <f>IF(K674="Pick-up","PICKUPS",IF(K674="Staff drop-off","STAFF_DROPOFF",IF(K674="Replacements","REPLACEMENT",IF(K674="Central Stores Dispatch","CENTRAL STORES DISPATCH",IFNA(IFNA(VLOOKUP(F674,'Raw Platform Nov 4-6 2025'!C:C,1,FALSE),VLOOKUP(F674,'Raw Platform Nov 4-6 2025'!D:D,1,FALSE)),IFNA(VLOOKUP(F674,'Glovo Raw Nov 4-6 2025'!B:B,1,FALSE),"Not Matched"))))))</f>
      </c>
      <c r="H674">
        <f>COUNTIF(F:F,F674)</f>
      </c>
      <c r="I674" t="s">
        <v>8208</v>
      </c>
      <c r="J674" t="s">
        <v>4915</v>
      </c>
      <c r="K674" t="s">
        <v>4927</v>
      </c>
      <c r="L674" t="s">
        <v>8209</v>
      </c>
      <c r="M674" t="s">
        <v>7590</v>
      </c>
      <c r="N674" t="s">
        <v>5789</v>
      </c>
      <c r="O674" t="s">
        <v>4962</v>
      </c>
      <c r="P674" t="s">
        <v>5097</v>
      </c>
      <c r="Q674">
        <v>0</v>
      </c>
      <c r="R674" t="s">
        <v>4922</v>
      </c>
      <c r="S674" t="s">
        <v>45</v>
      </c>
      <c r="T674" t="s">
        <v>4923</v>
      </c>
      <c r="U674" t="s">
        <v>4924</v>
      </c>
      <c r="V674" t="s">
        <v>8210</v>
      </c>
      <c r="W674" t="s">
        <v>3667</v>
      </c>
      <c r="X674">
        <v>0</v>
      </c>
    </row>
    <row r="675" spans="1:24" x14ac:dyDescent="0.25">
      <c r="A675" t="s">
        <v>5176</v>
      </c>
      <c r="B675" t="s">
        <v>8200</v>
      </c>
      <c r="C675" t="s">
        <v>8201</v>
      </c>
      <c r="D675" t="s">
        <v>30</v>
      </c>
      <c r="E675" t="s">
        <v>4913</v>
      </c>
      <c r="F675" t="s">
        <v>1088</v>
      </c>
      <c r="G675">
        <f>IF(K675="Pick-up","PICKUPS",IF(K675="Staff drop-off","STAFF_DROPOFF",IF(K675="Replacements","REPLACEMENT",IF(K675="Central Stores Dispatch","CENTRAL STORES DISPATCH",IFNA(IFNA(VLOOKUP(F675,'Raw Platform Nov 4-6 2025'!C:C,1,FALSE),VLOOKUP(F675,'Raw Platform Nov 4-6 2025'!D:D,1,FALSE)),IFNA(VLOOKUP(F675,'Glovo Raw Nov 4-6 2025'!B:B,1,FALSE),"Not Matched"))))))</f>
      </c>
      <c r="H675">
        <f>COUNTIF(F:F,F675)</f>
      </c>
      <c r="I675" t="s">
        <v>8211</v>
      </c>
      <c r="J675" t="s">
        <v>4915</v>
      </c>
      <c r="K675" t="s">
        <v>4916</v>
      </c>
      <c r="L675" t="s">
        <v>8212</v>
      </c>
      <c r="M675" t="s">
        <v>8213</v>
      </c>
      <c r="N675" t="s">
        <v>8214</v>
      </c>
      <c r="O675" t="s">
        <v>91</v>
      </c>
      <c r="P675" t="s">
        <v>5345</v>
      </c>
      <c r="Q675">
        <v>890</v>
      </c>
      <c r="R675" t="s">
        <v>4922</v>
      </c>
      <c r="S675" t="s">
        <v>29</v>
      </c>
      <c r="T675" t="s">
        <v>4923</v>
      </c>
      <c r="U675" t="s">
        <v>4924</v>
      </c>
      <c r="V675" t="s">
        <v>8215</v>
      </c>
      <c r="W675" t="s">
        <v>3667</v>
      </c>
      <c r="X675">
        <v>0</v>
      </c>
    </row>
    <row r="676" spans="1:24" x14ac:dyDescent="0.25">
      <c r="A676" t="s">
        <v>5176</v>
      </c>
      <c r="B676" t="s">
        <v>8200</v>
      </c>
      <c r="C676" t="s">
        <v>8201</v>
      </c>
      <c r="D676" t="s">
        <v>30</v>
      </c>
      <c r="E676" t="s">
        <v>4913</v>
      </c>
      <c r="F676" t="s">
        <v>859</v>
      </c>
      <c r="G676">
        <f>IF(K676="Pick-up","PICKUPS",IF(K676="Staff drop-off","STAFF_DROPOFF",IF(K676="Replacements","REPLACEMENT",IF(K676="Central Stores Dispatch","CENTRAL STORES DISPATCH",IFNA(IFNA(VLOOKUP(F676,'Raw Platform Nov 4-6 2025'!C:C,1,FALSE),VLOOKUP(F676,'Raw Platform Nov 4-6 2025'!D:D,1,FALSE)),IFNA(VLOOKUP(F676,'Glovo Raw Nov 4-6 2025'!B:B,1,FALSE),"Not Matched"))))))</f>
      </c>
      <c r="H676">
        <f>COUNTIF(F:F,F676)</f>
      </c>
      <c r="I676" t="s">
        <v>8216</v>
      </c>
      <c r="J676" t="s">
        <v>63</v>
      </c>
      <c r="K676" t="s">
        <v>4927</v>
      </c>
      <c r="L676" t="s">
        <v>8217</v>
      </c>
      <c r="M676" t="s">
        <v>8218</v>
      </c>
      <c r="N676" t="s">
        <v>8219</v>
      </c>
      <c r="O676" t="s">
        <v>16</v>
      </c>
      <c r="P676" t="s">
        <v>5387</v>
      </c>
      <c r="Q676">
        <v>0</v>
      </c>
      <c r="R676" t="s">
        <v>4922</v>
      </c>
      <c r="S676" t="s">
        <v>29</v>
      </c>
      <c r="T676" t="s">
        <v>4923</v>
      </c>
      <c r="U676" t="s">
        <v>4924</v>
      </c>
      <c r="V676" t="s">
        <v>8220</v>
      </c>
      <c r="W676" t="s">
        <v>3667</v>
      </c>
      <c r="X676">
        <v>0</v>
      </c>
    </row>
    <row r="677" spans="1:24" x14ac:dyDescent="0.25">
      <c r="A677" t="s">
        <v>5176</v>
      </c>
      <c r="B677" t="s">
        <v>8200</v>
      </c>
      <c r="C677" t="s">
        <v>8201</v>
      </c>
      <c r="D677" t="s">
        <v>30</v>
      </c>
      <c r="E677" t="s">
        <v>4913</v>
      </c>
      <c r="F677" t="s">
        <v>101</v>
      </c>
      <c r="G677">
        <f>IF(K677="Pick-up","PICKUPS",IF(K677="Staff drop-off","STAFF_DROPOFF",IF(K677="Replacements","REPLACEMENT",IF(K677="Central Stores Dispatch","CENTRAL STORES DISPATCH",IFNA(IFNA(VLOOKUP(F677,'Raw Platform Nov 4-6 2025'!C:C,1,FALSE),VLOOKUP(F677,'Raw Platform Nov 4-6 2025'!D:D,1,FALSE)),IFNA(VLOOKUP(F677,'Glovo Raw Nov 4-6 2025'!B:B,1,FALSE),"Not Matched"))))))</f>
      </c>
      <c r="H677">
        <f>COUNTIF(F:F,F677)</f>
      </c>
      <c r="I677" t="s">
        <v>8221</v>
      </c>
      <c r="J677" t="s">
        <v>4915</v>
      </c>
      <c r="K677" t="s">
        <v>4916</v>
      </c>
      <c r="L677" t="s">
        <v>8222</v>
      </c>
      <c r="M677" t="s">
        <v>8223</v>
      </c>
      <c r="N677" t="s">
        <v>8224</v>
      </c>
      <c r="O677" t="s">
        <v>47</v>
      </c>
      <c r="P677" t="s">
        <v>5476</v>
      </c>
      <c r="Q677">
        <v>833</v>
      </c>
      <c r="R677" t="s">
        <v>4922</v>
      </c>
      <c r="S677" t="s">
        <v>50</v>
      </c>
      <c r="T677" t="s">
        <v>4923</v>
      </c>
      <c r="U677" t="s">
        <v>4924</v>
      </c>
      <c r="V677" t="s">
        <v>8225</v>
      </c>
      <c r="W677" t="s">
        <v>3667</v>
      </c>
      <c r="X677">
        <v>0</v>
      </c>
    </row>
    <row r="678" spans="1:24" x14ac:dyDescent="0.25">
      <c r="A678" t="s">
        <v>5176</v>
      </c>
      <c r="B678" t="s">
        <v>8200</v>
      </c>
      <c r="C678" t="s">
        <v>8201</v>
      </c>
      <c r="D678" t="s">
        <v>30</v>
      </c>
      <c r="E678" t="s">
        <v>4913</v>
      </c>
      <c r="F678" t="s">
        <v>1340</v>
      </c>
      <c r="G678">
        <f>IF(K678="Pick-up","PICKUPS",IF(K678="Staff drop-off","STAFF_DROPOFF",IF(K678="Replacements","REPLACEMENT",IF(K678="Central Stores Dispatch","CENTRAL STORES DISPATCH",IFNA(IFNA(VLOOKUP(F678,'Raw Platform Nov 4-6 2025'!C:C,1,FALSE),VLOOKUP(F678,'Raw Platform Nov 4-6 2025'!D:D,1,FALSE)),IFNA(VLOOKUP(F678,'Glovo Raw Nov 4-6 2025'!B:B,1,FALSE),"Not Matched"))))))</f>
      </c>
      <c r="H678">
        <f>COUNTIF(F:F,F678)</f>
      </c>
      <c r="I678" t="s">
        <v>8226</v>
      </c>
      <c r="J678" t="s">
        <v>4915</v>
      </c>
      <c r="K678" t="s">
        <v>4927</v>
      </c>
      <c r="L678" t="s">
        <v>8227</v>
      </c>
      <c r="M678" t="s">
        <v>6791</v>
      </c>
      <c r="N678" t="s">
        <v>4973</v>
      </c>
      <c r="O678" t="s">
        <v>123</v>
      </c>
      <c r="P678" t="s">
        <v>5820</v>
      </c>
      <c r="Q678">
        <v>0</v>
      </c>
      <c r="R678" t="s">
        <v>4922</v>
      </c>
      <c r="S678" t="s">
        <v>29</v>
      </c>
      <c r="T678" t="s">
        <v>4923</v>
      </c>
      <c r="U678" t="s">
        <v>4924</v>
      </c>
      <c r="V678" t="s">
        <v>8228</v>
      </c>
      <c r="W678" t="s">
        <v>3667</v>
      </c>
      <c r="X678">
        <v>0</v>
      </c>
    </row>
    <row r="679" spans="1:24" x14ac:dyDescent="0.25">
      <c r="A679" t="s">
        <v>5176</v>
      </c>
      <c r="B679" t="s">
        <v>8200</v>
      </c>
      <c r="C679" t="s">
        <v>8201</v>
      </c>
      <c r="D679" t="s">
        <v>30</v>
      </c>
      <c r="E679" t="s">
        <v>4913</v>
      </c>
      <c r="F679" t="s">
        <v>759</v>
      </c>
      <c r="G679">
        <f>IF(K679="Pick-up","PICKUPS",IF(K679="Staff drop-off","STAFF_DROPOFF",IF(K679="Replacements","REPLACEMENT",IF(K679="Central Stores Dispatch","CENTRAL STORES DISPATCH",IFNA(IFNA(VLOOKUP(F679,'Raw Platform Nov 4-6 2025'!C:C,1,FALSE),VLOOKUP(F679,'Raw Platform Nov 4-6 2025'!D:D,1,FALSE)),IFNA(VLOOKUP(F679,'Glovo Raw Nov 4-6 2025'!B:B,1,FALSE),"Not Matched"))))))</f>
      </c>
      <c r="H679">
        <f>COUNTIF(F:F,F679)</f>
      </c>
      <c r="I679" t="s">
        <v>8229</v>
      </c>
      <c r="J679" t="s">
        <v>4915</v>
      </c>
      <c r="K679" t="s">
        <v>4927</v>
      </c>
      <c r="L679" t="s">
        <v>8230</v>
      </c>
      <c r="M679" t="s">
        <v>5327</v>
      </c>
      <c r="N679" t="s">
        <v>5270</v>
      </c>
      <c r="O679" t="s">
        <v>2009</v>
      </c>
      <c r="P679" t="s">
        <v>4920</v>
      </c>
      <c r="Q679">
        <v>0</v>
      </c>
      <c r="R679" t="s">
        <v>4922</v>
      </c>
      <c r="S679" t="s">
        <v>116</v>
      </c>
      <c r="T679" t="s">
        <v>4923</v>
      </c>
      <c r="U679" t="s">
        <v>4924</v>
      </c>
      <c r="V679" t="s">
        <v>8231</v>
      </c>
      <c r="W679" t="s">
        <v>3667</v>
      </c>
      <c r="X679">
        <v>0</v>
      </c>
    </row>
    <row r="680" spans="1:24" x14ac:dyDescent="0.25">
      <c r="A680" t="s">
        <v>5176</v>
      </c>
      <c r="B680" t="s">
        <v>8200</v>
      </c>
      <c r="C680" t="s">
        <v>8201</v>
      </c>
      <c r="D680" t="s">
        <v>30</v>
      </c>
      <c r="E680" t="s">
        <v>4913</v>
      </c>
      <c r="F680" t="s">
        <v>1248</v>
      </c>
      <c r="G680">
        <f>IF(K680="Pick-up","PICKUPS",IF(K680="Staff drop-off","STAFF_DROPOFF",IF(K680="Replacements","REPLACEMENT",IF(K680="Central Stores Dispatch","CENTRAL STORES DISPATCH",IFNA(IFNA(VLOOKUP(F680,'Raw Platform Nov 4-6 2025'!C:C,1,FALSE),VLOOKUP(F680,'Raw Platform Nov 4-6 2025'!D:D,1,FALSE)),IFNA(VLOOKUP(F680,'Glovo Raw Nov 4-6 2025'!B:B,1,FALSE),"Not Matched"))))))</f>
      </c>
      <c r="H680">
        <f>COUNTIF(F:F,F680)</f>
      </c>
      <c r="I680" t="s">
        <v>8232</v>
      </c>
      <c r="J680" t="s">
        <v>4915</v>
      </c>
      <c r="K680" t="s">
        <v>4927</v>
      </c>
      <c r="L680" t="s">
        <v>8233</v>
      </c>
      <c r="M680" t="s">
        <v>8234</v>
      </c>
      <c r="N680" t="s">
        <v>8235</v>
      </c>
      <c r="O680" t="s">
        <v>53</v>
      </c>
      <c r="P680" t="s">
        <v>5001</v>
      </c>
      <c r="Q680">
        <v>0</v>
      </c>
      <c r="R680" t="s">
        <v>4922</v>
      </c>
      <c r="S680" t="s">
        <v>172</v>
      </c>
      <c r="T680" t="s">
        <v>4923</v>
      </c>
      <c r="U680" t="s">
        <v>4924</v>
      </c>
      <c r="V680" t="s">
        <v>8236</v>
      </c>
      <c r="W680" t="s">
        <v>3667</v>
      </c>
      <c r="X680">
        <v>0</v>
      </c>
    </row>
    <row r="681" spans="1:24" x14ac:dyDescent="0.25">
      <c r="A681" t="s">
        <v>5176</v>
      </c>
      <c r="B681" t="s">
        <v>8200</v>
      </c>
      <c r="C681" t="s">
        <v>8201</v>
      </c>
      <c r="D681" t="s">
        <v>191</v>
      </c>
      <c r="E681" t="s">
        <v>4913</v>
      </c>
      <c r="F681" t="s">
        <v>1916</v>
      </c>
      <c r="G681">
        <f>IF(K681="Pick-up","PICKUPS",IF(K681="Staff drop-off","STAFF_DROPOFF",IF(K681="Replacements","REPLACEMENT",IF(K681="Central Stores Dispatch","CENTRAL STORES DISPATCH",IFNA(IFNA(VLOOKUP(F681,'Raw Platform Nov 4-6 2025'!C:C,1,FALSE),VLOOKUP(F681,'Raw Platform Nov 4-6 2025'!D:D,1,FALSE)),IFNA(VLOOKUP(F681,'Glovo Raw Nov 4-6 2025'!B:B,1,FALSE),"Not Matched"))))))</f>
      </c>
      <c r="H681">
        <f>COUNTIF(F:F,F681)</f>
      </c>
      <c r="I681" t="s">
        <v>8237</v>
      </c>
      <c r="J681" t="s">
        <v>63</v>
      </c>
      <c r="K681" t="s">
        <v>4916</v>
      </c>
      <c r="L681" t="s">
        <v>8238</v>
      </c>
      <c r="M681" t="s">
        <v>8239</v>
      </c>
      <c r="N681" t="s">
        <v>8240</v>
      </c>
      <c r="O681" t="s">
        <v>26</v>
      </c>
      <c r="P681" t="s">
        <v>4956</v>
      </c>
      <c r="Q681">
        <v>3018</v>
      </c>
      <c r="R681" t="s">
        <v>4922</v>
      </c>
      <c r="S681" t="s">
        <v>5184</v>
      </c>
      <c r="T681" t="s">
        <v>4923</v>
      </c>
      <c r="U681" t="s">
        <v>4924</v>
      </c>
      <c r="V681" t="s">
        <v>8241</v>
      </c>
      <c r="W681" t="s">
        <v>3667</v>
      </c>
      <c r="X681">
        <v>0</v>
      </c>
    </row>
    <row r="682" spans="1:24" x14ac:dyDescent="0.25">
      <c r="A682" t="s">
        <v>5176</v>
      </c>
      <c r="B682" t="s">
        <v>8200</v>
      </c>
      <c r="C682" t="s">
        <v>8201</v>
      </c>
      <c r="D682" t="s">
        <v>30</v>
      </c>
      <c r="E682" t="s">
        <v>4913</v>
      </c>
      <c r="F682" t="s">
        <v>1673</v>
      </c>
      <c r="G682">
        <f>IF(K682="Pick-up","PICKUPS",IF(K682="Staff drop-off","STAFF_DROPOFF",IF(K682="Replacements","REPLACEMENT",IF(K682="Central Stores Dispatch","CENTRAL STORES DISPATCH",IFNA(IFNA(VLOOKUP(F682,'Raw Platform Nov 4-6 2025'!C:C,1,FALSE),VLOOKUP(F682,'Raw Platform Nov 4-6 2025'!D:D,1,FALSE)),IFNA(VLOOKUP(F682,'Glovo Raw Nov 4-6 2025'!B:B,1,FALSE),"Not Matched"))))))</f>
      </c>
      <c r="H682">
        <f>COUNTIF(F:F,F682)</f>
      </c>
      <c r="I682" t="s">
        <v>8242</v>
      </c>
      <c r="J682" t="s">
        <v>4915</v>
      </c>
      <c r="K682" t="s">
        <v>4927</v>
      </c>
      <c r="L682" t="s">
        <v>6027</v>
      </c>
      <c r="M682" t="s">
        <v>5327</v>
      </c>
      <c r="N682" t="s">
        <v>6029</v>
      </c>
      <c r="O682" t="s">
        <v>47</v>
      </c>
      <c r="P682" t="s">
        <v>5045</v>
      </c>
      <c r="Q682">
        <v>0</v>
      </c>
      <c r="R682" t="s">
        <v>4922</v>
      </c>
      <c r="S682" t="s">
        <v>45</v>
      </c>
      <c r="T682" t="s">
        <v>4923</v>
      </c>
      <c r="U682" t="s">
        <v>4924</v>
      </c>
      <c r="V682" t="s">
        <v>8243</v>
      </c>
      <c r="W682" t="s">
        <v>3667</v>
      </c>
      <c r="X682">
        <v>0</v>
      </c>
    </row>
    <row r="683" spans="1:24" x14ac:dyDescent="0.25">
      <c r="A683" t="s">
        <v>5176</v>
      </c>
      <c r="B683" t="s">
        <v>8200</v>
      </c>
      <c r="C683" t="s">
        <v>8201</v>
      </c>
      <c r="D683" t="s">
        <v>30</v>
      </c>
      <c r="E683" t="s">
        <v>4913</v>
      </c>
      <c r="F683" t="s">
        <v>1520</v>
      </c>
      <c r="G683">
        <f>IF(K683="Pick-up","PICKUPS",IF(K683="Staff drop-off","STAFF_DROPOFF",IF(K683="Replacements","REPLACEMENT",IF(K683="Central Stores Dispatch","CENTRAL STORES DISPATCH",IFNA(IFNA(VLOOKUP(F683,'Raw Platform Nov 4-6 2025'!C:C,1,FALSE),VLOOKUP(F683,'Raw Platform Nov 4-6 2025'!D:D,1,FALSE)),IFNA(VLOOKUP(F683,'Glovo Raw Nov 4-6 2025'!B:B,1,FALSE),"Not Matched"))))))</f>
      </c>
      <c r="H683">
        <f>COUNTIF(F:F,F683)</f>
      </c>
      <c r="I683" t="s">
        <v>8244</v>
      </c>
      <c r="J683" t="s">
        <v>63</v>
      </c>
      <c r="K683" t="s">
        <v>4927</v>
      </c>
      <c r="L683" t="s">
        <v>8245</v>
      </c>
      <c r="M683" t="s">
        <v>8246</v>
      </c>
      <c r="N683" t="s">
        <v>8247</v>
      </c>
      <c r="O683" t="s">
        <v>73</v>
      </c>
      <c r="P683" t="s">
        <v>4956</v>
      </c>
      <c r="Q683">
        <v>0</v>
      </c>
      <c r="R683" t="s">
        <v>4922</v>
      </c>
      <c r="S683" t="s">
        <v>29</v>
      </c>
      <c r="T683" t="s">
        <v>4923</v>
      </c>
      <c r="U683" t="s">
        <v>4924</v>
      </c>
      <c r="V683" t="s">
        <v>8248</v>
      </c>
      <c r="W683" t="s">
        <v>3667</v>
      </c>
      <c r="X683">
        <v>0</v>
      </c>
    </row>
    <row r="684" spans="1:24" x14ac:dyDescent="0.25">
      <c r="A684" t="s">
        <v>5176</v>
      </c>
      <c r="B684" t="s">
        <v>8200</v>
      </c>
      <c r="C684" t="s">
        <v>8201</v>
      </c>
      <c r="D684" t="s">
        <v>191</v>
      </c>
      <c r="E684" t="s">
        <v>4913</v>
      </c>
      <c r="F684" t="s">
        <v>1909</v>
      </c>
      <c r="G684">
        <f>IF(K684="Pick-up","PICKUPS",IF(K684="Staff drop-off","STAFF_DROPOFF",IF(K684="Replacements","REPLACEMENT",IF(K684="Central Stores Dispatch","CENTRAL STORES DISPATCH",IFNA(IFNA(VLOOKUP(F684,'Raw Platform Nov 4-6 2025'!C:C,1,FALSE),VLOOKUP(F684,'Raw Platform Nov 4-6 2025'!D:D,1,FALSE)),IFNA(VLOOKUP(F684,'Glovo Raw Nov 4-6 2025'!B:B,1,FALSE),"Not Matched"))))))</f>
      </c>
      <c r="H684">
        <f>COUNTIF(F:F,F684)</f>
      </c>
      <c r="I684" t="s">
        <v>8249</v>
      </c>
      <c r="J684" t="s">
        <v>4915</v>
      </c>
      <c r="K684" t="s">
        <v>4927</v>
      </c>
      <c r="L684" t="s">
        <v>8250</v>
      </c>
      <c r="M684" t="s">
        <v>8251</v>
      </c>
      <c r="N684" t="s">
        <v>4973</v>
      </c>
      <c r="O684" t="s">
        <v>123</v>
      </c>
      <c r="P684" t="s">
        <v>5820</v>
      </c>
      <c r="Q684">
        <v>0</v>
      </c>
      <c r="R684" t="s">
        <v>4922</v>
      </c>
      <c r="S684" t="s">
        <v>5184</v>
      </c>
      <c r="T684" t="s">
        <v>4923</v>
      </c>
      <c r="U684" t="s">
        <v>4924</v>
      </c>
      <c r="V684" t="s">
        <v>8252</v>
      </c>
      <c r="W684" t="s">
        <v>3667</v>
      </c>
      <c r="X684">
        <v>0</v>
      </c>
    </row>
    <row r="685" spans="1:24" x14ac:dyDescent="0.25">
      <c r="A685" t="s">
        <v>5176</v>
      </c>
      <c r="B685" t="s">
        <v>8200</v>
      </c>
      <c r="C685" t="s">
        <v>8201</v>
      </c>
      <c r="D685" t="s">
        <v>30</v>
      </c>
      <c r="E685" t="s">
        <v>4913</v>
      </c>
      <c r="F685" t="s">
        <v>3196</v>
      </c>
      <c r="G685">
        <f>IF(K685="Pick-up","PICKUPS",IF(K685="Staff drop-off","STAFF_DROPOFF",IF(K685="Replacements","REPLACEMENT",IF(K685="Central Stores Dispatch","CENTRAL STORES DISPATCH",IFNA(IFNA(VLOOKUP(F685,'Raw Platform Nov 4-6 2025'!C:C,1,FALSE),VLOOKUP(F685,'Raw Platform Nov 4-6 2025'!D:D,1,FALSE)),IFNA(VLOOKUP(F685,'Glovo Raw Nov 4-6 2025'!B:B,1,FALSE),"Not Matched"))))))</f>
      </c>
      <c r="H685">
        <f>COUNTIF(F:F,F685)</f>
      </c>
      <c r="I685" t="s">
        <v>8253</v>
      </c>
      <c r="J685" t="s">
        <v>4915</v>
      </c>
      <c r="K685" t="s">
        <v>4927</v>
      </c>
      <c r="L685" t="s">
        <v>8254</v>
      </c>
      <c r="M685" t="s">
        <v>5327</v>
      </c>
      <c r="N685" t="s">
        <v>6304</v>
      </c>
      <c r="O685" t="s">
        <v>113</v>
      </c>
      <c r="P685" t="s">
        <v>6305</v>
      </c>
      <c r="Q685">
        <v>0</v>
      </c>
      <c r="R685" t="s">
        <v>4922</v>
      </c>
      <c r="S685" t="s">
        <v>12</v>
      </c>
      <c r="T685" t="s">
        <v>4923</v>
      </c>
      <c r="U685" t="s">
        <v>4924</v>
      </c>
      <c r="V685" t="s">
        <v>8255</v>
      </c>
      <c r="W685" t="s">
        <v>3667</v>
      </c>
      <c r="X685">
        <v>0</v>
      </c>
    </row>
    <row r="686" spans="1:24" x14ac:dyDescent="0.25">
      <c r="A686" t="s">
        <v>5176</v>
      </c>
      <c r="B686" t="s">
        <v>8200</v>
      </c>
      <c r="C686" t="s">
        <v>8201</v>
      </c>
      <c r="D686" t="s">
        <v>30</v>
      </c>
      <c r="E686" t="s">
        <v>4913</v>
      </c>
      <c r="F686" t="s">
        <v>3153</v>
      </c>
      <c r="G686">
        <f>IF(K686="Pick-up","PICKUPS",IF(K686="Staff drop-off","STAFF_DROPOFF",IF(K686="Replacements","REPLACEMENT",IF(K686="Central Stores Dispatch","CENTRAL STORES DISPATCH",IFNA(IFNA(VLOOKUP(F686,'Raw Platform Nov 4-6 2025'!C:C,1,FALSE),VLOOKUP(F686,'Raw Platform Nov 4-6 2025'!D:D,1,FALSE)),IFNA(VLOOKUP(F686,'Glovo Raw Nov 4-6 2025'!B:B,1,FALSE),"Not Matched"))))))</f>
      </c>
      <c r="H686">
        <f>COUNTIF(F:F,F686)</f>
      </c>
      <c r="I686" t="s">
        <v>8256</v>
      </c>
      <c r="J686" t="s">
        <v>63</v>
      </c>
      <c r="K686" t="s">
        <v>4927</v>
      </c>
      <c r="L686" t="s">
        <v>8257</v>
      </c>
      <c r="M686" t="s">
        <v>8258</v>
      </c>
      <c r="N686" t="s">
        <v>5829</v>
      </c>
      <c r="O686" t="s">
        <v>4956</v>
      </c>
      <c r="P686" t="s">
        <v>5219</v>
      </c>
      <c r="Q686">
        <v>0</v>
      </c>
      <c r="R686" t="s">
        <v>4922</v>
      </c>
      <c r="S686" t="s">
        <v>172</v>
      </c>
      <c r="T686" t="s">
        <v>4923</v>
      </c>
      <c r="U686" t="s">
        <v>4924</v>
      </c>
      <c r="V686" t="s">
        <v>8259</v>
      </c>
      <c r="W686" t="s">
        <v>3667</v>
      </c>
      <c r="X686">
        <v>0</v>
      </c>
    </row>
    <row r="687" spans="1:24" x14ac:dyDescent="0.25">
      <c r="A687" t="s">
        <v>5176</v>
      </c>
      <c r="B687" t="s">
        <v>8200</v>
      </c>
      <c r="C687" t="s">
        <v>8201</v>
      </c>
      <c r="D687" t="s">
        <v>191</v>
      </c>
      <c r="E687" t="s">
        <v>4913</v>
      </c>
      <c r="F687" t="s">
        <v>2506</v>
      </c>
      <c r="G687">
        <f>IF(K687="Pick-up","PICKUPS",IF(K687="Staff drop-off","STAFF_DROPOFF",IF(K687="Replacements","REPLACEMENT",IF(K687="Central Stores Dispatch","CENTRAL STORES DISPATCH",IFNA(IFNA(VLOOKUP(F687,'Raw Platform Nov 4-6 2025'!C:C,1,FALSE),VLOOKUP(F687,'Raw Platform Nov 4-6 2025'!D:D,1,FALSE)),IFNA(VLOOKUP(F687,'Glovo Raw Nov 4-6 2025'!B:B,1,FALSE),"Not Matched"))))))</f>
      </c>
      <c r="H687">
        <f>COUNTIF(F:F,F687)</f>
      </c>
      <c r="I687" t="s">
        <v>8260</v>
      </c>
      <c r="J687" t="s">
        <v>4915</v>
      </c>
      <c r="K687" t="s">
        <v>4916</v>
      </c>
      <c r="L687" t="s">
        <v>6867</v>
      </c>
      <c r="M687" t="s">
        <v>8261</v>
      </c>
      <c r="N687" t="s">
        <v>8262</v>
      </c>
      <c r="O687" t="s">
        <v>123</v>
      </c>
      <c r="P687" t="s">
        <v>4956</v>
      </c>
      <c r="Q687">
        <v>1148</v>
      </c>
      <c r="R687" t="s">
        <v>4922</v>
      </c>
      <c r="S687" t="s">
        <v>5184</v>
      </c>
      <c r="T687" t="s">
        <v>4923</v>
      </c>
      <c r="U687" t="s">
        <v>4924</v>
      </c>
      <c r="V687" t="s">
        <v>8263</v>
      </c>
      <c r="W687" t="s">
        <v>3667</v>
      </c>
      <c r="X687">
        <v>0</v>
      </c>
    </row>
    <row r="688" spans="1:24" x14ac:dyDescent="0.25">
      <c r="A688" t="s">
        <v>5176</v>
      </c>
      <c r="B688" t="s">
        <v>8200</v>
      </c>
      <c r="C688" t="s">
        <v>8201</v>
      </c>
      <c r="D688" t="s">
        <v>30</v>
      </c>
      <c r="E688" t="s">
        <v>4913</v>
      </c>
      <c r="F688" t="s">
        <v>2773</v>
      </c>
      <c r="G688">
        <f>IF(K688="Pick-up","PICKUPS",IF(K688="Staff drop-off","STAFF_DROPOFF",IF(K688="Replacements","REPLACEMENT",IF(K688="Central Stores Dispatch","CENTRAL STORES DISPATCH",IFNA(IFNA(VLOOKUP(F688,'Raw Platform Nov 4-6 2025'!C:C,1,FALSE),VLOOKUP(F688,'Raw Platform Nov 4-6 2025'!D:D,1,FALSE)),IFNA(VLOOKUP(F688,'Glovo Raw Nov 4-6 2025'!B:B,1,FALSE),"Not Matched"))))))</f>
      </c>
      <c r="H688">
        <f>COUNTIF(F:F,F688)</f>
      </c>
      <c r="I688" t="s">
        <v>8264</v>
      </c>
      <c r="J688" t="s">
        <v>4915</v>
      </c>
      <c r="K688" t="s">
        <v>4927</v>
      </c>
      <c r="L688" t="s">
        <v>8265</v>
      </c>
      <c r="M688" t="s">
        <v>5327</v>
      </c>
      <c r="N688" t="s">
        <v>8266</v>
      </c>
      <c r="O688" t="s">
        <v>73</v>
      </c>
      <c r="P688" t="s">
        <v>4956</v>
      </c>
      <c r="Q688">
        <v>0</v>
      </c>
      <c r="R688" t="s">
        <v>4922</v>
      </c>
      <c r="S688" t="s">
        <v>12</v>
      </c>
      <c r="T688" t="s">
        <v>4923</v>
      </c>
      <c r="U688" t="s">
        <v>4924</v>
      </c>
      <c r="V688" t="s">
        <v>8267</v>
      </c>
      <c r="W688" t="s">
        <v>3667</v>
      </c>
      <c r="X688">
        <v>0</v>
      </c>
    </row>
    <row r="689" spans="1:24" x14ac:dyDescent="0.25">
      <c r="A689" t="s">
        <v>5176</v>
      </c>
      <c r="B689" t="s">
        <v>8268</v>
      </c>
      <c r="C689" t="s">
        <v>8269</v>
      </c>
      <c r="D689" t="s">
        <v>30</v>
      </c>
      <c r="E689" t="s">
        <v>4913</v>
      </c>
      <c r="F689" t="s">
        <v>129</v>
      </c>
      <c r="G689">
        <f>IF(K689="Pick-up","PICKUPS",IF(K689="Staff drop-off","STAFF_DROPOFF",IF(K689="Replacements","REPLACEMENT",IF(K689="Central Stores Dispatch","CENTRAL STORES DISPATCH",IFNA(IFNA(VLOOKUP(F689,'Raw Platform Nov 4-6 2025'!C:C,1,FALSE),VLOOKUP(F689,'Raw Platform Nov 4-6 2025'!D:D,1,FALSE)),IFNA(VLOOKUP(F689,'Glovo Raw Nov 4-6 2025'!B:B,1,FALSE),"Not Matched"))))))</f>
      </c>
      <c r="H689">
        <f>COUNTIF(F:F,F689)</f>
      </c>
      <c r="I689" t="s">
        <v>8270</v>
      </c>
      <c r="J689" t="s">
        <v>5028</v>
      </c>
      <c r="K689" t="s">
        <v>4916</v>
      </c>
      <c r="L689" t="s">
        <v>8271</v>
      </c>
      <c r="M689" t="s">
        <v>8272</v>
      </c>
      <c r="N689" t="s">
        <v>8273</v>
      </c>
      <c r="O689" t="s">
        <v>9</v>
      </c>
      <c r="P689" t="s">
        <v>7100</v>
      </c>
      <c r="Q689">
        <v>1680</v>
      </c>
      <c r="R689" t="s">
        <v>5118</v>
      </c>
      <c r="S689" t="s">
        <v>12</v>
      </c>
      <c r="T689" t="s">
        <v>4923</v>
      </c>
      <c r="U689" t="s">
        <v>4924</v>
      </c>
      <c r="V689" t="s">
        <v>8274</v>
      </c>
      <c r="W689" t="s">
        <v>3667</v>
      </c>
      <c r="X689">
        <v>166.7</v>
      </c>
    </row>
    <row r="690" spans="1:24" x14ac:dyDescent="0.25">
      <c r="A690" t="s">
        <v>5176</v>
      </c>
      <c r="B690" t="s">
        <v>8268</v>
      </c>
      <c r="C690" t="s">
        <v>8269</v>
      </c>
      <c r="D690" t="s">
        <v>30</v>
      </c>
      <c r="E690" t="s">
        <v>4913</v>
      </c>
      <c r="F690" t="s">
        <v>1171</v>
      </c>
      <c r="G690">
        <f>IF(K690="Pick-up","PICKUPS",IF(K690="Staff drop-off","STAFF_DROPOFF",IF(K690="Replacements","REPLACEMENT",IF(K690="Central Stores Dispatch","CENTRAL STORES DISPATCH",IFNA(IFNA(VLOOKUP(F690,'Raw Platform Nov 4-6 2025'!C:C,1,FALSE),VLOOKUP(F690,'Raw Platform Nov 4-6 2025'!D:D,1,FALSE)),IFNA(VLOOKUP(F690,'Glovo Raw Nov 4-6 2025'!B:B,1,FALSE),"Not Matched"))))))</f>
      </c>
      <c r="H690">
        <f>COUNTIF(F:F,F690)</f>
      </c>
      <c r="I690" t="s">
        <v>8275</v>
      </c>
      <c r="J690" t="s">
        <v>4915</v>
      </c>
      <c r="K690" t="s">
        <v>4927</v>
      </c>
      <c r="L690" t="s">
        <v>8276</v>
      </c>
      <c r="M690" t="s">
        <v>5327</v>
      </c>
      <c r="N690" t="s">
        <v>8277</v>
      </c>
      <c r="O690" t="s">
        <v>6086</v>
      </c>
      <c r="P690" t="s">
        <v>6069</v>
      </c>
      <c r="Q690">
        <v>0</v>
      </c>
      <c r="R690" t="s">
        <v>5118</v>
      </c>
      <c r="S690" t="s">
        <v>12</v>
      </c>
      <c r="T690" t="s">
        <v>4923</v>
      </c>
      <c r="U690" t="s">
        <v>4924</v>
      </c>
      <c r="V690" t="s">
        <v>8278</v>
      </c>
      <c r="W690" t="s">
        <v>3667</v>
      </c>
      <c r="X690">
        <v>385.2</v>
      </c>
    </row>
    <row r="691" spans="1:24" x14ac:dyDescent="0.25">
      <c r="A691" t="s">
        <v>5130</v>
      </c>
      <c r="B691" t="s">
        <v>8268</v>
      </c>
      <c r="C691" t="s">
        <v>8269</v>
      </c>
      <c r="D691" t="s">
        <v>24</v>
      </c>
      <c r="E691" t="s">
        <v>4913</v>
      </c>
      <c r="F691" t="s">
        <v>1198</v>
      </c>
      <c r="G691">
        <f>IF(K691="Pick-up","PICKUPS",IF(K691="Staff drop-off","STAFF_DROPOFF",IF(K691="Replacements","REPLACEMENT",IF(K691="Central Stores Dispatch","CENTRAL STORES DISPATCH",IFNA(IFNA(VLOOKUP(F691,'Raw Platform Nov 4-6 2025'!C:C,1,FALSE),VLOOKUP(F691,'Raw Platform Nov 4-6 2025'!D:D,1,FALSE)),IFNA(VLOOKUP(F691,'Glovo Raw Nov 4-6 2025'!B:B,1,FALSE),"Not Matched"))))))</f>
      </c>
      <c r="H691">
        <f>COUNTIF(F:F,F691)</f>
      </c>
      <c r="I691" t="s">
        <v>8279</v>
      </c>
      <c r="J691" t="s">
        <v>63</v>
      </c>
      <c r="K691" t="s">
        <v>4927</v>
      </c>
      <c r="L691" t="s">
        <v>8280</v>
      </c>
      <c r="M691" t="s">
        <v>8281</v>
      </c>
      <c r="N691" t="s">
        <v>8282</v>
      </c>
      <c r="O691" t="s">
        <v>9</v>
      </c>
      <c r="P691" t="s">
        <v>5482</v>
      </c>
      <c r="Q691">
        <v>0</v>
      </c>
      <c r="R691" t="s">
        <v>5118</v>
      </c>
      <c r="S691" t="s">
        <v>5136</v>
      </c>
      <c r="T691" t="s">
        <v>4923</v>
      </c>
      <c r="U691" t="s">
        <v>4924</v>
      </c>
      <c r="V691" t="s">
        <v>8283</v>
      </c>
      <c r="W691" t="s">
        <v>3667</v>
      </c>
      <c r="X691">
        <v>187.4</v>
      </c>
    </row>
    <row r="692" spans="1:24" x14ac:dyDescent="0.25">
      <c r="A692" t="s">
        <v>5231</v>
      </c>
      <c r="B692" t="s">
        <v>8268</v>
      </c>
      <c r="C692" t="s">
        <v>8269</v>
      </c>
      <c r="D692" t="s">
        <v>191</v>
      </c>
      <c r="E692" t="s">
        <v>4913</v>
      </c>
      <c r="F692" t="s">
        <v>274</v>
      </c>
      <c r="G692">
        <f>IF(K692="Pick-up","PICKUPS",IF(K692="Staff drop-off","STAFF_DROPOFF",IF(K692="Replacements","REPLACEMENT",IF(K692="Central Stores Dispatch","CENTRAL STORES DISPATCH",IFNA(IFNA(VLOOKUP(F692,'Raw Platform Nov 4-6 2025'!C:C,1,FALSE),VLOOKUP(F692,'Raw Platform Nov 4-6 2025'!D:D,1,FALSE)),IFNA(VLOOKUP(F692,'Glovo Raw Nov 4-6 2025'!B:B,1,FALSE),"Not Matched"))))))</f>
      </c>
      <c r="H692">
        <f>COUNTIF(F:F,F692)</f>
      </c>
      <c r="I692" t="s">
        <v>8284</v>
      </c>
      <c r="J692" t="s">
        <v>4915</v>
      </c>
      <c r="K692" t="s">
        <v>4927</v>
      </c>
      <c r="L692" t="s">
        <v>8285</v>
      </c>
      <c r="M692" t="s">
        <v>5234</v>
      </c>
      <c r="N692" t="s">
        <v>8286</v>
      </c>
      <c r="O692" t="s">
        <v>26</v>
      </c>
      <c r="P692" t="s">
        <v>5271</v>
      </c>
      <c r="Q692">
        <v>0</v>
      </c>
      <c r="R692" t="s">
        <v>5118</v>
      </c>
      <c r="S692" t="s">
        <v>276</v>
      </c>
      <c r="T692" t="s">
        <v>4924</v>
      </c>
      <c r="U692" t="s">
        <v>4924</v>
      </c>
      <c r="V692" t="s">
        <v>8287</v>
      </c>
      <c r="W692" t="s">
        <v>3667</v>
      </c>
      <c r="X692">
        <v>491.07</v>
      </c>
    </row>
    <row r="693" spans="1:24" x14ac:dyDescent="0.25">
      <c r="A693" t="s">
        <v>5231</v>
      </c>
      <c r="B693" t="s">
        <v>8268</v>
      </c>
      <c r="C693" t="s">
        <v>8269</v>
      </c>
      <c r="D693" t="s">
        <v>191</v>
      </c>
      <c r="E693" t="s">
        <v>4913</v>
      </c>
      <c r="F693" t="s">
        <v>8288</v>
      </c>
      <c r="G693">
        <f>IF(K693="Pick-up","PICKUPS",IF(K693="Staff drop-off","STAFF_DROPOFF",IF(K693="Replacements","REPLACEMENT",IF(K693="Central Stores Dispatch","CENTRAL STORES DISPATCH",IFNA(IFNA(VLOOKUP(F693,'Raw Platform Nov 4-6 2025'!C:C,1,FALSE),VLOOKUP(F693,'Raw Platform Nov 4-6 2025'!D:D,1,FALSE)),IFNA(VLOOKUP(F693,'Glovo Raw Nov 4-6 2025'!B:B,1,FALSE),"Not Matched"))))))</f>
      </c>
      <c r="H693">
        <f>COUNTIF(F:F,F693)</f>
      </c>
      <c r="I693" t="s">
        <v>8284</v>
      </c>
      <c r="J693" t="s">
        <v>5289</v>
      </c>
      <c r="K693" t="s">
        <v>4927</v>
      </c>
      <c r="L693" t="s">
        <v>8285</v>
      </c>
      <c r="M693" t="s">
        <v>5234</v>
      </c>
      <c r="N693" t="s">
        <v>8289</v>
      </c>
      <c r="O693" t="s">
        <v>100</v>
      </c>
      <c r="P693" t="s">
        <v>47</v>
      </c>
      <c r="Q693">
        <v>0</v>
      </c>
      <c r="R693" t="s">
        <v>5118</v>
      </c>
      <c r="S693" t="s">
        <v>5293</v>
      </c>
      <c r="T693" t="s">
        <v>4924</v>
      </c>
      <c r="U693" t="s">
        <v>4924</v>
      </c>
      <c r="V693" t="s">
        <v>8287</v>
      </c>
      <c r="W693" t="s">
        <v>3667</v>
      </c>
      <c r="X693">
        <v>491.07</v>
      </c>
    </row>
    <row r="694" spans="1:24" x14ac:dyDescent="0.25">
      <c r="A694" t="s">
        <v>5231</v>
      </c>
      <c r="B694" t="s">
        <v>8268</v>
      </c>
      <c r="C694" t="s">
        <v>8269</v>
      </c>
      <c r="D694" t="s">
        <v>191</v>
      </c>
      <c r="E694" t="s">
        <v>4913</v>
      </c>
      <c r="F694" t="s">
        <v>559</v>
      </c>
      <c r="G694">
        <f>IF(K694="Pick-up","PICKUPS",IF(K694="Staff drop-off","STAFF_DROPOFF",IF(K694="Replacements","REPLACEMENT",IF(K694="Central Stores Dispatch","CENTRAL STORES DISPATCH",IFNA(IFNA(VLOOKUP(F694,'Raw Platform Nov 4-6 2025'!C:C,1,FALSE),VLOOKUP(F694,'Raw Platform Nov 4-6 2025'!D:D,1,FALSE)),IFNA(VLOOKUP(F694,'Glovo Raw Nov 4-6 2025'!B:B,1,FALSE),"Not Matched"))))))</f>
      </c>
      <c r="H694">
        <f>COUNTIF(F:F,F694)</f>
      </c>
      <c r="I694" t="s">
        <v>8290</v>
      </c>
      <c r="J694" t="s">
        <v>4915</v>
      </c>
      <c r="K694" t="s">
        <v>4927</v>
      </c>
      <c r="L694" t="s">
        <v>8291</v>
      </c>
      <c r="M694" t="s">
        <v>5234</v>
      </c>
      <c r="N694" t="s">
        <v>5006</v>
      </c>
      <c r="O694" t="s">
        <v>4956</v>
      </c>
      <c r="P694" t="s">
        <v>5013</v>
      </c>
      <c r="Q694">
        <v>0</v>
      </c>
      <c r="R694" t="s">
        <v>5118</v>
      </c>
      <c r="S694" t="s">
        <v>5184</v>
      </c>
      <c r="T694" t="s">
        <v>4923</v>
      </c>
      <c r="U694" t="s">
        <v>4924</v>
      </c>
      <c r="V694" t="s">
        <v>8292</v>
      </c>
      <c r="W694" t="s">
        <v>3667</v>
      </c>
      <c r="X694">
        <v>100</v>
      </c>
    </row>
    <row r="695" spans="1:24" x14ac:dyDescent="0.25">
      <c r="A695" t="s">
        <v>5231</v>
      </c>
      <c r="B695" t="s">
        <v>8268</v>
      </c>
      <c r="C695" t="s">
        <v>8269</v>
      </c>
      <c r="D695" t="s">
        <v>191</v>
      </c>
      <c r="E695" t="s">
        <v>4913</v>
      </c>
      <c r="F695" t="s">
        <v>465</v>
      </c>
      <c r="G695">
        <f>IF(K695="Pick-up","PICKUPS",IF(K695="Staff drop-off","STAFF_DROPOFF",IF(K695="Replacements","REPLACEMENT",IF(K695="Central Stores Dispatch","CENTRAL STORES DISPATCH",IFNA(IFNA(VLOOKUP(F695,'Raw Platform Nov 4-6 2025'!C:C,1,FALSE),VLOOKUP(F695,'Raw Platform Nov 4-6 2025'!D:D,1,FALSE)),IFNA(VLOOKUP(F695,'Glovo Raw Nov 4-6 2025'!B:B,1,FALSE),"Not Matched"))))))</f>
      </c>
      <c r="H695">
        <f>COUNTIF(F:F,F695)</f>
      </c>
      <c r="I695" t="s">
        <v>8293</v>
      </c>
      <c r="J695" t="s">
        <v>4915</v>
      </c>
      <c r="K695" t="s">
        <v>4916</v>
      </c>
      <c r="L695" t="s">
        <v>8294</v>
      </c>
      <c r="M695" t="s">
        <v>8295</v>
      </c>
      <c r="N695" t="s">
        <v>8296</v>
      </c>
      <c r="O695" t="s">
        <v>26</v>
      </c>
      <c r="P695" t="s">
        <v>4962</v>
      </c>
      <c r="Q695">
        <v>2445</v>
      </c>
      <c r="R695" t="s">
        <v>5118</v>
      </c>
      <c r="S695" t="s">
        <v>467</v>
      </c>
      <c r="T695" t="s">
        <v>4923</v>
      </c>
      <c r="U695" t="s">
        <v>4924</v>
      </c>
      <c r="V695" t="s">
        <v>8297</v>
      </c>
      <c r="W695" t="s">
        <v>3667</v>
      </c>
      <c r="X695">
        <v>180.5</v>
      </c>
    </row>
    <row r="696" spans="1:24" x14ac:dyDescent="0.25">
      <c r="A696" t="s">
        <v>5231</v>
      </c>
      <c r="B696" t="s">
        <v>8268</v>
      </c>
      <c r="C696" t="s">
        <v>8269</v>
      </c>
      <c r="D696" t="s">
        <v>191</v>
      </c>
      <c r="E696" t="s">
        <v>4913</v>
      </c>
      <c r="F696" t="s">
        <v>147</v>
      </c>
      <c r="G696">
        <f>IF(K696="Pick-up","PICKUPS",IF(K696="Staff drop-off","STAFF_DROPOFF",IF(K696="Replacements","REPLACEMENT",IF(K696="Central Stores Dispatch","CENTRAL STORES DISPATCH",IFNA(IFNA(VLOOKUP(F696,'Raw Platform Nov 4-6 2025'!C:C,1,FALSE),VLOOKUP(F696,'Raw Platform Nov 4-6 2025'!D:D,1,FALSE)),IFNA(VLOOKUP(F696,'Glovo Raw Nov 4-6 2025'!B:B,1,FALSE),"Not Matched"))))))</f>
      </c>
      <c r="H696">
        <f>COUNTIF(F:F,F696)</f>
      </c>
      <c r="I696" t="s">
        <v>8298</v>
      </c>
      <c r="J696" t="s">
        <v>4915</v>
      </c>
      <c r="K696" t="s">
        <v>4927</v>
      </c>
      <c r="L696" t="s">
        <v>8299</v>
      </c>
      <c r="M696" t="s">
        <v>8300</v>
      </c>
      <c r="N696" t="s">
        <v>6591</v>
      </c>
      <c r="O696" t="s">
        <v>42</v>
      </c>
      <c r="P696" t="s">
        <v>6220</v>
      </c>
      <c r="Q696">
        <v>0</v>
      </c>
      <c r="R696" t="s">
        <v>5118</v>
      </c>
      <c r="S696" t="s">
        <v>5699</v>
      </c>
      <c r="T696" t="s">
        <v>4923</v>
      </c>
      <c r="U696" t="s">
        <v>4924</v>
      </c>
      <c r="V696" t="s">
        <v>8301</v>
      </c>
      <c r="W696" t="s">
        <v>3667</v>
      </c>
      <c r="X696">
        <v>265.6</v>
      </c>
    </row>
    <row r="697" spans="1:24" x14ac:dyDescent="0.25">
      <c r="A697" t="s">
        <v>5130</v>
      </c>
      <c r="B697" t="s">
        <v>8268</v>
      </c>
      <c r="C697" t="s">
        <v>8269</v>
      </c>
      <c r="D697" t="s">
        <v>24</v>
      </c>
      <c r="E697" t="s">
        <v>4913</v>
      </c>
      <c r="F697" t="s">
        <v>1040</v>
      </c>
      <c r="G697">
        <f>IF(K697="Pick-up","PICKUPS",IF(K697="Staff drop-off","STAFF_DROPOFF",IF(K697="Replacements","REPLACEMENT",IF(K697="Central Stores Dispatch","CENTRAL STORES DISPATCH",IFNA(IFNA(VLOOKUP(F697,'Raw Platform Nov 4-6 2025'!C:C,1,FALSE),VLOOKUP(F697,'Raw Platform Nov 4-6 2025'!D:D,1,FALSE)),IFNA(VLOOKUP(F697,'Glovo Raw Nov 4-6 2025'!B:B,1,FALSE),"Not Matched"))))))</f>
      </c>
      <c r="H697">
        <f>COUNTIF(F:F,F697)</f>
      </c>
      <c r="I697" t="s">
        <v>8302</v>
      </c>
      <c r="J697" t="s">
        <v>63</v>
      </c>
      <c r="K697" t="s">
        <v>4916</v>
      </c>
      <c r="L697" t="s">
        <v>7184</v>
      </c>
      <c r="M697" t="s">
        <v>8303</v>
      </c>
      <c r="N697" t="s">
        <v>8304</v>
      </c>
      <c r="O697" t="s">
        <v>6329</v>
      </c>
      <c r="P697" t="s">
        <v>6330</v>
      </c>
      <c r="Q697">
        <v>1209</v>
      </c>
      <c r="R697" t="s">
        <v>5118</v>
      </c>
      <c r="S697" t="s">
        <v>5136</v>
      </c>
      <c r="T697" t="s">
        <v>4923</v>
      </c>
      <c r="U697" t="s">
        <v>4924</v>
      </c>
      <c r="V697" t="s">
        <v>8305</v>
      </c>
      <c r="W697" t="s">
        <v>3667</v>
      </c>
      <c r="X697">
        <v>366.8</v>
      </c>
    </row>
    <row r="698" spans="1:24" x14ac:dyDescent="0.25">
      <c r="A698" t="s">
        <v>5130</v>
      </c>
      <c r="B698" t="s">
        <v>8268</v>
      </c>
      <c r="C698" t="s">
        <v>8269</v>
      </c>
      <c r="D698" t="s">
        <v>24</v>
      </c>
      <c r="E698" t="s">
        <v>4913</v>
      </c>
      <c r="F698" t="s">
        <v>1865</v>
      </c>
      <c r="G698">
        <f>IF(K698="Pick-up","PICKUPS",IF(K698="Staff drop-off","STAFF_DROPOFF",IF(K698="Replacements","REPLACEMENT",IF(K698="Central Stores Dispatch","CENTRAL STORES DISPATCH",IFNA(IFNA(VLOOKUP(F698,'Raw Platform Nov 4-6 2025'!C:C,1,FALSE),VLOOKUP(F698,'Raw Platform Nov 4-6 2025'!D:D,1,FALSE)),IFNA(VLOOKUP(F698,'Glovo Raw Nov 4-6 2025'!B:B,1,FALSE),"Not Matched"))))))</f>
      </c>
      <c r="H698">
        <f>COUNTIF(F:F,F698)</f>
      </c>
      <c r="I698" t="s">
        <v>8306</v>
      </c>
      <c r="J698" t="s">
        <v>4915</v>
      </c>
      <c r="K698" t="s">
        <v>4916</v>
      </c>
      <c r="L698" t="s">
        <v>8307</v>
      </c>
      <c r="M698" t="s">
        <v>5217</v>
      </c>
      <c r="N698" t="s">
        <v>8308</v>
      </c>
      <c r="O698" t="s">
        <v>42</v>
      </c>
      <c r="P698" t="s">
        <v>7740</v>
      </c>
      <c r="Q698">
        <v>2512</v>
      </c>
      <c r="R698" t="s">
        <v>5118</v>
      </c>
      <c r="S698" t="s">
        <v>116</v>
      </c>
      <c r="T698" t="s">
        <v>4923</v>
      </c>
      <c r="U698" t="s">
        <v>4924</v>
      </c>
      <c r="V698" t="s">
        <v>8309</v>
      </c>
      <c r="W698" t="s">
        <v>3667</v>
      </c>
      <c r="X698">
        <v>256.4</v>
      </c>
    </row>
    <row r="699" spans="1:24" x14ac:dyDescent="0.25">
      <c r="A699" t="s">
        <v>5130</v>
      </c>
      <c r="B699" t="s">
        <v>8268</v>
      </c>
      <c r="C699" t="s">
        <v>8269</v>
      </c>
      <c r="D699" t="s">
        <v>24</v>
      </c>
      <c r="E699" t="s">
        <v>4913</v>
      </c>
      <c r="F699" t="s">
        <v>1725</v>
      </c>
      <c r="G699">
        <f>IF(K699="Pick-up","PICKUPS",IF(K699="Staff drop-off","STAFF_DROPOFF",IF(K699="Replacements","REPLACEMENT",IF(K699="Central Stores Dispatch","CENTRAL STORES DISPATCH",IFNA(IFNA(VLOOKUP(F699,'Raw Platform Nov 4-6 2025'!C:C,1,FALSE),VLOOKUP(F699,'Raw Platform Nov 4-6 2025'!D:D,1,FALSE)),IFNA(VLOOKUP(F699,'Glovo Raw Nov 4-6 2025'!B:B,1,FALSE),"Not Matched"))))))</f>
      </c>
      <c r="H699">
        <f>COUNTIF(F:F,F699)</f>
      </c>
      <c r="I699" t="s">
        <v>8310</v>
      </c>
      <c r="J699" t="s">
        <v>4915</v>
      </c>
      <c r="K699" t="s">
        <v>4927</v>
      </c>
      <c r="L699" t="s">
        <v>8311</v>
      </c>
      <c r="M699" t="s">
        <v>5217</v>
      </c>
      <c r="N699" t="s">
        <v>5055</v>
      </c>
      <c r="O699" t="s">
        <v>4949</v>
      </c>
      <c r="P699" t="s">
        <v>5013</v>
      </c>
      <c r="Q699">
        <v>0</v>
      </c>
      <c r="R699" t="s">
        <v>5118</v>
      </c>
      <c r="S699" t="s">
        <v>116</v>
      </c>
      <c r="T699" t="s">
        <v>4923</v>
      </c>
      <c r="U699" t="s">
        <v>4924</v>
      </c>
      <c r="V699" t="s">
        <v>8312</v>
      </c>
      <c r="W699" t="s">
        <v>3667</v>
      </c>
      <c r="X699">
        <v>100</v>
      </c>
    </row>
    <row r="700" spans="1:24" x14ac:dyDescent="0.25">
      <c r="A700" t="s">
        <v>5130</v>
      </c>
      <c r="B700" t="s">
        <v>8268</v>
      </c>
      <c r="C700" t="s">
        <v>8269</v>
      </c>
      <c r="D700" t="s">
        <v>24</v>
      </c>
      <c r="E700" t="s">
        <v>4913</v>
      </c>
      <c r="F700" t="s">
        <v>1548</v>
      </c>
      <c r="G700">
        <f>IF(K700="Pick-up","PICKUPS",IF(K700="Staff drop-off","STAFF_DROPOFF",IF(K700="Replacements","REPLACEMENT",IF(K700="Central Stores Dispatch","CENTRAL STORES DISPATCH",IFNA(IFNA(VLOOKUP(F700,'Raw Platform Nov 4-6 2025'!C:C,1,FALSE),VLOOKUP(F700,'Raw Platform Nov 4-6 2025'!D:D,1,FALSE)),IFNA(VLOOKUP(F700,'Glovo Raw Nov 4-6 2025'!B:B,1,FALSE),"Not Matched"))))))</f>
      </c>
      <c r="H700">
        <f>COUNTIF(F:F,F700)</f>
      </c>
      <c r="I700" t="s">
        <v>8313</v>
      </c>
      <c r="J700" t="s">
        <v>63</v>
      </c>
      <c r="K700" t="s">
        <v>4927</v>
      </c>
      <c r="L700" t="s">
        <v>8314</v>
      </c>
      <c r="M700" t="s">
        <v>8315</v>
      </c>
      <c r="N700" t="s">
        <v>8316</v>
      </c>
      <c r="O700" t="s">
        <v>113</v>
      </c>
      <c r="P700" t="s">
        <v>7620</v>
      </c>
      <c r="Q700">
        <v>0</v>
      </c>
      <c r="R700" t="s">
        <v>5118</v>
      </c>
      <c r="S700" t="s">
        <v>35</v>
      </c>
      <c r="T700" t="s">
        <v>4923</v>
      </c>
      <c r="U700" t="s">
        <v>4924</v>
      </c>
      <c r="V700" t="s">
        <v>8317</v>
      </c>
      <c r="W700" t="s">
        <v>3667</v>
      </c>
      <c r="X700">
        <v>212.7</v>
      </c>
    </row>
    <row r="701" spans="1:24" x14ac:dyDescent="0.25">
      <c r="A701" t="s">
        <v>5130</v>
      </c>
      <c r="B701" t="s">
        <v>8268</v>
      </c>
      <c r="C701" t="s">
        <v>8269</v>
      </c>
      <c r="D701" t="s">
        <v>24</v>
      </c>
      <c r="E701" t="s">
        <v>4913</v>
      </c>
      <c r="F701" t="s">
        <v>2219</v>
      </c>
      <c r="G701">
        <f>IF(K701="Pick-up","PICKUPS",IF(K701="Staff drop-off","STAFF_DROPOFF",IF(K701="Replacements","REPLACEMENT",IF(K701="Central Stores Dispatch","CENTRAL STORES DISPATCH",IFNA(IFNA(VLOOKUP(F701,'Raw Platform Nov 4-6 2025'!C:C,1,FALSE),VLOOKUP(F701,'Raw Platform Nov 4-6 2025'!D:D,1,FALSE)),IFNA(VLOOKUP(F701,'Glovo Raw Nov 4-6 2025'!B:B,1,FALSE),"Not Matched"))))))</f>
      </c>
      <c r="H701">
        <f>COUNTIF(F:F,F701)</f>
      </c>
      <c r="I701" t="s">
        <v>8318</v>
      </c>
      <c r="J701" t="s">
        <v>5341</v>
      </c>
      <c r="K701" t="s">
        <v>4916</v>
      </c>
      <c r="L701" t="s">
        <v>8319</v>
      </c>
      <c r="M701" t="s">
        <v>8320</v>
      </c>
      <c r="N701" t="s">
        <v>8321</v>
      </c>
      <c r="O701" t="s">
        <v>77</v>
      </c>
      <c r="P701" t="s">
        <v>4974</v>
      </c>
      <c r="Q701">
        <v>1420</v>
      </c>
      <c r="R701" t="s">
        <v>5118</v>
      </c>
      <c r="S701" t="s">
        <v>5136</v>
      </c>
      <c r="T701" t="s">
        <v>4923</v>
      </c>
      <c r="U701" t="s">
        <v>4924</v>
      </c>
      <c r="V701" t="s">
        <v>8322</v>
      </c>
      <c r="W701" t="s">
        <v>3667</v>
      </c>
      <c r="X701">
        <v>178.2</v>
      </c>
    </row>
    <row r="702" spans="1:24" x14ac:dyDescent="0.25">
      <c r="A702" t="s">
        <v>6063</v>
      </c>
      <c r="B702" t="s">
        <v>8268</v>
      </c>
      <c r="C702" t="s">
        <v>8269</v>
      </c>
      <c r="D702" t="s">
        <v>19</v>
      </c>
      <c r="E702" t="s">
        <v>4913</v>
      </c>
      <c r="F702" t="s">
        <v>8323</v>
      </c>
      <c r="G702">
        <f>IF(K702="Pick-up","PICKUPS",IF(K702="Staff drop-off","STAFF_DROPOFF",IF(K702="Replacements","REPLACEMENT",IF(K702="Central Stores Dispatch","CENTRAL STORES DISPATCH",IFNA(IFNA(VLOOKUP(F702,'Raw Platform Nov 4-6 2025'!C:C,1,FALSE),VLOOKUP(F702,'Raw Platform Nov 4-6 2025'!D:D,1,FALSE)),IFNA(VLOOKUP(F702,'Glovo Raw Nov 4-6 2025'!B:B,1,FALSE),"Not Matched"))))))</f>
      </c>
      <c r="H702">
        <f>COUNTIF(F:F,F702)</f>
      </c>
      <c r="I702" t="s">
        <v>8324</v>
      </c>
      <c r="J702" t="s">
        <v>4915</v>
      </c>
      <c r="K702" t="s">
        <v>4927</v>
      </c>
      <c r="L702" t="s">
        <v>5532</v>
      </c>
      <c r="M702" t="s">
        <v>6120</v>
      </c>
      <c r="N702" t="s">
        <v>8325</v>
      </c>
      <c r="O702" t="s">
        <v>8055</v>
      </c>
      <c r="P702" t="s">
        <v>8326</v>
      </c>
      <c r="Q702">
        <v>0</v>
      </c>
      <c r="R702" t="s">
        <v>5118</v>
      </c>
      <c r="S702" t="s">
        <v>116</v>
      </c>
      <c r="T702" t="s">
        <v>4923</v>
      </c>
      <c r="U702" t="s">
        <v>4924</v>
      </c>
      <c r="V702" t="s">
        <v>8327</v>
      </c>
      <c r="W702" t="s">
        <v>3667</v>
      </c>
      <c r="X702">
        <v>606</v>
      </c>
    </row>
    <row r="703" spans="1:24" x14ac:dyDescent="0.25">
      <c r="A703" t="s">
        <v>5231</v>
      </c>
      <c r="B703" t="s">
        <v>8268</v>
      </c>
      <c r="C703" t="s">
        <v>8269</v>
      </c>
      <c r="D703" t="s">
        <v>191</v>
      </c>
      <c r="E703" t="s">
        <v>4913</v>
      </c>
      <c r="F703" t="s">
        <v>3491</v>
      </c>
      <c r="G703">
        <f>IF(K703="Pick-up","PICKUPS",IF(K703="Staff drop-off","STAFF_DROPOFF",IF(K703="Replacements","REPLACEMENT",IF(K703="Central Stores Dispatch","CENTRAL STORES DISPATCH",IFNA(IFNA(VLOOKUP(F703,'Raw Platform Nov 4-6 2025'!C:C,1,FALSE),VLOOKUP(F703,'Raw Platform Nov 4-6 2025'!D:D,1,FALSE)),IFNA(VLOOKUP(F703,'Glovo Raw Nov 4-6 2025'!B:B,1,FALSE),"Not Matched"))))))</f>
      </c>
      <c r="H703">
        <f>COUNTIF(F:F,F703)</f>
      </c>
      <c r="I703" t="s">
        <v>8328</v>
      </c>
      <c r="J703" t="s">
        <v>4915</v>
      </c>
      <c r="K703" t="s">
        <v>4916</v>
      </c>
      <c r="L703" t="s">
        <v>8329</v>
      </c>
      <c r="M703" t="s">
        <v>8330</v>
      </c>
      <c r="N703" t="s">
        <v>8331</v>
      </c>
      <c r="O703" t="s">
        <v>37</v>
      </c>
      <c r="P703" t="s">
        <v>6628</v>
      </c>
      <c r="Q703">
        <v>980</v>
      </c>
      <c r="R703" t="s">
        <v>5118</v>
      </c>
      <c r="S703" t="s">
        <v>276</v>
      </c>
      <c r="T703" t="s">
        <v>4924</v>
      </c>
      <c r="U703" t="s">
        <v>4924</v>
      </c>
      <c r="V703" t="s">
        <v>8332</v>
      </c>
      <c r="W703" t="s">
        <v>3667</v>
      </c>
      <c r="X703">
        <v>411.81</v>
      </c>
    </row>
    <row r="704" spans="1:24" x14ac:dyDescent="0.25">
      <c r="A704" t="s">
        <v>5231</v>
      </c>
      <c r="B704" t="s">
        <v>8268</v>
      </c>
      <c r="C704" t="s">
        <v>8269</v>
      </c>
      <c r="D704" t="s">
        <v>191</v>
      </c>
      <c r="E704" t="s">
        <v>4913</v>
      </c>
      <c r="F704" t="s">
        <v>8333</v>
      </c>
      <c r="G704">
        <f>IF(K704="Pick-up","PICKUPS",IF(K704="Staff drop-off","STAFF_DROPOFF",IF(K704="Replacements","REPLACEMENT",IF(K704="Central Stores Dispatch","CENTRAL STORES DISPATCH",IFNA(IFNA(VLOOKUP(F704,'Raw Platform Nov 4-6 2025'!C:C,1,FALSE),VLOOKUP(F704,'Raw Platform Nov 4-6 2025'!D:D,1,FALSE)),IFNA(VLOOKUP(F704,'Glovo Raw Nov 4-6 2025'!B:B,1,FALSE),"Not Matched"))))))</f>
      </c>
      <c r="H704">
        <f>COUNTIF(F:F,F704)</f>
      </c>
      <c r="I704" t="s">
        <v>8328</v>
      </c>
      <c r="J704" t="s">
        <v>5289</v>
      </c>
      <c r="K704" t="s">
        <v>4927</v>
      </c>
      <c r="L704" t="s">
        <v>8334</v>
      </c>
      <c r="M704" t="s">
        <v>5234</v>
      </c>
      <c r="N704" t="s">
        <v>6124</v>
      </c>
      <c r="O704" t="s">
        <v>113</v>
      </c>
      <c r="P704" t="s">
        <v>6125</v>
      </c>
      <c r="Q704">
        <v>0</v>
      </c>
      <c r="R704" t="s">
        <v>5118</v>
      </c>
      <c r="S704" t="s">
        <v>5293</v>
      </c>
      <c r="T704" t="s">
        <v>4924</v>
      </c>
      <c r="U704" t="s">
        <v>4924</v>
      </c>
      <c r="V704" t="s">
        <v>8332</v>
      </c>
      <c r="W704" t="s">
        <v>3667</v>
      </c>
      <c r="X704">
        <v>411.81</v>
      </c>
    </row>
    <row r="705" spans="1:24" x14ac:dyDescent="0.25">
      <c r="A705" t="s">
        <v>6063</v>
      </c>
      <c r="B705" t="s">
        <v>8268</v>
      </c>
      <c r="C705" t="s">
        <v>8269</v>
      </c>
      <c r="D705" t="s">
        <v>191</v>
      </c>
      <c r="E705" t="s">
        <v>4913</v>
      </c>
      <c r="F705" t="s">
        <v>2508</v>
      </c>
      <c r="G705">
        <f>IF(K705="Pick-up","PICKUPS",IF(K705="Staff drop-off","STAFF_DROPOFF",IF(K705="Replacements","REPLACEMENT",IF(K705="Central Stores Dispatch","CENTRAL STORES DISPATCH",IFNA(IFNA(VLOOKUP(F705,'Raw Platform Nov 4-6 2025'!C:C,1,FALSE),VLOOKUP(F705,'Raw Platform Nov 4-6 2025'!D:D,1,FALSE)),IFNA(VLOOKUP(F705,'Glovo Raw Nov 4-6 2025'!B:B,1,FALSE),"Not Matched"))))))</f>
      </c>
      <c r="H705">
        <f>COUNTIF(F:F,F705)</f>
      </c>
      <c r="I705" t="s">
        <v>8335</v>
      </c>
      <c r="J705" t="s">
        <v>4915</v>
      </c>
      <c r="K705" t="s">
        <v>4927</v>
      </c>
      <c r="L705" t="s">
        <v>8336</v>
      </c>
      <c r="M705" t="s">
        <v>6120</v>
      </c>
      <c r="N705" t="s">
        <v>8337</v>
      </c>
      <c r="O705" t="s">
        <v>113</v>
      </c>
      <c r="P705" t="s">
        <v>7024</v>
      </c>
      <c r="Q705">
        <v>0</v>
      </c>
      <c r="R705" t="s">
        <v>5118</v>
      </c>
      <c r="S705" t="s">
        <v>641</v>
      </c>
      <c r="T705" t="s">
        <v>4923</v>
      </c>
      <c r="U705" t="s">
        <v>4924</v>
      </c>
      <c r="V705" t="s">
        <v>8338</v>
      </c>
      <c r="W705" t="s">
        <v>3667</v>
      </c>
      <c r="X705">
        <v>185.1</v>
      </c>
    </row>
    <row r="706" spans="1:24" x14ac:dyDescent="0.25">
      <c r="A706" t="s">
        <v>6063</v>
      </c>
      <c r="B706" t="s">
        <v>8268</v>
      </c>
      <c r="C706" t="s">
        <v>8269</v>
      </c>
      <c r="D706" t="s">
        <v>19</v>
      </c>
      <c r="E706" t="s">
        <v>4913</v>
      </c>
      <c r="F706" t="s">
        <v>2897</v>
      </c>
      <c r="G706">
        <f>IF(K706="Pick-up","PICKUPS",IF(K706="Staff drop-off","STAFF_DROPOFF",IF(K706="Replacements","REPLACEMENT",IF(K706="Central Stores Dispatch","CENTRAL STORES DISPATCH",IFNA(IFNA(VLOOKUP(F706,'Raw Platform Nov 4-6 2025'!C:C,1,FALSE),VLOOKUP(F706,'Raw Platform Nov 4-6 2025'!D:D,1,FALSE)),IFNA(VLOOKUP(F706,'Glovo Raw Nov 4-6 2025'!B:B,1,FALSE),"Not Matched"))))))</f>
      </c>
      <c r="H706">
        <f>COUNTIF(F:F,F706)</f>
      </c>
      <c r="I706" t="s">
        <v>8339</v>
      </c>
      <c r="J706" t="s">
        <v>4915</v>
      </c>
      <c r="K706" t="s">
        <v>4927</v>
      </c>
      <c r="L706" t="s">
        <v>8018</v>
      </c>
      <c r="M706" t="s">
        <v>8019</v>
      </c>
      <c r="N706" t="s">
        <v>7120</v>
      </c>
      <c r="O706" t="s">
        <v>91</v>
      </c>
      <c r="P706" t="s">
        <v>8340</v>
      </c>
      <c r="Q706">
        <v>0</v>
      </c>
      <c r="R706" t="s">
        <v>5118</v>
      </c>
      <c r="S706" t="s">
        <v>5136</v>
      </c>
      <c r="T706" t="s">
        <v>4923</v>
      </c>
      <c r="U706" t="s">
        <v>4924</v>
      </c>
      <c r="V706" t="s">
        <v>8341</v>
      </c>
      <c r="W706" t="s">
        <v>3667</v>
      </c>
      <c r="X706">
        <v>235.7</v>
      </c>
    </row>
    <row r="707" spans="1:24" x14ac:dyDescent="0.25">
      <c r="A707" t="s">
        <v>6063</v>
      </c>
      <c r="B707" t="s">
        <v>8268</v>
      </c>
      <c r="C707" t="s">
        <v>8269</v>
      </c>
      <c r="D707" t="s">
        <v>19</v>
      </c>
      <c r="E707" t="s">
        <v>4913</v>
      </c>
      <c r="F707" t="s">
        <v>3306</v>
      </c>
      <c r="G707">
        <f>IF(K707="Pick-up","PICKUPS",IF(K707="Staff drop-off","STAFF_DROPOFF",IF(K707="Replacements","REPLACEMENT",IF(K707="Central Stores Dispatch","CENTRAL STORES DISPATCH",IFNA(IFNA(VLOOKUP(F707,'Raw Platform Nov 4-6 2025'!C:C,1,FALSE),VLOOKUP(F707,'Raw Platform Nov 4-6 2025'!D:D,1,FALSE)),IFNA(VLOOKUP(F707,'Glovo Raw Nov 4-6 2025'!B:B,1,FALSE),"Not Matched"))))))</f>
      </c>
      <c r="H707">
        <f>COUNTIF(F:F,F707)</f>
      </c>
      <c r="I707" t="s">
        <v>8342</v>
      </c>
      <c r="J707" t="s">
        <v>5341</v>
      </c>
      <c r="K707" t="s">
        <v>4927</v>
      </c>
      <c r="L707" t="s">
        <v>8343</v>
      </c>
      <c r="M707" t="s">
        <v>6120</v>
      </c>
      <c r="N707" t="s">
        <v>7992</v>
      </c>
      <c r="O707" t="s">
        <v>6329</v>
      </c>
      <c r="P707" t="s">
        <v>6299</v>
      </c>
      <c r="Q707">
        <v>0</v>
      </c>
      <c r="R707" t="s">
        <v>5118</v>
      </c>
      <c r="S707" t="s">
        <v>116</v>
      </c>
      <c r="T707" t="s">
        <v>4923</v>
      </c>
      <c r="U707" t="s">
        <v>4924</v>
      </c>
      <c r="V707" t="s">
        <v>8344</v>
      </c>
      <c r="W707" t="s">
        <v>3667</v>
      </c>
      <c r="X707">
        <v>408.2</v>
      </c>
    </row>
    <row r="708" spans="1:24" x14ac:dyDescent="0.25">
      <c r="A708" t="s">
        <v>6063</v>
      </c>
      <c r="B708" t="s">
        <v>8268</v>
      </c>
      <c r="C708" t="s">
        <v>8269</v>
      </c>
      <c r="D708" t="s">
        <v>191</v>
      </c>
      <c r="E708" t="s">
        <v>4913</v>
      </c>
      <c r="F708" t="s">
        <v>2549</v>
      </c>
      <c r="G708">
        <f>IF(K708="Pick-up","PICKUPS",IF(K708="Staff drop-off","STAFF_DROPOFF",IF(K708="Replacements","REPLACEMENT",IF(K708="Central Stores Dispatch","CENTRAL STORES DISPATCH",IFNA(IFNA(VLOOKUP(F708,'Raw Platform Nov 4-6 2025'!C:C,1,FALSE),VLOOKUP(F708,'Raw Platform Nov 4-6 2025'!D:D,1,FALSE)),IFNA(VLOOKUP(F708,'Glovo Raw Nov 4-6 2025'!B:B,1,FALSE),"Not Matched"))))))</f>
      </c>
      <c r="H708">
        <f>COUNTIF(F:F,F708)</f>
      </c>
      <c r="I708" t="s">
        <v>8345</v>
      </c>
      <c r="J708" t="s">
        <v>4915</v>
      </c>
      <c r="K708" t="s">
        <v>4927</v>
      </c>
      <c r="L708" t="s">
        <v>8346</v>
      </c>
      <c r="M708" t="s">
        <v>8347</v>
      </c>
      <c r="N708" t="s">
        <v>8348</v>
      </c>
      <c r="O708" t="s">
        <v>32</v>
      </c>
      <c r="P708" t="s">
        <v>53</v>
      </c>
      <c r="Q708">
        <v>0</v>
      </c>
      <c r="R708" t="s">
        <v>5118</v>
      </c>
      <c r="S708" t="s">
        <v>276</v>
      </c>
      <c r="T708" t="s">
        <v>4923</v>
      </c>
      <c r="U708" t="s">
        <v>4924</v>
      </c>
      <c r="V708" t="s">
        <v>8349</v>
      </c>
      <c r="W708" t="s">
        <v>3667</v>
      </c>
      <c r="X708">
        <v>249.5</v>
      </c>
    </row>
    <row r="709" spans="1:24" x14ac:dyDescent="0.25">
      <c r="A709" t="s">
        <v>6063</v>
      </c>
      <c r="B709" t="s">
        <v>8268</v>
      </c>
      <c r="C709" t="s">
        <v>8269</v>
      </c>
      <c r="D709" t="s">
        <v>191</v>
      </c>
      <c r="E709" t="s">
        <v>4913</v>
      </c>
      <c r="F709" t="s">
        <v>2497</v>
      </c>
      <c r="G709">
        <f>IF(K709="Pick-up","PICKUPS",IF(K709="Staff drop-off","STAFF_DROPOFF",IF(K709="Replacements","REPLACEMENT",IF(K709="Central Stores Dispatch","CENTRAL STORES DISPATCH",IFNA(IFNA(VLOOKUP(F709,'Raw Platform Nov 4-6 2025'!C:C,1,FALSE),VLOOKUP(F709,'Raw Platform Nov 4-6 2025'!D:D,1,FALSE)),IFNA(VLOOKUP(F709,'Glovo Raw Nov 4-6 2025'!B:B,1,FALSE),"Not Matched"))))))</f>
      </c>
      <c r="H709">
        <f>COUNTIF(F:F,F709)</f>
      </c>
      <c r="I709" t="s">
        <v>8350</v>
      </c>
      <c r="J709" t="s">
        <v>4915</v>
      </c>
      <c r="K709" t="s">
        <v>4927</v>
      </c>
      <c r="L709" t="s">
        <v>8351</v>
      </c>
      <c r="M709" t="s">
        <v>8352</v>
      </c>
      <c r="N709" t="s">
        <v>8353</v>
      </c>
      <c r="O709" t="s">
        <v>113</v>
      </c>
      <c r="P709" t="s">
        <v>4962</v>
      </c>
      <c r="Q709">
        <v>0</v>
      </c>
      <c r="R709" t="s">
        <v>5118</v>
      </c>
      <c r="S709" t="s">
        <v>276</v>
      </c>
      <c r="T709" t="s">
        <v>4923</v>
      </c>
      <c r="U709" t="s">
        <v>4924</v>
      </c>
      <c r="V709" t="s">
        <v>8354</v>
      </c>
      <c r="W709" t="s">
        <v>3667</v>
      </c>
      <c r="X709">
        <v>180.5</v>
      </c>
    </row>
    <row r="710" spans="1:24" x14ac:dyDescent="0.25">
      <c r="A710" t="s">
        <v>5130</v>
      </c>
      <c r="B710" t="s">
        <v>8355</v>
      </c>
      <c r="C710" t="s">
        <v>8356</v>
      </c>
      <c r="D710" t="s">
        <v>24</v>
      </c>
      <c r="E710" t="s">
        <v>4913</v>
      </c>
      <c r="F710" t="s">
        <v>706</v>
      </c>
      <c r="G710">
        <f>IF(K710="Pick-up","PICKUPS",IF(K710="Staff drop-off","STAFF_DROPOFF",IF(K710="Replacements","REPLACEMENT",IF(K710="Central Stores Dispatch","CENTRAL STORES DISPATCH",IFNA(IFNA(VLOOKUP(F710,'Raw Platform Nov 4-6 2025'!C:C,1,FALSE),VLOOKUP(F710,'Raw Platform Nov 4-6 2025'!D:D,1,FALSE)),IFNA(VLOOKUP(F710,'Glovo Raw Nov 4-6 2025'!B:B,1,FALSE),"Not Matched"))))))</f>
      </c>
      <c r="H710">
        <f>COUNTIF(F:F,F710)</f>
      </c>
      <c r="I710" t="s">
        <v>8357</v>
      </c>
      <c r="J710" t="s">
        <v>63</v>
      </c>
      <c r="K710" t="s">
        <v>4927</v>
      </c>
      <c r="L710" t="s">
        <v>8358</v>
      </c>
      <c r="M710" t="s">
        <v>8359</v>
      </c>
      <c r="N710" t="s">
        <v>8360</v>
      </c>
      <c r="O710" t="s">
        <v>9</v>
      </c>
      <c r="P710" t="s">
        <v>6125</v>
      </c>
      <c r="Q710">
        <v>0</v>
      </c>
      <c r="R710" t="s">
        <v>5118</v>
      </c>
      <c r="S710" t="s">
        <v>5136</v>
      </c>
      <c r="T710" t="s">
        <v>4923</v>
      </c>
      <c r="U710" t="s">
        <v>4924</v>
      </c>
      <c r="V710" t="s">
        <v>8361</v>
      </c>
      <c r="W710" t="s">
        <v>3667</v>
      </c>
      <c r="X710">
        <v>224.2</v>
      </c>
    </row>
    <row r="711" spans="1:24" x14ac:dyDescent="0.25">
      <c r="A711" t="s">
        <v>5130</v>
      </c>
      <c r="B711" t="s">
        <v>8355</v>
      </c>
      <c r="C711" t="s">
        <v>8356</v>
      </c>
      <c r="D711" t="s">
        <v>24</v>
      </c>
      <c r="E711" t="s">
        <v>4913</v>
      </c>
      <c r="F711" t="s">
        <v>1046</v>
      </c>
      <c r="G711">
        <f>IF(K711="Pick-up","PICKUPS",IF(K711="Staff drop-off","STAFF_DROPOFF",IF(K711="Replacements","REPLACEMENT",IF(K711="Central Stores Dispatch","CENTRAL STORES DISPATCH",IFNA(IFNA(VLOOKUP(F711,'Raw Platform Nov 4-6 2025'!C:C,1,FALSE),VLOOKUP(F711,'Raw Platform Nov 4-6 2025'!D:D,1,FALSE)),IFNA(VLOOKUP(F711,'Glovo Raw Nov 4-6 2025'!B:B,1,FALSE),"Not Matched"))))))</f>
      </c>
      <c r="H711">
        <f>COUNTIF(F:F,F711)</f>
      </c>
      <c r="I711" t="s">
        <v>8362</v>
      </c>
      <c r="J711" t="s">
        <v>5341</v>
      </c>
      <c r="K711" t="s">
        <v>4927</v>
      </c>
      <c r="L711" t="s">
        <v>6462</v>
      </c>
      <c r="M711" t="s">
        <v>6463</v>
      </c>
      <c r="N711" t="s">
        <v>6464</v>
      </c>
      <c r="O711" t="s">
        <v>37</v>
      </c>
      <c r="P711" t="s">
        <v>5190</v>
      </c>
      <c r="Q711">
        <v>0</v>
      </c>
      <c r="R711" t="s">
        <v>5118</v>
      </c>
      <c r="S711" t="s">
        <v>35</v>
      </c>
      <c r="T711" t="s">
        <v>4923</v>
      </c>
      <c r="U711" t="s">
        <v>4924</v>
      </c>
      <c r="V711" t="s">
        <v>8363</v>
      </c>
      <c r="W711" t="s">
        <v>3667</v>
      </c>
      <c r="X711">
        <v>270.2</v>
      </c>
    </row>
    <row r="712" spans="1:24" x14ac:dyDescent="0.25">
      <c r="A712" t="s">
        <v>5231</v>
      </c>
      <c r="B712" t="s">
        <v>8355</v>
      </c>
      <c r="C712" t="s">
        <v>8356</v>
      </c>
      <c r="D712" t="s">
        <v>191</v>
      </c>
      <c r="E712" t="s">
        <v>4913</v>
      </c>
      <c r="F712" t="s">
        <v>477</v>
      </c>
      <c r="G712">
        <f>IF(K712="Pick-up","PICKUPS",IF(K712="Staff drop-off","STAFF_DROPOFF",IF(K712="Replacements","REPLACEMENT",IF(K712="Central Stores Dispatch","CENTRAL STORES DISPATCH",IFNA(IFNA(VLOOKUP(F712,'Raw Platform Nov 4-6 2025'!C:C,1,FALSE),VLOOKUP(F712,'Raw Platform Nov 4-6 2025'!D:D,1,FALSE)),IFNA(VLOOKUP(F712,'Glovo Raw Nov 4-6 2025'!B:B,1,FALSE),"Not Matched"))))))</f>
      </c>
      <c r="H712">
        <f>COUNTIF(F:F,F712)</f>
      </c>
      <c r="I712" t="s">
        <v>8364</v>
      </c>
      <c r="J712" t="s">
        <v>4915</v>
      </c>
      <c r="K712" t="s">
        <v>4927</v>
      </c>
      <c r="L712" t="s">
        <v>8365</v>
      </c>
      <c r="M712" t="s">
        <v>8366</v>
      </c>
      <c r="N712" t="s">
        <v>8367</v>
      </c>
      <c r="O712" t="s">
        <v>91</v>
      </c>
      <c r="P712" t="s">
        <v>5660</v>
      </c>
      <c r="Q712">
        <v>0</v>
      </c>
      <c r="R712" t="s">
        <v>5118</v>
      </c>
      <c r="S712" t="s">
        <v>467</v>
      </c>
      <c r="T712" t="s">
        <v>4923</v>
      </c>
      <c r="U712" t="s">
        <v>4924</v>
      </c>
      <c r="V712" t="s">
        <v>8368</v>
      </c>
      <c r="W712" t="s">
        <v>3667</v>
      </c>
      <c r="X712">
        <v>300.1</v>
      </c>
    </row>
    <row r="713" spans="1:24" x14ac:dyDescent="0.25">
      <c r="A713" t="s">
        <v>5130</v>
      </c>
      <c r="B713" t="s">
        <v>8355</v>
      </c>
      <c r="C713" t="s">
        <v>8356</v>
      </c>
      <c r="D713" t="s">
        <v>24</v>
      </c>
      <c r="E713" t="s">
        <v>4913</v>
      </c>
      <c r="F713" t="s">
        <v>307</v>
      </c>
      <c r="G713">
        <f>IF(K713="Pick-up","PICKUPS",IF(K713="Staff drop-off","STAFF_DROPOFF",IF(K713="Replacements","REPLACEMENT",IF(K713="Central Stores Dispatch","CENTRAL STORES DISPATCH",IFNA(IFNA(VLOOKUP(F713,'Raw Platform Nov 4-6 2025'!C:C,1,FALSE),VLOOKUP(F713,'Raw Platform Nov 4-6 2025'!D:D,1,FALSE)),IFNA(VLOOKUP(F713,'Glovo Raw Nov 4-6 2025'!B:B,1,FALSE),"Not Matched"))))))</f>
      </c>
      <c r="H713">
        <f>COUNTIF(F:F,F713)</f>
      </c>
      <c r="I713" t="s">
        <v>8369</v>
      </c>
      <c r="J713" t="s">
        <v>4915</v>
      </c>
      <c r="K713" t="s">
        <v>4927</v>
      </c>
      <c r="L713" t="s">
        <v>8370</v>
      </c>
      <c r="M713" t="s">
        <v>8371</v>
      </c>
      <c r="N713" t="s">
        <v>4983</v>
      </c>
      <c r="O713" t="s">
        <v>47</v>
      </c>
      <c r="P713" t="s">
        <v>5019</v>
      </c>
      <c r="Q713">
        <v>0</v>
      </c>
      <c r="R713" t="s">
        <v>5118</v>
      </c>
      <c r="S713" t="s">
        <v>5136</v>
      </c>
      <c r="T713" t="s">
        <v>4923</v>
      </c>
      <c r="U713" t="s">
        <v>4924</v>
      </c>
      <c r="V713" t="s">
        <v>8372</v>
      </c>
      <c r="W713" t="s">
        <v>3667</v>
      </c>
      <c r="X713">
        <v>100</v>
      </c>
    </row>
    <row r="714" spans="1:24" x14ac:dyDescent="0.25">
      <c r="A714" t="s">
        <v>5130</v>
      </c>
      <c r="B714" t="s">
        <v>8355</v>
      </c>
      <c r="C714" t="s">
        <v>8356</v>
      </c>
      <c r="D714" t="s">
        <v>24</v>
      </c>
      <c r="E714" t="s">
        <v>4913</v>
      </c>
      <c r="F714" t="s">
        <v>1123</v>
      </c>
      <c r="G714">
        <f>IF(K714="Pick-up","PICKUPS",IF(K714="Staff drop-off","STAFF_DROPOFF",IF(K714="Replacements","REPLACEMENT",IF(K714="Central Stores Dispatch","CENTRAL STORES DISPATCH",IFNA(IFNA(VLOOKUP(F714,'Raw Platform Nov 4-6 2025'!C:C,1,FALSE),VLOOKUP(F714,'Raw Platform Nov 4-6 2025'!D:D,1,FALSE)),IFNA(VLOOKUP(F714,'Glovo Raw Nov 4-6 2025'!B:B,1,FALSE),"Not Matched"))))))</f>
      </c>
      <c r="H714">
        <f>COUNTIF(F:F,F714)</f>
      </c>
      <c r="I714" t="s">
        <v>8373</v>
      </c>
      <c r="J714" t="s">
        <v>4915</v>
      </c>
      <c r="K714" t="s">
        <v>4916</v>
      </c>
      <c r="L714" t="s">
        <v>7048</v>
      </c>
      <c r="M714" t="s">
        <v>8374</v>
      </c>
      <c r="N714" t="s">
        <v>8375</v>
      </c>
      <c r="O714" t="s">
        <v>113</v>
      </c>
      <c r="P714" t="s">
        <v>5328</v>
      </c>
      <c r="Q714">
        <v>1532</v>
      </c>
      <c r="R714" t="s">
        <v>5118</v>
      </c>
      <c r="S714" t="s">
        <v>172</v>
      </c>
      <c r="T714" t="s">
        <v>4923</v>
      </c>
      <c r="U714" t="s">
        <v>4924</v>
      </c>
      <c r="V714" t="s">
        <v>8376</v>
      </c>
      <c r="W714" t="s">
        <v>3667</v>
      </c>
      <c r="X714">
        <v>205.8</v>
      </c>
    </row>
    <row r="715" spans="1:24" x14ac:dyDescent="0.25">
      <c r="A715" t="s">
        <v>5130</v>
      </c>
      <c r="B715" t="s">
        <v>8355</v>
      </c>
      <c r="C715" t="s">
        <v>8356</v>
      </c>
      <c r="D715" t="s">
        <v>24</v>
      </c>
      <c r="E715" t="s">
        <v>4913</v>
      </c>
      <c r="F715" t="s">
        <v>2021</v>
      </c>
      <c r="G715">
        <f>IF(K715="Pick-up","PICKUPS",IF(K715="Staff drop-off","STAFF_DROPOFF",IF(K715="Replacements","REPLACEMENT",IF(K715="Central Stores Dispatch","CENTRAL STORES DISPATCH",IFNA(IFNA(VLOOKUP(F715,'Raw Platform Nov 4-6 2025'!C:C,1,FALSE),VLOOKUP(F715,'Raw Platform Nov 4-6 2025'!D:D,1,FALSE)),IFNA(VLOOKUP(F715,'Glovo Raw Nov 4-6 2025'!B:B,1,FALSE),"Not Matched"))))))</f>
      </c>
      <c r="H715">
        <f>COUNTIF(F:F,F715)</f>
      </c>
      <c r="I715" t="s">
        <v>8377</v>
      </c>
      <c r="J715" t="s">
        <v>5028</v>
      </c>
      <c r="K715" t="s">
        <v>4927</v>
      </c>
      <c r="L715" t="s">
        <v>8378</v>
      </c>
      <c r="M715" t="s">
        <v>8379</v>
      </c>
      <c r="N715" t="s">
        <v>8380</v>
      </c>
      <c r="O715" t="s">
        <v>100</v>
      </c>
      <c r="P715" t="s">
        <v>123</v>
      </c>
      <c r="Q715">
        <v>0</v>
      </c>
      <c r="R715" t="s">
        <v>5118</v>
      </c>
      <c r="S715" t="s">
        <v>5136</v>
      </c>
      <c r="T715" t="s">
        <v>4923</v>
      </c>
      <c r="U715" t="s">
        <v>4924</v>
      </c>
      <c r="V715" t="s">
        <v>8381</v>
      </c>
      <c r="W715" t="s">
        <v>3667</v>
      </c>
      <c r="X715">
        <v>272.5</v>
      </c>
    </row>
    <row r="716" spans="1:24" x14ac:dyDescent="0.25">
      <c r="A716" t="s">
        <v>5130</v>
      </c>
      <c r="B716" t="s">
        <v>8355</v>
      </c>
      <c r="C716" t="s">
        <v>8356</v>
      </c>
      <c r="D716" t="s">
        <v>24</v>
      </c>
      <c r="E716" t="s">
        <v>4913</v>
      </c>
      <c r="F716" t="s">
        <v>2462</v>
      </c>
      <c r="G716">
        <f>IF(K716="Pick-up","PICKUPS",IF(K716="Staff drop-off","STAFF_DROPOFF",IF(K716="Replacements","REPLACEMENT",IF(K716="Central Stores Dispatch","CENTRAL STORES DISPATCH",IFNA(IFNA(VLOOKUP(F716,'Raw Platform Nov 4-6 2025'!C:C,1,FALSE),VLOOKUP(F716,'Raw Platform Nov 4-6 2025'!D:D,1,FALSE)),IFNA(VLOOKUP(F716,'Glovo Raw Nov 4-6 2025'!B:B,1,FALSE),"Not Matched"))))))</f>
      </c>
      <c r="H716">
        <f>COUNTIF(F:F,F716)</f>
      </c>
      <c r="I716" t="s">
        <v>8382</v>
      </c>
      <c r="J716" t="s">
        <v>5341</v>
      </c>
      <c r="K716" t="s">
        <v>4927</v>
      </c>
      <c r="L716" t="s">
        <v>8383</v>
      </c>
      <c r="M716" t="s">
        <v>8384</v>
      </c>
      <c r="N716" t="s">
        <v>8385</v>
      </c>
      <c r="O716" t="s">
        <v>5469</v>
      </c>
      <c r="P716" t="s">
        <v>6435</v>
      </c>
      <c r="Q716">
        <v>0</v>
      </c>
      <c r="R716" t="s">
        <v>5118</v>
      </c>
      <c r="S716" t="s">
        <v>5136</v>
      </c>
      <c r="T716" t="s">
        <v>4923</v>
      </c>
      <c r="U716" t="s">
        <v>4924</v>
      </c>
      <c r="V716" t="s">
        <v>8386</v>
      </c>
      <c r="W716" t="s">
        <v>3667</v>
      </c>
      <c r="X716">
        <v>359.9</v>
      </c>
    </row>
    <row r="717" spans="1:24" x14ac:dyDescent="0.25">
      <c r="A717" t="s">
        <v>5130</v>
      </c>
      <c r="B717" t="s">
        <v>8355</v>
      </c>
      <c r="C717" t="s">
        <v>8356</v>
      </c>
      <c r="D717" t="s">
        <v>24</v>
      </c>
      <c r="E717" t="s">
        <v>4913</v>
      </c>
      <c r="F717" t="s">
        <v>4449</v>
      </c>
      <c r="G717">
        <f>IF(K717="Pick-up","PICKUPS",IF(K717="Staff drop-off","STAFF_DROPOFF",IF(K717="Replacements","REPLACEMENT",IF(K717="Central Stores Dispatch","CENTRAL STORES DISPATCH",IFNA(IFNA(VLOOKUP(F717,'Raw Platform Nov 4-6 2025'!C:C,1,FALSE),VLOOKUP(F717,'Raw Platform Nov 4-6 2025'!D:D,1,FALSE)),IFNA(VLOOKUP(F717,'Glovo Raw Nov 4-6 2025'!B:B,1,FALSE),"Not Matched"))))))</f>
      </c>
      <c r="H717">
        <f>COUNTIF(F:F,F717)</f>
      </c>
      <c r="I717" t="s">
        <v>8387</v>
      </c>
      <c r="J717" t="s">
        <v>63</v>
      </c>
      <c r="K717" t="s">
        <v>4927</v>
      </c>
      <c r="L717" t="s">
        <v>8388</v>
      </c>
      <c r="M717" t="s">
        <v>8389</v>
      </c>
      <c r="N717" t="s">
        <v>8390</v>
      </c>
      <c r="O717" t="s">
        <v>42</v>
      </c>
      <c r="P717" t="s">
        <v>5535</v>
      </c>
      <c r="Q717">
        <v>0</v>
      </c>
      <c r="R717" t="s">
        <v>5118</v>
      </c>
      <c r="S717" t="s">
        <v>116</v>
      </c>
      <c r="T717" t="s">
        <v>4923</v>
      </c>
      <c r="U717" t="s">
        <v>4924</v>
      </c>
      <c r="V717" t="s">
        <v>8391</v>
      </c>
      <c r="W717" t="s">
        <v>3667</v>
      </c>
      <c r="X717">
        <v>346.1</v>
      </c>
    </row>
    <row r="718" spans="1:24" x14ac:dyDescent="0.25">
      <c r="A718" t="s">
        <v>5130</v>
      </c>
      <c r="B718" t="s">
        <v>8355</v>
      </c>
      <c r="C718" t="s">
        <v>8356</v>
      </c>
      <c r="D718" t="s">
        <v>24</v>
      </c>
      <c r="E718" t="s">
        <v>5034</v>
      </c>
      <c r="F718" t="s">
        <v>1528</v>
      </c>
      <c r="G718">
        <f>IF(K718="Pick-up","PICKUPS",IF(K718="Staff drop-off","STAFF_DROPOFF",IF(K718="Replacements","REPLACEMENT",IF(K718="Central Stores Dispatch","CENTRAL STORES DISPATCH",IFNA(IFNA(VLOOKUP(F718,'Raw Platform Nov 4-6 2025'!C:C,1,FALSE),VLOOKUP(F718,'Raw Platform Nov 4-6 2025'!D:D,1,FALSE)),IFNA(VLOOKUP(F718,'Glovo Raw Nov 4-6 2025'!B:B,1,FALSE),"Not Matched"))))))</f>
      </c>
      <c r="H718">
        <f>COUNTIF(F:F,F718)</f>
      </c>
      <c r="I718" t="s">
        <v>8392</v>
      </c>
      <c r="J718" t="s">
        <v>63</v>
      </c>
      <c r="K718" t="s">
        <v>4927</v>
      </c>
      <c r="L718" t="s">
        <v>8388</v>
      </c>
      <c r="M718" t="s">
        <v>8389</v>
      </c>
      <c r="N718" t="s">
        <v>8393</v>
      </c>
      <c r="O718" t="s">
        <v>123</v>
      </c>
      <c r="P718" t="s">
        <v>4962</v>
      </c>
      <c r="Q718">
        <v>0</v>
      </c>
      <c r="R718" t="s">
        <v>5118</v>
      </c>
      <c r="S718" t="s">
        <v>116</v>
      </c>
      <c r="T718" t="s">
        <v>4923</v>
      </c>
      <c r="U718" t="s">
        <v>4923</v>
      </c>
      <c r="V718" t="s">
        <v>8394</v>
      </c>
      <c r="W718" t="s">
        <v>3667</v>
      </c>
      <c r="X718">
        <v>0</v>
      </c>
    </row>
    <row r="719" spans="1:24" x14ac:dyDescent="0.25">
      <c r="A719" t="s">
        <v>5130</v>
      </c>
      <c r="B719" t="s">
        <v>8355</v>
      </c>
      <c r="C719" t="s">
        <v>8356</v>
      </c>
      <c r="D719" t="s">
        <v>24</v>
      </c>
      <c r="E719" t="s">
        <v>4913</v>
      </c>
      <c r="F719" t="s">
        <v>1800</v>
      </c>
      <c r="G719">
        <f>IF(K719="Pick-up","PICKUPS",IF(K719="Staff drop-off","STAFF_DROPOFF",IF(K719="Replacements","REPLACEMENT",IF(K719="Central Stores Dispatch","CENTRAL STORES DISPATCH",IFNA(IFNA(VLOOKUP(F719,'Raw Platform Nov 4-6 2025'!C:C,1,FALSE),VLOOKUP(F719,'Raw Platform Nov 4-6 2025'!D:D,1,FALSE)),IFNA(VLOOKUP(F719,'Glovo Raw Nov 4-6 2025'!B:B,1,FALSE),"Not Matched"))))))</f>
      </c>
      <c r="H719">
        <f>COUNTIF(F:F,F719)</f>
      </c>
      <c r="I719" t="s">
        <v>5721</v>
      </c>
      <c r="J719" t="s">
        <v>4915</v>
      </c>
      <c r="K719" t="s">
        <v>4916</v>
      </c>
      <c r="L719" t="s">
        <v>8395</v>
      </c>
      <c r="M719" t="s">
        <v>8396</v>
      </c>
      <c r="N719" t="s">
        <v>8397</v>
      </c>
      <c r="O719" t="s">
        <v>4990</v>
      </c>
      <c r="P719" t="s">
        <v>4937</v>
      </c>
      <c r="Q719">
        <v>1010</v>
      </c>
      <c r="R719" t="s">
        <v>5118</v>
      </c>
      <c r="S719" t="s">
        <v>50</v>
      </c>
      <c r="T719" t="s">
        <v>4923</v>
      </c>
      <c r="U719" t="s">
        <v>4924</v>
      </c>
      <c r="V719" t="s">
        <v>8398</v>
      </c>
      <c r="W719" t="s">
        <v>3667</v>
      </c>
      <c r="X719">
        <v>100</v>
      </c>
    </row>
    <row r="720" spans="1:24" x14ac:dyDescent="0.25">
      <c r="A720" t="s">
        <v>5130</v>
      </c>
      <c r="B720" t="s">
        <v>8355</v>
      </c>
      <c r="C720" t="s">
        <v>8356</v>
      </c>
      <c r="D720" t="s">
        <v>24</v>
      </c>
      <c r="E720" t="s">
        <v>4913</v>
      </c>
      <c r="F720" t="s">
        <v>2438</v>
      </c>
      <c r="G720">
        <f>IF(K720="Pick-up","PICKUPS",IF(K720="Staff drop-off","STAFF_DROPOFF",IF(K720="Replacements","REPLACEMENT",IF(K720="Central Stores Dispatch","CENTRAL STORES DISPATCH",IFNA(IFNA(VLOOKUP(F720,'Raw Platform Nov 4-6 2025'!C:C,1,FALSE),VLOOKUP(F720,'Raw Platform Nov 4-6 2025'!D:D,1,FALSE)),IFNA(VLOOKUP(F720,'Glovo Raw Nov 4-6 2025'!B:B,1,FALSE),"Not Matched"))))))</f>
      </c>
      <c r="H720">
        <f>COUNTIF(F:F,F720)</f>
      </c>
      <c r="I720" t="s">
        <v>8399</v>
      </c>
      <c r="J720" t="s">
        <v>4915</v>
      </c>
      <c r="K720" t="s">
        <v>4927</v>
      </c>
      <c r="L720" t="s">
        <v>8400</v>
      </c>
      <c r="M720" t="s">
        <v>5441</v>
      </c>
      <c r="N720" t="s">
        <v>5442</v>
      </c>
      <c r="O720" t="s">
        <v>9</v>
      </c>
      <c r="P720" t="s">
        <v>4949</v>
      </c>
      <c r="Q720">
        <v>0</v>
      </c>
      <c r="R720" t="s">
        <v>5118</v>
      </c>
      <c r="S720" t="s">
        <v>172</v>
      </c>
      <c r="T720" t="s">
        <v>4923</v>
      </c>
      <c r="U720" t="s">
        <v>4924</v>
      </c>
      <c r="V720" t="s">
        <v>8401</v>
      </c>
      <c r="W720" t="s">
        <v>3667</v>
      </c>
      <c r="X720">
        <v>157.5</v>
      </c>
    </row>
    <row r="721" spans="1:24" x14ac:dyDescent="0.25">
      <c r="A721" t="s">
        <v>5130</v>
      </c>
      <c r="B721" t="s">
        <v>8355</v>
      </c>
      <c r="C721" t="s">
        <v>8356</v>
      </c>
      <c r="D721" t="s">
        <v>24</v>
      </c>
      <c r="E721" t="s">
        <v>4913</v>
      </c>
      <c r="F721" t="s">
        <v>3447</v>
      </c>
      <c r="G721">
        <f>IF(K721="Pick-up","PICKUPS",IF(K721="Staff drop-off","STAFF_DROPOFF",IF(K721="Replacements","REPLACEMENT",IF(K721="Central Stores Dispatch","CENTRAL STORES DISPATCH",IFNA(IFNA(VLOOKUP(F721,'Raw Platform Nov 4-6 2025'!C:C,1,FALSE),VLOOKUP(F721,'Raw Platform Nov 4-6 2025'!D:D,1,FALSE)),IFNA(VLOOKUP(F721,'Glovo Raw Nov 4-6 2025'!B:B,1,FALSE),"Not Matched"))))))</f>
      </c>
      <c r="H721">
        <f>COUNTIF(F:F,F721)</f>
      </c>
      <c r="I721" t="s">
        <v>8402</v>
      </c>
      <c r="J721" t="s">
        <v>4915</v>
      </c>
      <c r="K721" t="s">
        <v>4927</v>
      </c>
      <c r="L721" t="s">
        <v>8403</v>
      </c>
      <c r="M721" t="s">
        <v>8404</v>
      </c>
      <c r="N721" t="s">
        <v>8405</v>
      </c>
      <c r="O721" t="s">
        <v>9</v>
      </c>
      <c r="P721" t="s">
        <v>7725</v>
      </c>
      <c r="Q721">
        <v>0</v>
      </c>
      <c r="R721" t="s">
        <v>5118</v>
      </c>
      <c r="S721" t="s">
        <v>5136</v>
      </c>
      <c r="T721" t="s">
        <v>4923</v>
      </c>
      <c r="U721" t="s">
        <v>4924</v>
      </c>
      <c r="V721" t="s">
        <v>8406</v>
      </c>
      <c r="W721" t="s">
        <v>3667</v>
      </c>
      <c r="X721">
        <v>221.9</v>
      </c>
    </row>
    <row r="722" spans="1:24" x14ac:dyDescent="0.25">
      <c r="A722" t="s">
        <v>5130</v>
      </c>
      <c r="B722" t="s">
        <v>8355</v>
      </c>
      <c r="C722" t="s">
        <v>8356</v>
      </c>
      <c r="D722" t="s">
        <v>24</v>
      </c>
      <c r="E722" t="s">
        <v>4913</v>
      </c>
      <c r="F722" t="s">
        <v>3393</v>
      </c>
      <c r="G722">
        <f>IF(K722="Pick-up","PICKUPS",IF(K722="Staff drop-off","STAFF_DROPOFF",IF(K722="Replacements","REPLACEMENT",IF(K722="Central Stores Dispatch","CENTRAL STORES DISPATCH",IFNA(IFNA(VLOOKUP(F722,'Raw Platform Nov 4-6 2025'!C:C,1,FALSE),VLOOKUP(F722,'Raw Platform Nov 4-6 2025'!D:D,1,FALSE)),IFNA(VLOOKUP(F722,'Glovo Raw Nov 4-6 2025'!B:B,1,FALSE),"Not Matched"))))))</f>
      </c>
      <c r="H722">
        <f>COUNTIF(F:F,F722)</f>
      </c>
      <c r="I722" t="s">
        <v>8407</v>
      </c>
      <c r="J722" t="s">
        <v>5341</v>
      </c>
      <c r="K722" t="s">
        <v>4927</v>
      </c>
      <c r="L722" t="s">
        <v>8408</v>
      </c>
      <c r="M722" t="s">
        <v>8409</v>
      </c>
      <c r="N722" t="s">
        <v>8024</v>
      </c>
      <c r="O722" t="s">
        <v>4990</v>
      </c>
      <c r="P722" t="s">
        <v>5025</v>
      </c>
      <c r="Q722">
        <v>0</v>
      </c>
      <c r="R722" t="s">
        <v>5118</v>
      </c>
      <c r="S722" t="s">
        <v>116</v>
      </c>
      <c r="T722" t="s">
        <v>4923</v>
      </c>
      <c r="U722" t="s">
        <v>4924</v>
      </c>
      <c r="V722" t="s">
        <v>8410</v>
      </c>
      <c r="W722" t="s">
        <v>3667</v>
      </c>
      <c r="X722">
        <v>100</v>
      </c>
    </row>
    <row r="723" spans="1:24" x14ac:dyDescent="0.25">
      <c r="A723" t="s">
        <v>5231</v>
      </c>
      <c r="B723" t="s">
        <v>8355</v>
      </c>
      <c r="C723" t="s">
        <v>8356</v>
      </c>
      <c r="D723" t="s">
        <v>191</v>
      </c>
      <c r="E723" t="s">
        <v>4913</v>
      </c>
      <c r="F723" t="s">
        <v>8411</v>
      </c>
      <c r="G723">
        <f>IF(K723="Pick-up","PICKUPS",IF(K723="Staff drop-off","STAFF_DROPOFF",IF(K723="Replacements","REPLACEMENT",IF(K723="Central Stores Dispatch","CENTRAL STORES DISPATCH",IFNA(IFNA(VLOOKUP(F723,'Raw Platform Nov 4-6 2025'!C:C,1,FALSE),VLOOKUP(F723,'Raw Platform Nov 4-6 2025'!D:D,1,FALSE)),IFNA(VLOOKUP(F723,'Glovo Raw Nov 4-6 2025'!B:B,1,FALSE),"Not Matched"))))))</f>
      </c>
      <c r="H723">
        <f>COUNTIF(F:F,F723)</f>
      </c>
      <c r="I723" t="s">
        <v>8412</v>
      </c>
      <c r="J723" t="s">
        <v>4915</v>
      </c>
      <c r="K723" t="s">
        <v>4927</v>
      </c>
      <c r="L723" t="s">
        <v>8413</v>
      </c>
      <c r="M723" t="s">
        <v>8414</v>
      </c>
      <c r="N723" t="s">
        <v>8289</v>
      </c>
      <c r="O723" t="s">
        <v>100</v>
      </c>
      <c r="P723" t="s">
        <v>47</v>
      </c>
      <c r="Q723">
        <v>0</v>
      </c>
      <c r="R723" t="s">
        <v>5118</v>
      </c>
      <c r="S723" t="s">
        <v>276</v>
      </c>
      <c r="T723" t="s">
        <v>4924</v>
      </c>
      <c r="U723" t="s">
        <v>4924</v>
      </c>
      <c r="V723" t="s">
        <v>8415</v>
      </c>
      <c r="W723" t="s">
        <v>3667</v>
      </c>
      <c r="X723">
        <v>489</v>
      </c>
    </row>
    <row r="724" spans="1:24" x14ac:dyDescent="0.25">
      <c r="A724" t="s">
        <v>5231</v>
      </c>
      <c r="B724" t="s">
        <v>8355</v>
      </c>
      <c r="C724" t="s">
        <v>8356</v>
      </c>
      <c r="D724" t="s">
        <v>191</v>
      </c>
      <c r="E724" t="s">
        <v>4913</v>
      </c>
      <c r="F724" t="s">
        <v>2601</v>
      </c>
      <c r="G724">
        <f>IF(K724="Pick-up","PICKUPS",IF(K724="Staff drop-off","STAFF_DROPOFF",IF(K724="Replacements","REPLACEMENT",IF(K724="Central Stores Dispatch","CENTRAL STORES DISPATCH",IFNA(IFNA(VLOOKUP(F724,'Raw Platform Nov 4-6 2025'!C:C,1,FALSE),VLOOKUP(F724,'Raw Platform Nov 4-6 2025'!D:D,1,FALSE)),IFNA(VLOOKUP(F724,'Glovo Raw Nov 4-6 2025'!B:B,1,FALSE),"Not Matched"))))))</f>
      </c>
      <c r="H724">
        <f>COUNTIF(F:F,F724)</f>
      </c>
      <c r="I724" t="s">
        <v>8412</v>
      </c>
      <c r="J724" t="s">
        <v>4915</v>
      </c>
      <c r="K724" t="s">
        <v>4916</v>
      </c>
      <c r="L724" t="s">
        <v>8413</v>
      </c>
      <c r="M724" t="s">
        <v>8414</v>
      </c>
      <c r="N724" t="s">
        <v>5458</v>
      </c>
      <c r="O724" t="s">
        <v>37</v>
      </c>
      <c r="P724" t="s">
        <v>5666</v>
      </c>
      <c r="Q724">
        <v>780</v>
      </c>
      <c r="R724" t="s">
        <v>5118</v>
      </c>
      <c r="S724" t="s">
        <v>276</v>
      </c>
      <c r="T724" t="s">
        <v>4924</v>
      </c>
      <c r="U724" t="s">
        <v>4924</v>
      </c>
      <c r="V724" t="s">
        <v>8415</v>
      </c>
      <c r="W724" t="s">
        <v>3667</v>
      </c>
      <c r="X724">
        <v>489</v>
      </c>
    </row>
    <row r="725" spans="1:24" x14ac:dyDescent="0.25">
      <c r="A725" t="s">
        <v>5231</v>
      </c>
      <c r="B725" t="s">
        <v>8355</v>
      </c>
      <c r="C725" t="s">
        <v>8356</v>
      </c>
      <c r="D725" t="s">
        <v>3667</v>
      </c>
      <c r="E725" t="s">
        <v>4913</v>
      </c>
      <c r="F725" t="s">
        <v>8416</v>
      </c>
      <c r="G725">
        <f>IF(K725="Pick-up","PICKUPS",IF(K725="Staff drop-off","STAFF_DROPOFF",IF(K725="Replacements","REPLACEMENT",IF(K725="Central Stores Dispatch","CENTRAL STORES DISPATCH",IFNA(IFNA(VLOOKUP(F725,'Raw Platform Nov 4-6 2025'!C:C,1,FALSE),VLOOKUP(F725,'Raw Platform Nov 4-6 2025'!D:D,1,FALSE)),IFNA(VLOOKUP(F725,'Glovo Raw Nov 4-6 2025'!B:B,1,FALSE),"Not Matched"))))))</f>
      </c>
      <c r="H725">
        <f>COUNTIF(F:F,F725)</f>
      </c>
      <c r="I725" t="s">
        <v>8417</v>
      </c>
      <c r="J725" t="s">
        <v>5028</v>
      </c>
      <c r="K725" t="s">
        <v>4927</v>
      </c>
      <c r="L725" t="s">
        <v>8418</v>
      </c>
      <c r="M725" t="s">
        <v>8419</v>
      </c>
      <c r="N725" t="s">
        <v>8420</v>
      </c>
      <c r="O725" t="s">
        <v>4920</v>
      </c>
      <c r="P725" t="s">
        <v>5430</v>
      </c>
      <c r="Q725">
        <v>0</v>
      </c>
      <c r="R725" t="s">
        <v>5118</v>
      </c>
      <c r="S725" t="s">
        <v>3667</v>
      </c>
      <c r="T725" t="s">
        <v>4923</v>
      </c>
      <c r="U725" t="s">
        <v>4924</v>
      </c>
      <c r="V725" t="s">
        <v>8421</v>
      </c>
      <c r="W725" t="s">
        <v>3667</v>
      </c>
      <c r="X725">
        <v>100</v>
      </c>
    </row>
    <row r="726" spans="1:24" x14ac:dyDescent="0.25">
      <c r="A726" t="s">
        <v>5231</v>
      </c>
      <c r="B726" t="s">
        <v>8355</v>
      </c>
      <c r="C726" t="s">
        <v>8356</v>
      </c>
      <c r="D726" t="s">
        <v>3667</v>
      </c>
      <c r="E726" t="s">
        <v>4913</v>
      </c>
      <c r="F726" t="s">
        <v>2992</v>
      </c>
      <c r="G726">
        <f>IF(K726="Pick-up","PICKUPS",IF(K726="Staff drop-off","STAFF_DROPOFF",IF(K726="Replacements","REPLACEMENT",IF(K726="Central Stores Dispatch","CENTRAL STORES DISPATCH",IFNA(IFNA(VLOOKUP(F726,'Raw Platform Nov 4-6 2025'!C:C,1,FALSE),VLOOKUP(F726,'Raw Platform Nov 4-6 2025'!D:D,1,FALSE)),IFNA(VLOOKUP(F726,'Glovo Raw Nov 4-6 2025'!B:B,1,FALSE),"Not Matched"))))))</f>
      </c>
      <c r="H726">
        <f>COUNTIF(F:F,F726)</f>
      </c>
      <c r="I726" t="s">
        <v>8422</v>
      </c>
      <c r="J726" t="s">
        <v>5028</v>
      </c>
      <c r="K726" t="s">
        <v>4916</v>
      </c>
      <c r="L726" t="s">
        <v>8423</v>
      </c>
      <c r="M726" t="s">
        <v>8424</v>
      </c>
      <c r="N726" t="s">
        <v>8425</v>
      </c>
      <c r="O726" t="s">
        <v>5013</v>
      </c>
      <c r="P726" t="s">
        <v>5810</v>
      </c>
      <c r="Q726">
        <v>1712</v>
      </c>
      <c r="R726" t="s">
        <v>5118</v>
      </c>
      <c r="S726" t="s">
        <v>3667</v>
      </c>
      <c r="T726" t="s">
        <v>4923</v>
      </c>
      <c r="U726" t="s">
        <v>4924</v>
      </c>
      <c r="V726" t="s">
        <v>8426</v>
      </c>
      <c r="W726" t="s">
        <v>3667</v>
      </c>
      <c r="X726">
        <v>100</v>
      </c>
    </row>
    <row r="727" spans="1:24" x14ac:dyDescent="0.25">
      <c r="A727" t="s">
        <v>5176</v>
      </c>
      <c r="B727" t="s">
        <v>8355</v>
      </c>
      <c r="C727" t="s">
        <v>8356</v>
      </c>
      <c r="D727" t="s">
        <v>191</v>
      </c>
      <c r="E727" t="s">
        <v>4913</v>
      </c>
      <c r="F727" t="s">
        <v>2922</v>
      </c>
      <c r="G727">
        <f>IF(K727="Pick-up","PICKUPS",IF(K727="Staff drop-off","STAFF_DROPOFF",IF(K727="Replacements","REPLACEMENT",IF(K727="Central Stores Dispatch","CENTRAL STORES DISPATCH",IFNA(IFNA(VLOOKUP(F727,'Raw Platform Nov 4-6 2025'!C:C,1,FALSE),VLOOKUP(F727,'Raw Platform Nov 4-6 2025'!D:D,1,FALSE)),IFNA(VLOOKUP(F727,'Glovo Raw Nov 4-6 2025'!B:B,1,FALSE),"Not Matched"))))))</f>
      </c>
      <c r="H727">
        <f>COUNTIF(F:F,F727)</f>
      </c>
      <c r="I727" t="s">
        <v>8427</v>
      </c>
      <c r="J727" t="s">
        <v>4915</v>
      </c>
      <c r="K727" t="s">
        <v>4927</v>
      </c>
      <c r="L727" t="s">
        <v>8428</v>
      </c>
      <c r="M727" t="s">
        <v>8429</v>
      </c>
      <c r="N727" t="s">
        <v>8430</v>
      </c>
      <c r="O727" t="s">
        <v>5183</v>
      </c>
      <c r="P727" t="s">
        <v>8431</v>
      </c>
      <c r="Q727">
        <v>0</v>
      </c>
      <c r="R727" t="s">
        <v>5118</v>
      </c>
      <c r="S727" t="s">
        <v>6166</v>
      </c>
      <c r="T727" t="s">
        <v>4923</v>
      </c>
      <c r="U727" t="s">
        <v>4924</v>
      </c>
      <c r="V727" t="s">
        <v>8432</v>
      </c>
      <c r="W727" t="s">
        <v>3667</v>
      </c>
      <c r="X727">
        <v>415.1</v>
      </c>
    </row>
    <row r="728" spans="1:24" x14ac:dyDescent="0.25">
      <c r="A728" t="s">
        <v>5176</v>
      </c>
      <c r="B728" t="s">
        <v>8355</v>
      </c>
      <c r="C728" t="s">
        <v>8356</v>
      </c>
      <c r="D728" t="s">
        <v>191</v>
      </c>
      <c r="E728" t="s">
        <v>5034</v>
      </c>
      <c r="F728" t="s">
        <v>2922</v>
      </c>
      <c r="G728">
        <f>IF(K728="Pick-up","PICKUPS",IF(K728="Staff drop-off","STAFF_DROPOFF",IF(K728="Replacements","REPLACEMENT",IF(K728="Central Stores Dispatch","CENTRAL STORES DISPATCH",IFNA(IFNA(VLOOKUP(F728,'Raw Platform Nov 4-6 2025'!C:C,1,FALSE),VLOOKUP(F728,'Raw Platform Nov 4-6 2025'!D:D,1,FALSE)),IFNA(VLOOKUP(F728,'Glovo Raw Nov 4-6 2025'!B:B,1,FALSE),"Not Matched"))))))</f>
      </c>
      <c r="H728">
        <f>COUNTIF(F:F,F728)</f>
      </c>
      <c r="I728" t="s">
        <v>8427</v>
      </c>
      <c r="J728" t="s">
        <v>4915</v>
      </c>
      <c r="K728" t="s">
        <v>4927</v>
      </c>
      <c r="L728" t="s">
        <v>8428</v>
      </c>
      <c r="M728" t="s">
        <v>8429</v>
      </c>
      <c r="N728" t="s">
        <v>8430</v>
      </c>
      <c r="O728" t="s">
        <v>5183</v>
      </c>
      <c r="P728" t="s">
        <v>8431</v>
      </c>
      <c r="Q728">
        <v>0</v>
      </c>
      <c r="R728" t="s">
        <v>5118</v>
      </c>
      <c r="S728" t="s">
        <v>6166</v>
      </c>
      <c r="T728" t="s">
        <v>4923</v>
      </c>
      <c r="U728" t="s">
        <v>4923</v>
      </c>
      <c r="V728" t="s">
        <v>8433</v>
      </c>
      <c r="W728" t="s">
        <v>3667</v>
      </c>
      <c r="X728">
        <v>0</v>
      </c>
    </row>
    <row r="729" spans="1:24" x14ac:dyDescent="0.25">
      <c r="A729" t="s">
        <v>5130</v>
      </c>
      <c r="B729" t="s">
        <v>8355</v>
      </c>
      <c r="C729" t="s">
        <v>8356</v>
      </c>
      <c r="D729" t="s">
        <v>191</v>
      </c>
      <c r="E729" t="s">
        <v>4913</v>
      </c>
      <c r="F729" t="s">
        <v>8434</v>
      </c>
      <c r="G729">
        <f>IF(K729="Pick-up","PICKUPS",IF(K729="Staff drop-off","STAFF_DROPOFF",IF(K729="Replacements","REPLACEMENT",IF(K729="Central Stores Dispatch","CENTRAL STORES DISPATCH",IFNA(IFNA(VLOOKUP(F729,'Raw Platform Nov 4-6 2025'!C:C,1,FALSE),VLOOKUP(F729,'Raw Platform Nov 4-6 2025'!D:D,1,FALSE)),IFNA(VLOOKUP(F729,'Glovo Raw Nov 4-6 2025'!B:B,1,FALSE),"Not Matched"))))))</f>
      </c>
      <c r="H729">
        <f>COUNTIF(F:F,F729)</f>
      </c>
      <c r="I729" t="s">
        <v>8435</v>
      </c>
      <c r="J729" t="s">
        <v>4915</v>
      </c>
      <c r="K729" t="s">
        <v>4927</v>
      </c>
      <c r="L729" t="s">
        <v>8428</v>
      </c>
      <c r="M729" t="s">
        <v>5234</v>
      </c>
      <c r="N729" t="s">
        <v>6169</v>
      </c>
      <c r="O729" t="s">
        <v>9</v>
      </c>
      <c r="P729" t="s">
        <v>7024</v>
      </c>
      <c r="Q729">
        <v>0</v>
      </c>
      <c r="R729" t="s">
        <v>5118</v>
      </c>
      <c r="S729" t="s">
        <v>6166</v>
      </c>
      <c r="T729" t="s">
        <v>4923</v>
      </c>
      <c r="U729" t="s">
        <v>4924</v>
      </c>
      <c r="V729" t="s">
        <v>8436</v>
      </c>
      <c r="W729" t="s">
        <v>3667</v>
      </c>
      <c r="X729">
        <v>185.1</v>
      </c>
    </row>
    <row r="730" spans="1:24" x14ac:dyDescent="0.25">
      <c r="A730" t="s">
        <v>5176</v>
      </c>
      <c r="B730" t="s">
        <v>8437</v>
      </c>
      <c r="C730" t="s">
        <v>8438</v>
      </c>
      <c r="D730" t="s">
        <v>30</v>
      </c>
      <c r="E730" t="s">
        <v>4913</v>
      </c>
      <c r="F730" t="s">
        <v>1892</v>
      </c>
      <c r="G730">
        <f>IF(K730="Pick-up","PICKUPS",IF(K730="Staff drop-off","STAFF_DROPOFF",IF(K730="Replacements","REPLACEMENT",IF(K730="Central Stores Dispatch","CENTRAL STORES DISPATCH",IFNA(IFNA(VLOOKUP(F730,'Raw Platform Nov 4-6 2025'!C:C,1,FALSE),VLOOKUP(F730,'Raw Platform Nov 4-6 2025'!D:D,1,FALSE)),IFNA(VLOOKUP(F730,'Glovo Raw Nov 4-6 2025'!B:B,1,FALSE),"Not Matched"))))))</f>
      </c>
      <c r="H730">
        <f>COUNTIF(F:F,F730)</f>
      </c>
      <c r="I730" t="s">
        <v>8439</v>
      </c>
      <c r="J730" t="s">
        <v>4915</v>
      </c>
      <c r="K730" t="s">
        <v>4927</v>
      </c>
      <c r="L730" t="s">
        <v>8440</v>
      </c>
      <c r="M730" t="s">
        <v>8441</v>
      </c>
      <c r="N730" t="s">
        <v>8442</v>
      </c>
      <c r="O730" t="s">
        <v>4962</v>
      </c>
      <c r="P730" t="s">
        <v>5025</v>
      </c>
      <c r="Q730">
        <v>0</v>
      </c>
      <c r="R730" t="s">
        <v>5118</v>
      </c>
      <c r="S730" t="s">
        <v>116</v>
      </c>
      <c r="T730" t="s">
        <v>4923</v>
      </c>
      <c r="U730" t="s">
        <v>4924</v>
      </c>
      <c r="V730" t="s">
        <v>8443</v>
      </c>
      <c r="W730" t="s">
        <v>3667</v>
      </c>
      <c r="X730">
        <v>100</v>
      </c>
    </row>
    <row r="731" spans="1:24" x14ac:dyDescent="0.25">
      <c r="A731" t="s">
        <v>5176</v>
      </c>
      <c r="B731" t="s">
        <v>8437</v>
      </c>
      <c r="C731" t="s">
        <v>8438</v>
      </c>
      <c r="D731" t="s">
        <v>30</v>
      </c>
      <c r="E731" t="s">
        <v>4913</v>
      </c>
      <c r="F731" t="s">
        <v>8444</v>
      </c>
      <c r="G731">
        <f>IF(K731="Pick-up","PICKUPS",IF(K731="Staff drop-off","STAFF_DROPOFF",IF(K731="Replacements","REPLACEMENT",IF(K731="Central Stores Dispatch","CENTRAL STORES DISPATCH",IFNA(IFNA(VLOOKUP(F731,'Raw Platform Nov 4-6 2025'!C:C,1,FALSE),VLOOKUP(F731,'Raw Platform Nov 4-6 2025'!D:D,1,FALSE)),IFNA(VLOOKUP(F731,'Glovo Raw Nov 4-6 2025'!B:B,1,FALSE),"Not Matched"))))))</f>
      </c>
      <c r="H731">
        <f>COUNTIF(F:F,F731)</f>
      </c>
      <c r="I731" t="s">
        <v>8445</v>
      </c>
      <c r="J731" t="s">
        <v>5289</v>
      </c>
      <c r="K731" t="s">
        <v>4927</v>
      </c>
      <c r="L731" t="s">
        <v>5326</v>
      </c>
      <c r="M731" t="s">
        <v>5327</v>
      </c>
      <c r="N731" t="s">
        <v>6458</v>
      </c>
      <c r="O731" t="s">
        <v>100</v>
      </c>
      <c r="P731" t="s">
        <v>5328</v>
      </c>
      <c r="Q731">
        <v>0</v>
      </c>
      <c r="R731" t="s">
        <v>5118</v>
      </c>
      <c r="S731" t="s">
        <v>5293</v>
      </c>
      <c r="T731" t="s">
        <v>4923</v>
      </c>
      <c r="U731" t="s">
        <v>4924</v>
      </c>
      <c r="V731" t="s">
        <v>8446</v>
      </c>
      <c r="W731" t="s">
        <v>3667</v>
      </c>
      <c r="X731">
        <v>205.8</v>
      </c>
    </row>
    <row r="732" spans="1:24" x14ac:dyDescent="0.25">
      <c r="A732" t="s">
        <v>5176</v>
      </c>
      <c r="B732" t="s">
        <v>8437</v>
      </c>
      <c r="C732" t="s">
        <v>8438</v>
      </c>
      <c r="D732" t="s">
        <v>30</v>
      </c>
      <c r="E732" t="s">
        <v>4913</v>
      </c>
      <c r="F732" t="s">
        <v>2098</v>
      </c>
      <c r="G732">
        <f>IF(K732="Pick-up","PICKUPS",IF(K732="Staff drop-off","STAFF_DROPOFF",IF(K732="Replacements","REPLACEMENT",IF(K732="Central Stores Dispatch","CENTRAL STORES DISPATCH",IFNA(IFNA(VLOOKUP(F732,'Raw Platform Nov 4-6 2025'!C:C,1,FALSE),VLOOKUP(F732,'Raw Platform Nov 4-6 2025'!D:D,1,FALSE)),IFNA(VLOOKUP(F732,'Glovo Raw Nov 4-6 2025'!B:B,1,FALSE),"Not Matched"))))))</f>
      </c>
      <c r="H732">
        <f>COUNTIF(F:F,F732)</f>
      </c>
      <c r="I732" t="s">
        <v>8447</v>
      </c>
      <c r="J732" t="s">
        <v>4915</v>
      </c>
      <c r="K732" t="s">
        <v>4927</v>
      </c>
      <c r="L732" t="s">
        <v>8448</v>
      </c>
      <c r="M732" t="s">
        <v>8449</v>
      </c>
      <c r="N732" t="s">
        <v>8450</v>
      </c>
      <c r="O732" t="s">
        <v>4962</v>
      </c>
      <c r="P732" t="s">
        <v>5578</v>
      </c>
      <c r="Q732">
        <v>0</v>
      </c>
      <c r="R732" t="s">
        <v>5118</v>
      </c>
      <c r="S732" t="s">
        <v>172</v>
      </c>
      <c r="T732" t="s">
        <v>4923</v>
      </c>
      <c r="U732" t="s">
        <v>4924</v>
      </c>
      <c r="V732" t="s">
        <v>8451</v>
      </c>
      <c r="W732" t="s">
        <v>3667</v>
      </c>
      <c r="X732">
        <v>100</v>
      </c>
    </row>
    <row r="733" spans="1:24" x14ac:dyDescent="0.25">
      <c r="A733" t="s">
        <v>5176</v>
      </c>
      <c r="B733" t="s">
        <v>8437</v>
      </c>
      <c r="C733" t="s">
        <v>8438</v>
      </c>
      <c r="D733" t="s">
        <v>30</v>
      </c>
      <c r="E733" t="s">
        <v>4913</v>
      </c>
      <c r="F733" t="s">
        <v>2442</v>
      </c>
      <c r="G733">
        <f>IF(K733="Pick-up","PICKUPS",IF(K733="Staff drop-off","STAFF_DROPOFF",IF(K733="Replacements","REPLACEMENT",IF(K733="Central Stores Dispatch","CENTRAL STORES DISPATCH",IFNA(IFNA(VLOOKUP(F733,'Raw Platform Nov 4-6 2025'!C:C,1,FALSE),VLOOKUP(F733,'Raw Platform Nov 4-6 2025'!D:D,1,FALSE)),IFNA(VLOOKUP(F733,'Glovo Raw Nov 4-6 2025'!B:B,1,FALSE),"Not Matched"))))))</f>
      </c>
      <c r="H733">
        <f>COUNTIF(F:F,F733)</f>
      </c>
      <c r="I733" t="s">
        <v>8452</v>
      </c>
      <c r="J733" t="s">
        <v>4915</v>
      </c>
      <c r="K733" t="s">
        <v>4916</v>
      </c>
      <c r="L733" t="s">
        <v>8453</v>
      </c>
      <c r="M733" t="s">
        <v>5327</v>
      </c>
      <c r="N733" t="s">
        <v>6346</v>
      </c>
      <c r="O733" t="s">
        <v>73</v>
      </c>
      <c r="P733" t="s">
        <v>5572</v>
      </c>
      <c r="Q733">
        <v>962</v>
      </c>
      <c r="R733" t="s">
        <v>5118</v>
      </c>
      <c r="S733" t="s">
        <v>172</v>
      </c>
      <c r="T733" t="s">
        <v>4923</v>
      </c>
      <c r="U733" t="s">
        <v>4924</v>
      </c>
      <c r="V733" t="s">
        <v>8454</v>
      </c>
      <c r="W733" t="s">
        <v>3667</v>
      </c>
      <c r="X733">
        <v>125.3</v>
      </c>
    </row>
    <row r="734" spans="1:24" x14ac:dyDescent="0.25">
      <c r="A734" t="s">
        <v>5176</v>
      </c>
      <c r="B734" t="s">
        <v>8437</v>
      </c>
      <c r="C734" t="s">
        <v>8438</v>
      </c>
      <c r="D734" t="s">
        <v>30</v>
      </c>
      <c r="E734" t="s">
        <v>4913</v>
      </c>
      <c r="F734" t="s">
        <v>2246</v>
      </c>
      <c r="G734">
        <f>IF(K734="Pick-up","PICKUPS",IF(K734="Staff drop-off","STAFF_DROPOFF",IF(K734="Replacements","REPLACEMENT",IF(K734="Central Stores Dispatch","CENTRAL STORES DISPATCH",IFNA(IFNA(VLOOKUP(F734,'Raw Platform Nov 4-6 2025'!C:C,1,FALSE),VLOOKUP(F734,'Raw Platform Nov 4-6 2025'!D:D,1,FALSE)),IFNA(VLOOKUP(F734,'Glovo Raw Nov 4-6 2025'!B:B,1,FALSE),"Not Matched"))))))</f>
      </c>
      <c r="H734">
        <f>COUNTIF(F:F,F734)</f>
      </c>
      <c r="I734" t="s">
        <v>8455</v>
      </c>
      <c r="J734" t="s">
        <v>4915</v>
      </c>
      <c r="K734" t="s">
        <v>4927</v>
      </c>
      <c r="L734" t="s">
        <v>8456</v>
      </c>
      <c r="M734" t="s">
        <v>5327</v>
      </c>
      <c r="N734" t="s">
        <v>5107</v>
      </c>
      <c r="O734" t="s">
        <v>113</v>
      </c>
      <c r="P734" t="s">
        <v>7024</v>
      </c>
      <c r="Q734">
        <v>0</v>
      </c>
      <c r="R734" t="s">
        <v>5118</v>
      </c>
      <c r="S734" t="s">
        <v>12</v>
      </c>
      <c r="T734" t="s">
        <v>4923</v>
      </c>
      <c r="U734" t="s">
        <v>4924</v>
      </c>
      <c r="V734" t="s">
        <v>8457</v>
      </c>
      <c r="W734" t="s">
        <v>3667</v>
      </c>
      <c r="X734">
        <v>185.1</v>
      </c>
    </row>
    <row r="735" spans="1:24" x14ac:dyDescent="0.25">
      <c r="A735" t="s">
        <v>4932</v>
      </c>
      <c r="B735" t="s">
        <v>8437</v>
      </c>
      <c r="C735" t="s">
        <v>8438</v>
      </c>
      <c r="D735" t="s">
        <v>13</v>
      </c>
      <c r="E735" t="s">
        <v>4913</v>
      </c>
      <c r="F735" t="s">
        <v>3507</v>
      </c>
      <c r="G735">
        <f>IF(K735="Pick-up","PICKUPS",IF(K735="Staff drop-off","STAFF_DROPOFF",IF(K735="Replacements","REPLACEMENT",IF(K735="Central Stores Dispatch","CENTRAL STORES DISPATCH",IFNA(IFNA(VLOOKUP(F735,'Raw Platform Nov 4-6 2025'!C:C,1,FALSE),VLOOKUP(F735,'Raw Platform Nov 4-6 2025'!D:D,1,FALSE)),IFNA(VLOOKUP(F735,'Glovo Raw Nov 4-6 2025'!B:B,1,FALSE),"Not Matched"))))))</f>
      </c>
      <c r="H735">
        <f>COUNTIF(F:F,F735)</f>
      </c>
      <c r="I735" t="s">
        <v>8458</v>
      </c>
      <c r="J735" t="s">
        <v>4915</v>
      </c>
      <c r="K735" t="s">
        <v>4927</v>
      </c>
      <c r="L735" t="s">
        <v>8459</v>
      </c>
      <c r="M735" t="s">
        <v>8460</v>
      </c>
      <c r="N735" t="s">
        <v>8461</v>
      </c>
      <c r="O735" t="s">
        <v>26</v>
      </c>
      <c r="P735" t="s">
        <v>4962</v>
      </c>
      <c r="Q735">
        <v>0</v>
      </c>
      <c r="R735" t="s">
        <v>5118</v>
      </c>
      <c r="S735" t="s">
        <v>29</v>
      </c>
      <c r="T735" t="s">
        <v>4923</v>
      </c>
      <c r="U735" t="s">
        <v>4924</v>
      </c>
      <c r="V735" t="s">
        <v>8462</v>
      </c>
      <c r="W735" t="s">
        <v>3667</v>
      </c>
      <c r="X735">
        <v>180.5</v>
      </c>
    </row>
    <row r="736" spans="1:24" x14ac:dyDescent="0.25">
      <c r="A736" t="s">
        <v>5176</v>
      </c>
      <c r="B736" t="s">
        <v>8437</v>
      </c>
      <c r="C736" t="s">
        <v>8438</v>
      </c>
      <c r="D736" t="s">
        <v>30</v>
      </c>
      <c r="E736" t="s">
        <v>4913</v>
      </c>
      <c r="F736" t="s">
        <v>3198</v>
      </c>
      <c r="G736">
        <f>IF(K736="Pick-up","PICKUPS",IF(K736="Staff drop-off","STAFF_DROPOFF",IF(K736="Replacements","REPLACEMENT",IF(K736="Central Stores Dispatch","CENTRAL STORES DISPATCH",IFNA(IFNA(VLOOKUP(F736,'Raw Platform Nov 4-6 2025'!C:C,1,FALSE),VLOOKUP(F736,'Raw Platform Nov 4-6 2025'!D:D,1,FALSE)),IFNA(VLOOKUP(F736,'Glovo Raw Nov 4-6 2025'!B:B,1,FALSE),"Not Matched"))))))</f>
      </c>
      <c r="H736">
        <f>COUNTIF(F:F,F736)</f>
      </c>
      <c r="I736" t="s">
        <v>8463</v>
      </c>
      <c r="J736" t="s">
        <v>4915</v>
      </c>
      <c r="K736" t="s">
        <v>4927</v>
      </c>
      <c r="L736" t="s">
        <v>8464</v>
      </c>
      <c r="M736" t="s">
        <v>5327</v>
      </c>
      <c r="N736" t="s">
        <v>6613</v>
      </c>
      <c r="O736" t="s">
        <v>16</v>
      </c>
      <c r="P736" t="s">
        <v>4962</v>
      </c>
      <c r="Q736">
        <v>0</v>
      </c>
      <c r="R736" t="s">
        <v>5118</v>
      </c>
      <c r="S736" t="s">
        <v>29</v>
      </c>
      <c r="T736" t="s">
        <v>4923</v>
      </c>
      <c r="U736" t="s">
        <v>4924</v>
      </c>
      <c r="V736" t="s">
        <v>8465</v>
      </c>
      <c r="W736" t="s">
        <v>3667</v>
      </c>
      <c r="X736">
        <v>180.5</v>
      </c>
    </row>
    <row r="737" spans="1:24" x14ac:dyDescent="0.25">
      <c r="A737" t="s">
        <v>5176</v>
      </c>
      <c r="B737" t="s">
        <v>8437</v>
      </c>
      <c r="C737" t="s">
        <v>8438</v>
      </c>
      <c r="D737" t="s">
        <v>30</v>
      </c>
      <c r="E737" t="s">
        <v>4913</v>
      </c>
      <c r="F737" t="s">
        <v>2870</v>
      </c>
      <c r="G737">
        <f>IF(K737="Pick-up","PICKUPS",IF(K737="Staff drop-off","STAFF_DROPOFF",IF(K737="Replacements","REPLACEMENT",IF(K737="Central Stores Dispatch","CENTRAL STORES DISPATCH",IFNA(IFNA(VLOOKUP(F737,'Raw Platform Nov 4-6 2025'!C:C,1,FALSE),VLOOKUP(F737,'Raw Platform Nov 4-6 2025'!D:D,1,FALSE)),IFNA(VLOOKUP(F737,'Glovo Raw Nov 4-6 2025'!B:B,1,FALSE),"Not Matched"))))))</f>
      </c>
      <c r="H737">
        <f>COUNTIF(F:F,F737)</f>
      </c>
      <c r="I737" t="s">
        <v>8466</v>
      </c>
      <c r="J737" t="s">
        <v>4915</v>
      </c>
      <c r="K737" t="s">
        <v>4927</v>
      </c>
      <c r="L737" t="s">
        <v>5981</v>
      </c>
      <c r="M737" t="s">
        <v>5327</v>
      </c>
      <c r="N737" t="s">
        <v>5982</v>
      </c>
      <c r="O737" t="s">
        <v>91</v>
      </c>
      <c r="P737" t="s">
        <v>5983</v>
      </c>
      <c r="Q737">
        <v>0</v>
      </c>
      <c r="R737" t="s">
        <v>5118</v>
      </c>
      <c r="S737" t="s">
        <v>172</v>
      </c>
      <c r="T737" t="s">
        <v>4923</v>
      </c>
      <c r="U737" t="s">
        <v>4924</v>
      </c>
      <c r="V737" t="s">
        <v>8467</v>
      </c>
      <c r="W737" t="s">
        <v>3667</v>
      </c>
      <c r="X737">
        <v>302.4</v>
      </c>
    </row>
    <row r="738" spans="1:24" x14ac:dyDescent="0.25">
      <c r="A738" t="s">
        <v>5176</v>
      </c>
      <c r="B738" t="s">
        <v>8437</v>
      </c>
      <c r="C738" t="s">
        <v>8438</v>
      </c>
      <c r="D738" t="s">
        <v>30</v>
      </c>
      <c r="E738" t="s">
        <v>4913</v>
      </c>
      <c r="F738" t="s">
        <v>2673</v>
      </c>
      <c r="G738">
        <f>IF(K738="Pick-up","PICKUPS",IF(K738="Staff drop-off","STAFF_DROPOFF",IF(K738="Replacements","REPLACEMENT",IF(K738="Central Stores Dispatch","CENTRAL STORES DISPATCH",IFNA(IFNA(VLOOKUP(F738,'Raw Platform Nov 4-6 2025'!C:C,1,FALSE),VLOOKUP(F738,'Raw Platform Nov 4-6 2025'!D:D,1,FALSE)),IFNA(VLOOKUP(F738,'Glovo Raw Nov 4-6 2025'!B:B,1,FALSE),"Not Matched"))))))</f>
      </c>
      <c r="H738">
        <f>COUNTIF(F:F,F738)</f>
      </c>
      <c r="I738" t="s">
        <v>8468</v>
      </c>
      <c r="J738" t="s">
        <v>4915</v>
      </c>
      <c r="K738" t="s">
        <v>4927</v>
      </c>
      <c r="L738" t="s">
        <v>8469</v>
      </c>
      <c r="M738" t="s">
        <v>8470</v>
      </c>
      <c r="N738" t="s">
        <v>8471</v>
      </c>
      <c r="O738" t="s">
        <v>47</v>
      </c>
      <c r="P738" t="s">
        <v>5045</v>
      </c>
      <c r="Q738">
        <v>0</v>
      </c>
      <c r="R738" t="s">
        <v>5118</v>
      </c>
      <c r="S738" t="s">
        <v>29</v>
      </c>
      <c r="T738" t="s">
        <v>4923</v>
      </c>
      <c r="U738" t="s">
        <v>4924</v>
      </c>
      <c r="V738" t="s">
        <v>8472</v>
      </c>
      <c r="W738" t="s">
        <v>3667</v>
      </c>
      <c r="X738">
        <v>102.3</v>
      </c>
    </row>
    <row r="739" spans="1:24" x14ac:dyDescent="0.25">
      <c r="A739" t="s">
        <v>5176</v>
      </c>
      <c r="B739" t="s">
        <v>8437</v>
      </c>
      <c r="C739" t="s">
        <v>8438</v>
      </c>
      <c r="D739" t="s">
        <v>30</v>
      </c>
      <c r="E739" t="s">
        <v>4913</v>
      </c>
      <c r="F739" t="s">
        <v>2697</v>
      </c>
      <c r="G739">
        <f>IF(K739="Pick-up","PICKUPS",IF(K739="Staff drop-off","STAFF_DROPOFF",IF(K739="Replacements","REPLACEMENT",IF(K739="Central Stores Dispatch","CENTRAL STORES DISPATCH",IFNA(IFNA(VLOOKUP(F739,'Raw Platform Nov 4-6 2025'!C:C,1,FALSE),VLOOKUP(F739,'Raw Platform Nov 4-6 2025'!D:D,1,FALSE)),IFNA(VLOOKUP(F739,'Glovo Raw Nov 4-6 2025'!B:B,1,FALSE),"Not Matched"))))))</f>
      </c>
      <c r="H739">
        <f>COUNTIF(F:F,F739)</f>
      </c>
      <c r="I739" t="s">
        <v>8473</v>
      </c>
      <c r="J739" t="s">
        <v>4915</v>
      </c>
      <c r="K739" t="s">
        <v>4927</v>
      </c>
      <c r="L739" t="s">
        <v>8474</v>
      </c>
      <c r="M739" t="s">
        <v>8475</v>
      </c>
      <c r="N739" t="s">
        <v>8476</v>
      </c>
      <c r="O739" t="s">
        <v>47</v>
      </c>
      <c r="P739" t="s">
        <v>5019</v>
      </c>
      <c r="Q739">
        <v>0</v>
      </c>
      <c r="R739" t="s">
        <v>5118</v>
      </c>
      <c r="S739" t="s">
        <v>29</v>
      </c>
      <c r="T739" t="s">
        <v>4923</v>
      </c>
      <c r="U739" t="s">
        <v>4924</v>
      </c>
      <c r="V739" t="s">
        <v>8477</v>
      </c>
      <c r="W739" t="s">
        <v>3667</v>
      </c>
      <c r="X739">
        <v>100</v>
      </c>
    </row>
    <row r="740" spans="1:24" x14ac:dyDescent="0.25">
      <c r="A740" t="s">
        <v>5176</v>
      </c>
      <c r="B740" t="s">
        <v>8437</v>
      </c>
      <c r="C740" t="s">
        <v>8438</v>
      </c>
      <c r="D740" t="s">
        <v>30</v>
      </c>
      <c r="E740" t="s">
        <v>4913</v>
      </c>
      <c r="F740" t="s">
        <v>3399</v>
      </c>
      <c r="G740">
        <f>IF(K740="Pick-up","PICKUPS",IF(K740="Staff drop-off","STAFF_DROPOFF",IF(K740="Replacements","REPLACEMENT",IF(K740="Central Stores Dispatch","CENTRAL STORES DISPATCH",IFNA(IFNA(VLOOKUP(F740,'Raw Platform Nov 4-6 2025'!C:C,1,FALSE),VLOOKUP(F740,'Raw Platform Nov 4-6 2025'!D:D,1,FALSE)),IFNA(VLOOKUP(F740,'Glovo Raw Nov 4-6 2025'!B:B,1,FALSE),"Not Matched"))))))</f>
      </c>
      <c r="H740">
        <f>COUNTIF(F:F,F740)</f>
      </c>
      <c r="I740" t="s">
        <v>8478</v>
      </c>
      <c r="J740" t="s">
        <v>4915</v>
      </c>
      <c r="K740" t="s">
        <v>4916</v>
      </c>
      <c r="L740" t="s">
        <v>8479</v>
      </c>
      <c r="M740" t="s">
        <v>8480</v>
      </c>
      <c r="N740" t="s">
        <v>8481</v>
      </c>
      <c r="O740" t="s">
        <v>4956</v>
      </c>
      <c r="P740" t="s">
        <v>5056</v>
      </c>
      <c r="Q740">
        <v>976</v>
      </c>
      <c r="R740" t="s">
        <v>5118</v>
      </c>
      <c r="S740" t="s">
        <v>29</v>
      </c>
      <c r="T740" t="s">
        <v>4923</v>
      </c>
      <c r="U740" t="s">
        <v>4924</v>
      </c>
      <c r="V740" t="s">
        <v>8482</v>
      </c>
      <c r="W740" t="s">
        <v>3667</v>
      </c>
      <c r="X740">
        <v>100</v>
      </c>
    </row>
    <row r="741" spans="1:24" x14ac:dyDescent="0.25">
      <c r="A741" t="s">
        <v>5176</v>
      </c>
      <c r="B741" t="s">
        <v>8437</v>
      </c>
      <c r="C741" t="s">
        <v>8438</v>
      </c>
      <c r="D741" t="s">
        <v>191</v>
      </c>
      <c r="E741" t="s">
        <v>4913</v>
      </c>
      <c r="F741" t="s">
        <v>2829</v>
      </c>
      <c r="G741">
        <f>IF(K741="Pick-up","PICKUPS",IF(K741="Staff drop-off","STAFF_DROPOFF",IF(K741="Replacements","REPLACEMENT",IF(K741="Central Stores Dispatch","CENTRAL STORES DISPATCH",IFNA(IFNA(VLOOKUP(F741,'Raw Platform Nov 4-6 2025'!C:C,1,FALSE),VLOOKUP(F741,'Raw Platform Nov 4-6 2025'!D:D,1,FALSE)),IFNA(VLOOKUP(F741,'Glovo Raw Nov 4-6 2025'!B:B,1,FALSE),"Not Matched"))))))</f>
      </c>
      <c r="H741">
        <f>COUNTIF(F:F,F741)</f>
      </c>
      <c r="I741" t="s">
        <v>8483</v>
      </c>
      <c r="J741" t="s">
        <v>4915</v>
      </c>
      <c r="K741" t="s">
        <v>4927</v>
      </c>
      <c r="L741" t="s">
        <v>6695</v>
      </c>
      <c r="M741" t="s">
        <v>6696</v>
      </c>
      <c r="N741" t="s">
        <v>6697</v>
      </c>
      <c r="O741" t="s">
        <v>47</v>
      </c>
      <c r="P741" t="s">
        <v>4950</v>
      </c>
      <c r="Q741">
        <v>0</v>
      </c>
      <c r="R741" t="s">
        <v>5118</v>
      </c>
      <c r="S741" t="s">
        <v>5184</v>
      </c>
      <c r="T741" t="s">
        <v>4923</v>
      </c>
      <c r="U741" t="s">
        <v>4924</v>
      </c>
      <c r="V741" t="s">
        <v>8484</v>
      </c>
      <c r="W741" t="s">
        <v>3667</v>
      </c>
      <c r="X741">
        <v>100</v>
      </c>
    </row>
    <row r="742" spans="1:24" x14ac:dyDescent="0.25">
      <c r="A742" t="s">
        <v>5176</v>
      </c>
      <c r="B742" t="s">
        <v>8437</v>
      </c>
      <c r="C742" t="s">
        <v>8438</v>
      </c>
      <c r="D742" t="s">
        <v>30</v>
      </c>
      <c r="E742" t="s">
        <v>4913</v>
      </c>
      <c r="F742" t="s">
        <v>2713</v>
      </c>
      <c r="G742">
        <f>IF(K742="Pick-up","PICKUPS",IF(K742="Staff drop-off","STAFF_DROPOFF",IF(K742="Replacements","REPLACEMENT",IF(K742="Central Stores Dispatch","CENTRAL STORES DISPATCH",IFNA(IFNA(VLOOKUP(F742,'Raw Platform Nov 4-6 2025'!C:C,1,FALSE),VLOOKUP(F742,'Raw Platform Nov 4-6 2025'!D:D,1,FALSE)),IFNA(VLOOKUP(F742,'Glovo Raw Nov 4-6 2025'!B:B,1,FALSE),"Not Matched"))))))</f>
      </c>
      <c r="H742">
        <f>COUNTIF(F:F,F742)</f>
      </c>
      <c r="I742" t="s">
        <v>8485</v>
      </c>
      <c r="J742" t="s">
        <v>4915</v>
      </c>
      <c r="K742" t="s">
        <v>4927</v>
      </c>
      <c r="L742" t="s">
        <v>8486</v>
      </c>
      <c r="M742" t="s">
        <v>8487</v>
      </c>
      <c r="N742" t="s">
        <v>8488</v>
      </c>
      <c r="O742" t="s">
        <v>4962</v>
      </c>
      <c r="P742" t="s">
        <v>4930</v>
      </c>
      <c r="Q742">
        <v>0</v>
      </c>
      <c r="R742" t="s">
        <v>5118</v>
      </c>
      <c r="S742" t="s">
        <v>172</v>
      </c>
      <c r="T742" t="s">
        <v>4923</v>
      </c>
      <c r="U742" t="s">
        <v>4924</v>
      </c>
      <c r="V742" t="s">
        <v>8489</v>
      </c>
      <c r="W742" t="s">
        <v>3667</v>
      </c>
      <c r="X742">
        <v>100</v>
      </c>
    </row>
    <row r="743" spans="1:24" x14ac:dyDescent="0.25">
      <c r="A743" t="s">
        <v>5176</v>
      </c>
      <c r="B743" t="s">
        <v>8437</v>
      </c>
      <c r="C743" t="s">
        <v>8438</v>
      </c>
      <c r="D743" t="s">
        <v>30</v>
      </c>
      <c r="E743" t="s">
        <v>4913</v>
      </c>
      <c r="F743" t="s">
        <v>3204</v>
      </c>
      <c r="G743">
        <f>IF(K743="Pick-up","PICKUPS",IF(K743="Staff drop-off","STAFF_DROPOFF",IF(K743="Replacements","REPLACEMENT",IF(K743="Central Stores Dispatch","CENTRAL STORES DISPATCH",IFNA(IFNA(VLOOKUP(F743,'Raw Platform Nov 4-6 2025'!C:C,1,FALSE),VLOOKUP(F743,'Raw Platform Nov 4-6 2025'!D:D,1,FALSE)),IFNA(VLOOKUP(F743,'Glovo Raw Nov 4-6 2025'!B:B,1,FALSE),"Not Matched"))))))</f>
      </c>
      <c r="H743">
        <f>COUNTIF(F:F,F743)</f>
      </c>
      <c r="I743" t="s">
        <v>8490</v>
      </c>
      <c r="J743" t="s">
        <v>4915</v>
      </c>
      <c r="K743" t="s">
        <v>4927</v>
      </c>
      <c r="L743" t="s">
        <v>8491</v>
      </c>
      <c r="M743" t="s">
        <v>8492</v>
      </c>
      <c r="N743" t="s">
        <v>8493</v>
      </c>
      <c r="O743" t="s">
        <v>47</v>
      </c>
      <c r="P743" t="s">
        <v>5045</v>
      </c>
      <c r="Q743">
        <v>0</v>
      </c>
      <c r="R743" t="s">
        <v>5118</v>
      </c>
      <c r="S743" t="s">
        <v>12</v>
      </c>
      <c r="T743" t="s">
        <v>4923</v>
      </c>
      <c r="U743" t="s">
        <v>4924</v>
      </c>
      <c r="V743" t="s">
        <v>8494</v>
      </c>
      <c r="W743" t="s">
        <v>3667</v>
      </c>
      <c r="X743">
        <v>102.3</v>
      </c>
    </row>
    <row r="744" spans="1:24" x14ac:dyDescent="0.25">
      <c r="A744" t="s">
        <v>5130</v>
      </c>
      <c r="B744" t="s">
        <v>8495</v>
      </c>
      <c r="C744" t="s">
        <v>8496</v>
      </c>
      <c r="D744" t="s">
        <v>24</v>
      </c>
      <c r="E744" t="s">
        <v>4913</v>
      </c>
      <c r="F744" t="s">
        <v>158</v>
      </c>
      <c r="G744">
        <f>IF(K744="Pick-up","PICKUPS",IF(K744="Staff drop-off","STAFF_DROPOFF",IF(K744="Replacements","REPLACEMENT",IF(K744="Central Stores Dispatch","CENTRAL STORES DISPATCH",IFNA(IFNA(VLOOKUP(F744,'Raw Platform Nov 4-6 2025'!C:C,1,FALSE),VLOOKUP(F744,'Raw Platform Nov 4-6 2025'!D:D,1,FALSE)),IFNA(VLOOKUP(F744,'Glovo Raw Nov 4-6 2025'!B:B,1,FALSE),"Not Matched"))))))</f>
      </c>
      <c r="H744">
        <f>COUNTIF(F:F,F744)</f>
      </c>
      <c r="I744" t="s">
        <v>8497</v>
      </c>
      <c r="J744" t="s">
        <v>5341</v>
      </c>
      <c r="K744" t="s">
        <v>4927</v>
      </c>
      <c r="L744" t="s">
        <v>8498</v>
      </c>
      <c r="M744" t="s">
        <v>8499</v>
      </c>
      <c r="N744" t="s">
        <v>8500</v>
      </c>
      <c r="O744" t="s">
        <v>16</v>
      </c>
      <c r="P744" t="s">
        <v>5135</v>
      </c>
      <c r="Q744">
        <v>0</v>
      </c>
      <c r="R744" t="s">
        <v>5118</v>
      </c>
      <c r="S744" t="s">
        <v>45</v>
      </c>
      <c r="T744" t="s">
        <v>4923</v>
      </c>
      <c r="U744" t="s">
        <v>4924</v>
      </c>
      <c r="V744" t="s">
        <v>8501</v>
      </c>
      <c r="W744" t="s">
        <v>3667</v>
      </c>
      <c r="X744">
        <v>238</v>
      </c>
    </row>
    <row r="745" spans="1:24" x14ac:dyDescent="0.25">
      <c r="A745" t="s">
        <v>5130</v>
      </c>
      <c r="B745" t="s">
        <v>8495</v>
      </c>
      <c r="C745" t="s">
        <v>8496</v>
      </c>
      <c r="D745" t="s">
        <v>24</v>
      </c>
      <c r="E745" t="s">
        <v>4913</v>
      </c>
      <c r="F745" t="s">
        <v>221</v>
      </c>
      <c r="G745">
        <f>IF(K745="Pick-up","PICKUPS",IF(K745="Staff drop-off","STAFF_DROPOFF",IF(K745="Replacements","REPLACEMENT",IF(K745="Central Stores Dispatch","CENTRAL STORES DISPATCH",IFNA(IFNA(VLOOKUP(F745,'Raw Platform Nov 4-6 2025'!C:C,1,FALSE),VLOOKUP(F745,'Raw Platform Nov 4-6 2025'!D:D,1,FALSE)),IFNA(VLOOKUP(F745,'Glovo Raw Nov 4-6 2025'!B:B,1,FALSE),"Not Matched"))))))</f>
      </c>
      <c r="H745">
        <f>COUNTIF(F:F,F745)</f>
      </c>
      <c r="I745" t="s">
        <v>8502</v>
      </c>
      <c r="J745" t="s">
        <v>5341</v>
      </c>
      <c r="K745" t="s">
        <v>4916</v>
      </c>
      <c r="L745" t="s">
        <v>8503</v>
      </c>
      <c r="M745" t="s">
        <v>8504</v>
      </c>
      <c r="N745" t="s">
        <v>8505</v>
      </c>
      <c r="O745" t="s">
        <v>32</v>
      </c>
      <c r="P745" t="s">
        <v>7711</v>
      </c>
      <c r="Q745">
        <v>1690</v>
      </c>
      <c r="R745" t="s">
        <v>5118</v>
      </c>
      <c r="S745" t="s">
        <v>5136</v>
      </c>
      <c r="T745" t="s">
        <v>4923</v>
      </c>
      <c r="U745" t="s">
        <v>4924</v>
      </c>
      <c r="V745" t="s">
        <v>8506</v>
      </c>
      <c r="W745" t="s">
        <v>3667</v>
      </c>
      <c r="X745">
        <v>288.6</v>
      </c>
    </row>
    <row r="746" spans="1:24" x14ac:dyDescent="0.25">
      <c r="A746" t="s">
        <v>5130</v>
      </c>
      <c r="B746" t="s">
        <v>8495</v>
      </c>
      <c r="C746" t="s">
        <v>8496</v>
      </c>
      <c r="D746" t="s">
        <v>24</v>
      </c>
      <c r="E746" t="s">
        <v>4913</v>
      </c>
      <c r="F746" t="s">
        <v>138</v>
      </c>
      <c r="G746">
        <f>IF(K746="Pick-up","PICKUPS",IF(K746="Staff drop-off","STAFF_DROPOFF",IF(K746="Replacements","REPLACEMENT",IF(K746="Central Stores Dispatch","CENTRAL STORES DISPATCH",IFNA(IFNA(VLOOKUP(F746,'Raw Platform Nov 4-6 2025'!C:C,1,FALSE),VLOOKUP(F746,'Raw Platform Nov 4-6 2025'!D:D,1,FALSE)),IFNA(VLOOKUP(F746,'Glovo Raw Nov 4-6 2025'!B:B,1,FALSE),"Not Matched"))))))</f>
      </c>
      <c r="H746">
        <f>COUNTIF(F:F,F746)</f>
      </c>
      <c r="I746" t="s">
        <v>8507</v>
      </c>
      <c r="J746" t="s">
        <v>4915</v>
      </c>
      <c r="K746" t="s">
        <v>4927</v>
      </c>
      <c r="L746" t="s">
        <v>8508</v>
      </c>
      <c r="M746" t="s">
        <v>8509</v>
      </c>
      <c r="N746" t="s">
        <v>8510</v>
      </c>
      <c r="O746" t="s">
        <v>42</v>
      </c>
      <c r="P746" t="s">
        <v>7711</v>
      </c>
      <c r="Q746">
        <v>0</v>
      </c>
      <c r="R746" t="s">
        <v>5118</v>
      </c>
      <c r="S746" t="s">
        <v>45</v>
      </c>
      <c r="T746" t="s">
        <v>4923</v>
      </c>
      <c r="U746" t="s">
        <v>4924</v>
      </c>
      <c r="V746" t="s">
        <v>8511</v>
      </c>
      <c r="W746" t="s">
        <v>3667</v>
      </c>
      <c r="X746">
        <v>288.6</v>
      </c>
    </row>
    <row r="747" spans="1:24" x14ac:dyDescent="0.25">
      <c r="A747" t="s">
        <v>5130</v>
      </c>
      <c r="B747" t="s">
        <v>8495</v>
      </c>
      <c r="C747" t="s">
        <v>8496</v>
      </c>
      <c r="D747" t="s">
        <v>24</v>
      </c>
      <c r="E747" t="s">
        <v>4913</v>
      </c>
      <c r="F747" t="s">
        <v>180</v>
      </c>
      <c r="G747">
        <f>IF(K747="Pick-up","PICKUPS",IF(K747="Staff drop-off","STAFF_DROPOFF",IF(K747="Replacements","REPLACEMENT",IF(K747="Central Stores Dispatch","CENTRAL STORES DISPATCH",IFNA(IFNA(VLOOKUP(F747,'Raw Platform Nov 4-6 2025'!C:C,1,FALSE),VLOOKUP(F747,'Raw Platform Nov 4-6 2025'!D:D,1,FALSE)),IFNA(VLOOKUP(F747,'Glovo Raw Nov 4-6 2025'!B:B,1,FALSE),"Not Matched"))))))</f>
      </c>
      <c r="H747">
        <f>COUNTIF(F:F,F747)</f>
      </c>
      <c r="I747" t="s">
        <v>8512</v>
      </c>
      <c r="J747" t="s">
        <v>4915</v>
      </c>
      <c r="K747" t="s">
        <v>4927</v>
      </c>
      <c r="L747" t="s">
        <v>8513</v>
      </c>
      <c r="M747" t="s">
        <v>8514</v>
      </c>
      <c r="N747" t="s">
        <v>8515</v>
      </c>
      <c r="O747" t="s">
        <v>113</v>
      </c>
      <c r="P747" t="s">
        <v>4974</v>
      </c>
      <c r="Q747">
        <v>0</v>
      </c>
      <c r="R747" t="s">
        <v>5118</v>
      </c>
      <c r="S747" t="s">
        <v>5136</v>
      </c>
      <c r="T747" t="s">
        <v>4923</v>
      </c>
      <c r="U747" t="s">
        <v>4924</v>
      </c>
      <c r="V747" t="s">
        <v>8516</v>
      </c>
      <c r="W747" t="s">
        <v>3667</v>
      </c>
      <c r="X747">
        <v>178.2</v>
      </c>
    </row>
    <row r="748" spans="1:24" x14ac:dyDescent="0.25">
      <c r="A748" t="s">
        <v>5130</v>
      </c>
      <c r="B748" t="s">
        <v>8495</v>
      </c>
      <c r="C748" t="s">
        <v>8496</v>
      </c>
      <c r="D748" t="s">
        <v>24</v>
      </c>
      <c r="E748" t="s">
        <v>4913</v>
      </c>
      <c r="F748" t="s">
        <v>885</v>
      </c>
      <c r="G748">
        <f>IF(K748="Pick-up","PICKUPS",IF(K748="Staff drop-off","STAFF_DROPOFF",IF(K748="Replacements","REPLACEMENT",IF(K748="Central Stores Dispatch","CENTRAL STORES DISPATCH",IFNA(IFNA(VLOOKUP(F748,'Raw Platform Nov 4-6 2025'!C:C,1,FALSE),VLOOKUP(F748,'Raw Platform Nov 4-6 2025'!D:D,1,FALSE)),IFNA(VLOOKUP(F748,'Glovo Raw Nov 4-6 2025'!B:B,1,FALSE),"Not Matched"))))))</f>
      </c>
      <c r="H748">
        <f>COUNTIF(F:F,F748)</f>
      </c>
      <c r="I748" t="s">
        <v>8517</v>
      </c>
      <c r="J748" t="s">
        <v>4915</v>
      </c>
      <c r="K748" t="s">
        <v>4927</v>
      </c>
      <c r="L748" t="s">
        <v>8518</v>
      </c>
      <c r="M748" t="s">
        <v>8519</v>
      </c>
      <c r="N748" t="s">
        <v>8520</v>
      </c>
      <c r="O748" t="s">
        <v>6086</v>
      </c>
      <c r="P748" t="s">
        <v>5631</v>
      </c>
      <c r="Q748">
        <v>0</v>
      </c>
      <c r="R748" t="s">
        <v>5118</v>
      </c>
      <c r="S748" t="s">
        <v>35</v>
      </c>
      <c r="T748" t="s">
        <v>4923</v>
      </c>
      <c r="U748" t="s">
        <v>4924</v>
      </c>
      <c r="V748" t="s">
        <v>8521</v>
      </c>
      <c r="W748" t="s">
        <v>3667</v>
      </c>
      <c r="X748">
        <v>307</v>
      </c>
    </row>
    <row r="749" spans="1:24" x14ac:dyDescent="0.25">
      <c r="A749" t="s">
        <v>5130</v>
      </c>
      <c r="B749" t="s">
        <v>8495</v>
      </c>
      <c r="C749" t="s">
        <v>8496</v>
      </c>
      <c r="D749" t="s">
        <v>24</v>
      </c>
      <c r="E749" t="s">
        <v>4913</v>
      </c>
      <c r="F749" t="s">
        <v>332</v>
      </c>
      <c r="G749">
        <f>IF(K749="Pick-up","PICKUPS",IF(K749="Staff drop-off","STAFF_DROPOFF",IF(K749="Replacements","REPLACEMENT",IF(K749="Central Stores Dispatch","CENTRAL STORES DISPATCH",IFNA(IFNA(VLOOKUP(F749,'Raw Platform Nov 4-6 2025'!C:C,1,FALSE),VLOOKUP(F749,'Raw Platform Nov 4-6 2025'!D:D,1,FALSE)),IFNA(VLOOKUP(F749,'Glovo Raw Nov 4-6 2025'!B:B,1,FALSE),"Not Matched"))))))</f>
      </c>
      <c r="H749">
        <f>COUNTIF(F:F,F749)</f>
      </c>
      <c r="I749" t="s">
        <v>8522</v>
      </c>
      <c r="J749" t="s">
        <v>63</v>
      </c>
      <c r="K749" t="s">
        <v>4927</v>
      </c>
      <c r="L749" t="s">
        <v>8523</v>
      </c>
      <c r="M749" t="s">
        <v>8524</v>
      </c>
      <c r="N749" t="s">
        <v>8525</v>
      </c>
      <c r="O749" t="s">
        <v>53</v>
      </c>
      <c r="P749" t="s">
        <v>4950</v>
      </c>
      <c r="Q749">
        <v>0</v>
      </c>
      <c r="R749" t="s">
        <v>5118</v>
      </c>
      <c r="S749" t="s">
        <v>35</v>
      </c>
      <c r="T749" t="s">
        <v>4923</v>
      </c>
      <c r="U749" t="s">
        <v>4924</v>
      </c>
      <c r="V749" t="s">
        <v>8526</v>
      </c>
      <c r="W749" t="s">
        <v>3667</v>
      </c>
      <c r="X749">
        <v>100</v>
      </c>
    </row>
    <row r="750" spans="1:24" x14ac:dyDescent="0.25">
      <c r="A750" t="s">
        <v>5130</v>
      </c>
      <c r="B750" t="s">
        <v>8495</v>
      </c>
      <c r="C750" t="s">
        <v>8496</v>
      </c>
      <c r="D750" t="s">
        <v>24</v>
      </c>
      <c r="E750" t="s">
        <v>4913</v>
      </c>
      <c r="F750" t="s">
        <v>1745</v>
      </c>
      <c r="G750">
        <f>IF(K750="Pick-up","PICKUPS",IF(K750="Staff drop-off","STAFF_DROPOFF",IF(K750="Replacements","REPLACEMENT",IF(K750="Central Stores Dispatch","CENTRAL STORES DISPATCH",IFNA(IFNA(VLOOKUP(F750,'Raw Platform Nov 4-6 2025'!C:C,1,FALSE),VLOOKUP(F750,'Raw Platform Nov 4-6 2025'!D:D,1,FALSE)),IFNA(VLOOKUP(F750,'Glovo Raw Nov 4-6 2025'!B:B,1,FALSE),"Not Matched"))))))</f>
      </c>
      <c r="H750">
        <f>COUNTIF(F:F,F750)</f>
      </c>
      <c r="I750" t="s">
        <v>8527</v>
      </c>
      <c r="J750" t="s">
        <v>63</v>
      </c>
      <c r="K750" t="s">
        <v>4916</v>
      </c>
      <c r="L750" t="s">
        <v>8528</v>
      </c>
      <c r="M750" t="s">
        <v>8529</v>
      </c>
      <c r="N750" t="s">
        <v>8530</v>
      </c>
      <c r="O750" t="s">
        <v>91</v>
      </c>
      <c r="P750" t="s">
        <v>6529</v>
      </c>
      <c r="Q750">
        <v>1635</v>
      </c>
      <c r="R750" t="s">
        <v>5118</v>
      </c>
      <c r="S750" t="s">
        <v>116</v>
      </c>
      <c r="T750" t="s">
        <v>4923</v>
      </c>
      <c r="U750" t="s">
        <v>4924</v>
      </c>
      <c r="V750" t="s">
        <v>8531</v>
      </c>
      <c r="W750" t="s">
        <v>3667</v>
      </c>
      <c r="X750">
        <v>336.9</v>
      </c>
    </row>
    <row r="751" spans="1:24" x14ac:dyDescent="0.25">
      <c r="A751" t="s">
        <v>5130</v>
      </c>
      <c r="B751" t="s">
        <v>8495</v>
      </c>
      <c r="C751" t="s">
        <v>8496</v>
      </c>
      <c r="D751" t="s">
        <v>24</v>
      </c>
      <c r="E751" t="s">
        <v>4913</v>
      </c>
      <c r="F751" t="s">
        <v>1764</v>
      </c>
      <c r="G751">
        <f>IF(K751="Pick-up","PICKUPS",IF(K751="Staff drop-off","STAFF_DROPOFF",IF(K751="Replacements","REPLACEMENT",IF(K751="Central Stores Dispatch","CENTRAL STORES DISPATCH",IFNA(IFNA(VLOOKUP(F751,'Raw Platform Nov 4-6 2025'!C:C,1,FALSE),VLOOKUP(F751,'Raw Platform Nov 4-6 2025'!D:D,1,FALSE)),IFNA(VLOOKUP(F751,'Glovo Raw Nov 4-6 2025'!B:B,1,FALSE),"Not Matched"))))))</f>
      </c>
      <c r="H751">
        <f>COUNTIF(F:F,F751)</f>
      </c>
      <c r="I751" t="s">
        <v>8532</v>
      </c>
      <c r="J751" t="s">
        <v>63</v>
      </c>
      <c r="K751" t="s">
        <v>4916</v>
      </c>
      <c r="L751" t="s">
        <v>8533</v>
      </c>
      <c r="M751" t="s">
        <v>8534</v>
      </c>
      <c r="N751" t="s">
        <v>5659</v>
      </c>
      <c r="O751" t="s">
        <v>113</v>
      </c>
      <c r="P751" t="s">
        <v>5660</v>
      </c>
      <c r="Q751">
        <v>1229.6</v>
      </c>
      <c r="R751" t="s">
        <v>5118</v>
      </c>
      <c r="S751" t="s">
        <v>35</v>
      </c>
      <c r="T751" t="s">
        <v>4923</v>
      </c>
      <c r="U751" t="s">
        <v>4924</v>
      </c>
      <c r="V751" t="s">
        <v>8535</v>
      </c>
      <c r="W751" t="s">
        <v>3667</v>
      </c>
      <c r="X751">
        <v>300.1</v>
      </c>
    </row>
    <row r="752" spans="1:24" x14ac:dyDescent="0.25">
      <c r="A752" t="s">
        <v>5130</v>
      </c>
      <c r="B752" t="s">
        <v>8495</v>
      </c>
      <c r="C752" t="s">
        <v>8496</v>
      </c>
      <c r="D752" t="s">
        <v>24</v>
      </c>
      <c r="E752" t="s">
        <v>4913</v>
      </c>
      <c r="F752" t="s">
        <v>1531</v>
      </c>
      <c r="G752">
        <f>IF(K752="Pick-up","PICKUPS",IF(K752="Staff drop-off","STAFF_DROPOFF",IF(K752="Replacements","REPLACEMENT",IF(K752="Central Stores Dispatch","CENTRAL STORES DISPATCH",IFNA(IFNA(VLOOKUP(F752,'Raw Platform Nov 4-6 2025'!C:C,1,FALSE),VLOOKUP(F752,'Raw Platform Nov 4-6 2025'!D:D,1,FALSE)),IFNA(VLOOKUP(F752,'Glovo Raw Nov 4-6 2025'!B:B,1,FALSE),"Not Matched"))))))</f>
      </c>
      <c r="H752">
        <f>COUNTIF(F:F,F752)</f>
      </c>
      <c r="I752" t="s">
        <v>8536</v>
      </c>
      <c r="J752" t="s">
        <v>63</v>
      </c>
      <c r="K752" t="s">
        <v>4927</v>
      </c>
      <c r="L752" t="s">
        <v>8537</v>
      </c>
      <c r="M752" t="s">
        <v>8538</v>
      </c>
      <c r="N752" t="s">
        <v>8539</v>
      </c>
      <c r="O752" t="s">
        <v>37</v>
      </c>
      <c r="P752" t="s">
        <v>26</v>
      </c>
      <c r="Q752">
        <v>0</v>
      </c>
      <c r="R752" t="s">
        <v>5118</v>
      </c>
      <c r="S752" t="s">
        <v>35</v>
      </c>
      <c r="T752" t="s">
        <v>4923</v>
      </c>
      <c r="U752" t="s">
        <v>4924</v>
      </c>
      <c r="V752" t="s">
        <v>8540</v>
      </c>
      <c r="W752" t="s">
        <v>3667</v>
      </c>
      <c r="X752">
        <v>318.5</v>
      </c>
    </row>
    <row r="753" spans="1:24" x14ac:dyDescent="0.25">
      <c r="A753" t="s">
        <v>5130</v>
      </c>
      <c r="B753" t="s">
        <v>8495</v>
      </c>
      <c r="C753" t="s">
        <v>8496</v>
      </c>
      <c r="D753" t="s">
        <v>24</v>
      </c>
      <c r="E753" t="s">
        <v>4913</v>
      </c>
      <c r="F753" t="s">
        <v>2213</v>
      </c>
      <c r="G753">
        <f>IF(K753="Pick-up","PICKUPS",IF(K753="Staff drop-off","STAFF_DROPOFF",IF(K753="Replacements","REPLACEMENT",IF(K753="Central Stores Dispatch","CENTRAL STORES DISPATCH",IFNA(IFNA(VLOOKUP(F753,'Raw Platform Nov 4-6 2025'!C:C,1,FALSE),VLOOKUP(F753,'Raw Platform Nov 4-6 2025'!D:D,1,FALSE)),IFNA(VLOOKUP(F753,'Glovo Raw Nov 4-6 2025'!B:B,1,FALSE),"Not Matched"))))))</f>
      </c>
      <c r="H753">
        <f>COUNTIF(F:F,F753)</f>
      </c>
      <c r="I753" t="s">
        <v>8541</v>
      </c>
      <c r="J753" t="s">
        <v>5341</v>
      </c>
      <c r="K753" t="s">
        <v>4927</v>
      </c>
      <c r="L753" t="s">
        <v>8542</v>
      </c>
      <c r="M753" t="s">
        <v>8543</v>
      </c>
      <c r="N753" t="s">
        <v>8544</v>
      </c>
      <c r="O753" t="s">
        <v>8545</v>
      </c>
      <c r="P753" t="s">
        <v>8546</v>
      </c>
      <c r="Q753">
        <v>0</v>
      </c>
      <c r="R753" t="s">
        <v>5118</v>
      </c>
      <c r="S753" t="s">
        <v>35</v>
      </c>
      <c r="T753" t="s">
        <v>4923</v>
      </c>
      <c r="U753" t="s">
        <v>4924</v>
      </c>
      <c r="V753" t="s">
        <v>8547</v>
      </c>
      <c r="W753" t="s">
        <v>3667</v>
      </c>
      <c r="X753">
        <v>532.4</v>
      </c>
    </row>
    <row r="754" spans="1:24" x14ac:dyDescent="0.25">
      <c r="A754" t="s">
        <v>5130</v>
      </c>
      <c r="B754" t="s">
        <v>8495</v>
      </c>
      <c r="C754" t="s">
        <v>8496</v>
      </c>
      <c r="D754" t="s">
        <v>24</v>
      </c>
      <c r="E754" t="s">
        <v>4913</v>
      </c>
      <c r="F754" t="s">
        <v>8548</v>
      </c>
      <c r="G754">
        <f>IF(K754="Pick-up","PICKUPS",IF(K754="Staff drop-off","STAFF_DROPOFF",IF(K754="Replacements","REPLACEMENT",IF(K754="Central Stores Dispatch","CENTRAL STORES DISPATCH",IFNA(IFNA(VLOOKUP(F754,'Raw Platform Nov 4-6 2025'!C:C,1,FALSE),VLOOKUP(F754,'Raw Platform Nov 4-6 2025'!D:D,1,FALSE)),IFNA(VLOOKUP(F754,'Glovo Raw Nov 4-6 2025'!B:B,1,FALSE),"Not Matched"))))))</f>
      </c>
      <c r="H754">
        <f>COUNTIF(F:F,F754)</f>
      </c>
      <c r="I754" t="s">
        <v>8549</v>
      </c>
      <c r="J754" t="s">
        <v>4915</v>
      </c>
      <c r="K754" t="s">
        <v>4916</v>
      </c>
      <c r="L754" t="s">
        <v>8550</v>
      </c>
      <c r="M754" t="s">
        <v>8551</v>
      </c>
      <c r="N754" t="s">
        <v>8552</v>
      </c>
      <c r="O754" t="s">
        <v>6086</v>
      </c>
      <c r="P754" t="s">
        <v>5448</v>
      </c>
      <c r="Q754">
        <v>1650</v>
      </c>
      <c r="R754" t="s">
        <v>5118</v>
      </c>
      <c r="S754" t="s">
        <v>45</v>
      </c>
      <c r="T754" t="s">
        <v>4923</v>
      </c>
      <c r="U754" t="s">
        <v>4924</v>
      </c>
      <c r="V754" t="s">
        <v>8553</v>
      </c>
      <c r="W754" t="s">
        <v>3667</v>
      </c>
      <c r="X754">
        <v>339.2</v>
      </c>
    </row>
    <row r="755" spans="1:24" x14ac:dyDescent="0.25">
      <c r="A755" t="s">
        <v>5130</v>
      </c>
      <c r="B755" t="s">
        <v>8495</v>
      </c>
      <c r="C755" t="s">
        <v>8496</v>
      </c>
      <c r="D755" t="s">
        <v>7912</v>
      </c>
      <c r="E755" t="s">
        <v>4913</v>
      </c>
      <c r="F755" t="s">
        <v>2960</v>
      </c>
      <c r="G755">
        <f>IF(K755="Pick-up","PICKUPS",IF(K755="Staff drop-off","STAFF_DROPOFF",IF(K755="Replacements","REPLACEMENT",IF(K755="Central Stores Dispatch","CENTRAL STORES DISPATCH",IFNA(IFNA(VLOOKUP(F755,'Raw Platform Nov 4-6 2025'!C:C,1,FALSE),VLOOKUP(F755,'Raw Platform Nov 4-6 2025'!D:D,1,FALSE)),IFNA(VLOOKUP(F755,'Glovo Raw Nov 4-6 2025'!B:B,1,FALSE),"Not Matched"))))))</f>
      </c>
      <c r="H755">
        <f>COUNTIF(F:F,F755)</f>
      </c>
      <c r="I755" t="s">
        <v>8554</v>
      </c>
      <c r="J755" t="s">
        <v>5028</v>
      </c>
      <c r="K755" t="s">
        <v>4916</v>
      </c>
      <c r="L755" t="s">
        <v>8555</v>
      </c>
      <c r="M755" t="s">
        <v>8556</v>
      </c>
      <c r="N755" t="s">
        <v>8557</v>
      </c>
      <c r="O755" t="s">
        <v>5469</v>
      </c>
      <c r="P755" t="s">
        <v>6474</v>
      </c>
      <c r="Q755">
        <v>590</v>
      </c>
      <c r="R755" t="s">
        <v>5118</v>
      </c>
      <c r="S755" t="s">
        <v>7912</v>
      </c>
      <c r="T755" t="s">
        <v>4923</v>
      </c>
      <c r="U755" t="s">
        <v>4924</v>
      </c>
      <c r="V755" t="s">
        <v>8558</v>
      </c>
      <c r="W755" t="s">
        <v>3667</v>
      </c>
      <c r="X755">
        <v>369.1</v>
      </c>
    </row>
    <row r="756" spans="1:24" x14ac:dyDescent="0.25">
      <c r="A756" t="s">
        <v>5231</v>
      </c>
      <c r="B756" t="s">
        <v>8495</v>
      </c>
      <c r="C756" t="s">
        <v>8496</v>
      </c>
      <c r="D756" t="s">
        <v>191</v>
      </c>
      <c r="E756" t="s">
        <v>4913</v>
      </c>
      <c r="F756" t="s">
        <v>8559</v>
      </c>
      <c r="G756">
        <f>IF(K756="Pick-up","PICKUPS",IF(K756="Staff drop-off","STAFF_DROPOFF",IF(K756="Replacements","REPLACEMENT",IF(K756="Central Stores Dispatch","CENTRAL STORES DISPATCH",IFNA(IFNA(VLOOKUP(F756,'Raw Platform Nov 4-6 2025'!C:C,1,FALSE),VLOOKUP(F756,'Raw Platform Nov 4-6 2025'!D:D,1,FALSE)),IFNA(VLOOKUP(F756,'Glovo Raw Nov 4-6 2025'!B:B,1,FALSE),"Not Matched"))))))</f>
      </c>
      <c r="H756">
        <f>COUNTIF(F:F,F756)</f>
      </c>
      <c r="I756" t="s">
        <v>8560</v>
      </c>
      <c r="J756" t="s">
        <v>5341</v>
      </c>
      <c r="K756" t="s">
        <v>4927</v>
      </c>
      <c r="L756" t="s">
        <v>8561</v>
      </c>
      <c r="M756" t="s">
        <v>8562</v>
      </c>
      <c r="N756" t="s">
        <v>8563</v>
      </c>
      <c r="O756" t="s">
        <v>9</v>
      </c>
      <c r="P756" t="s">
        <v>5345</v>
      </c>
      <c r="Q756">
        <v>0</v>
      </c>
      <c r="R756" t="s">
        <v>5118</v>
      </c>
      <c r="S756" t="s">
        <v>5184</v>
      </c>
      <c r="T756" t="s">
        <v>4923</v>
      </c>
      <c r="U756" t="s">
        <v>4924</v>
      </c>
      <c r="V756" t="s">
        <v>8564</v>
      </c>
      <c r="W756" t="s">
        <v>3667</v>
      </c>
      <c r="X756">
        <v>208.1</v>
      </c>
    </row>
    <row r="757" spans="1:24" x14ac:dyDescent="0.25">
      <c r="A757" t="s">
        <v>5231</v>
      </c>
      <c r="B757" t="s">
        <v>8495</v>
      </c>
      <c r="C757" t="s">
        <v>8496</v>
      </c>
      <c r="D757" t="s">
        <v>191</v>
      </c>
      <c r="E757" t="s">
        <v>4913</v>
      </c>
      <c r="F757" t="s">
        <v>3107</v>
      </c>
      <c r="G757">
        <f>IF(K757="Pick-up","PICKUPS",IF(K757="Staff drop-off","STAFF_DROPOFF",IF(K757="Replacements","REPLACEMENT",IF(K757="Central Stores Dispatch","CENTRAL STORES DISPATCH",IFNA(IFNA(VLOOKUP(F757,'Raw Platform Nov 4-6 2025'!C:C,1,FALSE),VLOOKUP(F757,'Raw Platform Nov 4-6 2025'!D:D,1,FALSE)),IFNA(VLOOKUP(F757,'Glovo Raw Nov 4-6 2025'!B:B,1,FALSE),"Not Matched"))))))</f>
      </c>
      <c r="H757">
        <f>COUNTIF(F:F,F757)</f>
      </c>
      <c r="I757" t="s">
        <v>8565</v>
      </c>
      <c r="J757" t="s">
        <v>63</v>
      </c>
      <c r="K757" t="s">
        <v>4927</v>
      </c>
      <c r="L757" t="s">
        <v>8566</v>
      </c>
      <c r="M757" t="s">
        <v>8567</v>
      </c>
      <c r="N757" t="s">
        <v>8568</v>
      </c>
      <c r="O757" t="s">
        <v>26</v>
      </c>
      <c r="P757" t="s">
        <v>5816</v>
      </c>
      <c r="Q757">
        <v>0</v>
      </c>
      <c r="R757" t="s">
        <v>5118</v>
      </c>
      <c r="S757" t="s">
        <v>5184</v>
      </c>
      <c r="T757" t="s">
        <v>4923</v>
      </c>
      <c r="U757" t="s">
        <v>4924</v>
      </c>
      <c r="V757" t="s">
        <v>8569</v>
      </c>
      <c r="W757" t="s">
        <v>3667</v>
      </c>
      <c r="X757">
        <v>162.1</v>
      </c>
    </row>
    <row r="758" spans="1:24" x14ac:dyDescent="0.25">
      <c r="A758" t="s">
        <v>5130</v>
      </c>
      <c r="B758" t="s">
        <v>8495</v>
      </c>
      <c r="C758" t="s">
        <v>8496</v>
      </c>
      <c r="D758" t="s">
        <v>24</v>
      </c>
      <c r="E758" t="s">
        <v>4913</v>
      </c>
      <c r="F758" t="s">
        <v>8570</v>
      </c>
      <c r="G758">
        <f>IF(K758="Pick-up","PICKUPS",IF(K758="Staff drop-off","STAFF_DROPOFF",IF(K758="Replacements","REPLACEMENT",IF(K758="Central Stores Dispatch","CENTRAL STORES DISPATCH",IFNA(IFNA(VLOOKUP(F758,'Raw Platform Nov 4-6 2025'!C:C,1,FALSE),VLOOKUP(F758,'Raw Platform Nov 4-6 2025'!D:D,1,FALSE)),IFNA(VLOOKUP(F758,'Glovo Raw Nov 4-6 2025'!B:B,1,FALSE),"Not Matched"))))))</f>
      </c>
      <c r="H758">
        <f>COUNTIF(F:F,F758)</f>
      </c>
      <c r="I758" t="s">
        <v>8571</v>
      </c>
      <c r="J758" t="s">
        <v>5289</v>
      </c>
      <c r="K758" t="s">
        <v>4927</v>
      </c>
      <c r="L758" t="s">
        <v>8572</v>
      </c>
      <c r="M758" t="s">
        <v>6194</v>
      </c>
      <c r="N758" t="s">
        <v>8573</v>
      </c>
      <c r="O758" t="s">
        <v>91</v>
      </c>
      <c r="P758" t="s">
        <v>7711</v>
      </c>
      <c r="Q758">
        <v>0</v>
      </c>
      <c r="R758" t="s">
        <v>5118</v>
      </c>
      <c r="S758" t="s">
        <v>116</v>
      </c>
      <c r="T758" t="s">
        <v>4923</v>
      </c>
      <c r="U758" t="s">
        <v>4924</v>
      </c>
      <c r="V758" t="s">
        <v>8574</v>
      </c>
      <c r="W758" t="s">
        <v>3667</v>
      </c>
      <c r="X758">
        <v>288.6</v>
      </c>
    </row>
    <row r="759" spans="1:24" x14ac:dyDescent="0.25">
      <c r="A759" t="s">
        <v>5130</v>
      </c>
      <c r="B759" t="s">
        <v>8495</v>
      </c>
      <c r="C759" t="s">
        <v>8496</v>
      </c>
      <c r="D759" t="s">
        <v>24</v>
      </c>
      <c r="E759" t="s">
        <v>4913</v>
      </c>
      <c r="F759" t="s">
        <v>2683</v>
      </c>
      <c r="G759">
        <f>IF(K759="Pick-up","PICKUPS",IF(K759="Staff drop-off","STAFF_DROPOFF",IF(K759="Replacements","REPLACEMENT",IF(K759="Central Stores Dispatch","CENTRAL STORES DISPATCH",IFNA(IFNA(VLOOKUP(F759,'Raw Platform Nov 4-6 2025'!C:C,1,FALSE),VLOOKUP(F759,'Raw Platform Nov 4-6 2025'!D:D,1,FALSE)),IFNA(VLOOKUP(F759,'Glovo Raw Nov 4-6 2025'!B:B,1,FALSE),"Not Matched"))))))</f>
      </c>
      <c r="H759">
        <f>COUNTIF(F:F,F759)</f>
      </c>
      <c r="I759" t="s">
        <v>8575</v>
      </c>
      <c r="J759" t="s">
        <v>4915</v>
      </c>
      <c r="K759" t="s">
        <v>4927</v>
      </c>
      <c r="L759" t="s">
        <v>8576</v>
      </c>
      <c r="M759" t="s">
        <v>8577</v>
      </c>
      <c r="N759" t="s">
        <v>5050</v>
      </c>
      <c r="O759" t="s">
        <v>53</v>
      </c>
      <c r="P759" t="s">
        <v>5541</v>
      </c>
      <c r="Q759">
        <v>0</v>
      </c>
      <c r="R759" t="s">
        <v>5118</v>
      </c>
      <c r="S759" t="s">
        <v>116</v>
      </c>
      <c r="T759" t="s">
        <v>4923</v>
      </c>
      <c r="U759" t="s">
        <v>4924</v>
      </c>
      <c r="V759" t="s">
        <v>8578</v>
      </c>
      <c r="W759" t="s">
        <v>3667</v>
      </c>
      <c r="X759">
        <v>100</v>
      </c>
    </row>
    <row r="760" spans="1:24" x14ac:dyDescent="0.25">
      <c r="A760" t="s">
        <v>6063</v>
      </c>
      <c r="B760" t="s">
        <v>8579</v>
      </c>
      <c r="C760" t="s">
        <v>8580</v>
      </c>
      <c r="D760" t="s">
        <v>19</v>
      </c>
      <c r="E760" t="s">
        <v>4913</v>
      </c>
      <c r="F760" t="s">
        <v>818</v>
      </c>
      <c r="G760">
        <f>IF(K760="Pick-up","PICKUPS",IF(K760="Staff drop-off","STAFF_DROPOFF",IF(K760="Replacements","REPLACEMENT",IF(K760="Central Stores Dispatch","CENTRAL STORES DISPATCH",IFNA(IFNA(VLOOKUP(F760,'Raw Platform Nov 4-6 2025'!C:C,1,FALSE),VLOOKUP(F760,'Raw Platform Nov 4-6 2025'!D:D,1,FALSE)),IFNA(VLOOKUP(F760,'Glovo Raw Nov 4-6 2025'!B:B,1,FALSE),"Not Matched"))))))</f>
      </c>
      <c r="H760">
        <f>COUNTIF(F:F,F760)</f>
      </c>
      <c r="I760" t="s">
        <v>8581</v>
      </c>
      <c r="J760" t="s">
        <v>4915</v>
      </c>
      <c r="K760" t="s">
        <v>4927</v>
      </c>
      <c r="L760" t="s">
        <v>8582</v>
      </c>
      <c r="M760" t="s">
        <v>8583</v>
      </c>
      <c r="N760" t="s">
        <v>8584</v>
      </c>
      <c r="O760" t="s">
        <v>77</v>
      </c>
      <c r="P760" t="s">
        <v>7024</v>
      </c>
      <c r="Q760">
        <v>0</v>
      </c>
      <c r="R760" t="s">
        <v>5118</v>
      </c>
      <c r="S760" t="s">
        <v>5136</v>
      </c>
      <c r="T760" t="s">
        <v>4923</v>
      </c>
      <c r="U760" t="s">
        <v>4924</v>
      </c>
      <c r="V760" t="s">
        <v>8585</v>
      </c>
      <c r="W760" t="s">
        <v>3667</v>
      </c>
      <c r="X760">
        <v>185.1</v>
      </c>
    </row>
    <row r="761" spans="1:24" x14ac:dyDescent="0.25">
      <c r="A761" t="s">
        <v>6063</v>
      </c>
      <c r="B761" t="s">
        <v>8579</v>
      </c>
      <c r="C761" t="s">
        <v>8580</v>
      </c>
      <c r="D761" t="s">
        <v>191</v>
      </c>
      <c r="E761" t="s">
        <v>4913</v>
      </c>
      <c r="F761" t="s">
        <v>888</v>
      </c>
      <c r="G761">
        <f>IF(K761="Pick-up","PICKUPS",IF(K761="Staff drop-off","STAFF_DROPOFF",IF(K761="Replacements","REPLACEMENT",IF(K761="Central Stores Dispatch","CENTRAL STORES DISPATCH",IFNA(IFNA(VLOOKUP(F761,'Raw Platform Nov 4-6 2025'!C:C,1,FALSE),VLOOKUP(F761,'Raw Platform Nov 4-6 2025'!D:D,1,FALSE)),IFNA(VLOOKUP(F761,'Glovo Raw Nov 4-6 2025'!B:B,1,FALSE),"Not Matched"))))))</f>
      </c>
      <c r="H761">
        <f>COUNTIF(F:F,F761)</f>
      </c>
      <c r="I761" t="s">
        <v>8586</v>
      </c>
      <c r="J761" t="s">
        <v>4915</v>
      </c>
      <c r="K761" t="s">
        <v>4927</v>
      </c>
      <c r="L761" t="s">
        <v>8587</v>
      </c>
      <c r="M761" t="s">
        <v>8588</v>
      </c>
      <c r="N761" t="s">
        <v>8589</v>
      </c>
      <c r="O761" t="s">
        <v>123</v>
      </c>
      <c r="P761" t="s">
        <v>4949</v>
      </c>
      <c r="Q761">
        <v>0</v>
      </c>
      <c r="R761" t="s">
        <v>5118</v>
      </c>
      <c r="S761" t="s">
        <v>5184</v>
      </c>
      <c r="T761" t="s">
        <v>4923</v>
      </c>
      <c r="U761" t="s">
        <v>4924</v>
      </c>
      <c r="V761" t="s">
        <v>8590</v>
      </c>
      <c r="W761" t="s">
        <v>3667</v>
      </c>
      <c r="X761">
        <v>157.5</v>
      </c>
    </row>
    <row r="762" spans="1:24" x14ac:dyDescent="0.25">
      <c r="A762" t="s">
        <v>6063</v>
      </c>
      <c r="B762" t="s">
        <v>8579</v>
      </c>
      <c r="C762" t="s">
        <v>8580</v>
      </c>
      <c r="D762" t="s">
        <v>19</v>
      </c>
      <c r="E762" t="s">
        <v>4913</v>
      </c>
      <c r="F762" t="s">
        <v>721</v>
      </c>
      <c r="G762">
        <f>IF(K762="Pick-up","PICKUPS",IF(K762="Staff drop-off","STAFF_DROPOFF",IF(K762="Replacements","REPLACEMENT",IF(K762="Central Stores Dispatch","CENTRAL STORES DISPATCH",IFNA(IFNA(VLOOKUP(F762,'Raw Platform Nov 4-6 2025'!C:C,1,FALSE),VLOOKUP(F762,'Raw Platform Nov 4-6 2025'!D:D,1,FALSE)),IFNA(VLOOKUP(F762,'Glovo Raw Nov 4-6 2025'!B:B,1,FALSE),"Not Matched"))))))</f>
      </c>
      <c r="H762">
        <f>COUNTIF(F:F,F762)</f>
      </c>
      <c r="I762" t="s">
        <v>8591</v>
      </c>
      <c r="J762" t="s">
        <v>4915</v>
      </c>
      <c r="K762" t="s">
        <v>4927</v>
      </c>
      <c r="L762" t="s">
        <v>8592</v>
      </c>
      <c r="M762" t="s">
        <v>8593</v>
      </c>
      <c r="N762" t="s">
        <v>8594</v>
      </c>
      <c r="O762" t="s">
        <v>6329</v>
      </c>
      <c r="P762" t="s">
        <v>5660</v>
      </c>
      <c r="Q762">
        <v>0</v>
      </c>
      <c r="R762" t="s">
        <v>5118</v>
      </c>
      <c r="S762" t="s">
        <v>45</v>
      </c>
      <c r="T762" t="s">
        <v>4923</v>
      </c>
      <c r="U762" t="s">
        <v>4924</v>
      </c>
      <c r="V762" t="s">
        <v>8595</v>
      </c>
      <c r="W762" t="s">
        <v>3667</v>
      </c>
      <c r="X762">
        <v>300.1</v>
      </c>
    </row>
    <row r="763" spans="1:24" x14ac:dyDescent="0.25">
      <c r="A763" t="s">
        <v>6063</v>
      </c>
      <c r="B763" t="s">
        <v>8579</v>
      </c>
      <c r="C763" t="s">
        <v>8580</v>
      </c>
      <c r="D763" t="s">
        <v>19</v>
      </c>
      <c r="E763" t="s">
        <v>4913</v>
      </c>
      <c r="F763" t="s">
        <v>718</v>
      </c>
      <c r="G763">
        <f>IF(K763="Pick-up","PICKUPS",IF(K763="Staff drop-off","STAFF_DROPOFF",IF(K763="Replacements","REPLACEMENT",IF(K763="Central Stores Dispatch","CENTRAL STORES DISPATCH",IFNA(IFNA(VLOOKUP(F763,'Raw Platform Nov 4-6 2025'!C:C,1,FALSE),VLOOKUP(F763,'Raw Platform Nov 4-6 2025'!D:D,1,FALSE)),IFNA(VLOOKUP(F763,'Glovo Raw Nov 4-6 2025'!B:B,1,FALSE),"Not Matched"))))))</f>
      </c>
      <c r="H763">
        <f>COUNTIF(F:F,F763)</f>
      </c>
      <c r="I763" t="s">
        <v>8596</v>
      </c>
      <c r="J763" t="s">
        <v>4915</v>
      </c>
      <c r="K763" t="s">
        <v>4927</v>
      </c>
      <c r="L763" t="s">
        <v>8597</v>
      </c>
      <c r="M763" t="s">
        <v>8598</v>
      </c>
      <c r="N763" t="s">
        <v>8599</v>
      </c>
      <c r="O763" t="s">
        <v>73</v>
      </c>
      <c r="P763" t="s">
        <v>5820</v>
      </c>
      <c r="Q763">
        <v>0</v>
      </c>
      <c r="R763" t="s">
        <v>5118</v>
      </c>
      <c r="S763" t="s">
        <v>116</v>
      </c>
      <c r="T763" t="s">
        <v>4923</v>
      </c>
      <c r="U763" t="s">
        <v>4924</v>
      </c>
      <c r="V763" t="s">
        <v>8600</v>
      </c>
      <c r="W763" t="s">
        <v>3667</v>
      </c>
      <c r="X763">
        <v>139.1</v>
      </c>
    </row>
    <row r="764" spans="1:24" x14ac:dyDescent="0.25">
      <c r="A764" t="s">
        <v>6063</v>
      </c>
      <c r="B764" t="s">
        <v>8579</v>
      </c>
      <c r="C764" t="s">
        <v>8580</v>
      </c>
      <c r="D764" t="s">
        <v>19</v>
      </c>
      <c r="E764" t="s">
        <v>4913</v>
      </c>
      <c r="F764" t="s">
        <v>8601</v>
      </c>
      <c r="G764">
        <f>IF(K764="Pick-up","PICKUPS",IF(K764="Staff drop-off","STAFF_DROPOFF",IF(K764="Replacements","REPLACEMENT",IF(K764="Central Stores Dispatch","CENTRAL STORES DISPATCH",IFNA(IFNA(VLOOKUP(F764,'Raw Platform Nov 4-6 2025'!C:C,1,FALSE),VLOOKUP(F764,'Raw Platform Nov 4-6 2025'!D:D,1,FALSE)),IFNA(VLOOKUP(F764,'Glovo Raw Nov 4-6 2025'!B:B,1,FALSE),"Not Matched"))))))</f>
      </c>
      <c r="H764">
        <f>COUNTIF(F:F,F764)</f>
      </c>
      <c r="I764" t="s">
        <v>8602</v>
      </c>
      <c r="J764" t="s">
        <v>5289</v>
      </c>
      <c r="K764" t="s">
        <v>4927</v>
      </c>
      <c r="L764" t="s">
        <v>7729</v>
      </c>
      <c r="M764" t="s">
        <v>6120</v>
      </c>
      <c r="N764" t="s">
        <v>8603</v>
      </c>
      <c r="O764" t="s">
        <v>77</v>
      </c>
      <c r="P764" t="s">
        <v>5265</v>
      </c>
      <c r="Q764">
        <v>0</v>
      </c>
      <c r="R764" t="s">
        <v>5118</v>
      </c>
      <c r="S764" t="s">
        <v>5293</v>
      </c>
      <c r="T764" t="s">
        <v>4923</v>
      </c>
      <c r="U764" t="s">
        <v>4924</v>
      </c>
      <c r="V764" t="s">
        <v>8604</v>
      </c>
      <c r="W764" t="s">
        <v>3667</v>
      </c>
      <c r="X764">
        <v>263.3</v>
      </c>
    </row>
    <row r="765" spans="1:24" x14ac:dyDescent="0.25">
      <c r="A765" t="s">
        <v>6063</v>
      </c>
      <c r="B765" t="s">
        <v>8605</v>
      </c>
      <c r="C765" t="s">
        <v>8606</v>
      </c>
      <c r="D765" t="s">
        <v>191</v>
      </c>
      <c r="E765" t="s">
        <v>4913</v>
      </c>
      <c r="F765" t="s">
        <v>8607</v>
      </c>
      <c r="G765">
        <f>IF(K765="Pick-up","PICKUPS",IF(K765="Staff drop-off","STAFF_DROPOFF",IF(K765="Replacements","REPLACEMENT",IF(K765="Central Stores Dispatch","CENTRAL STORES DISPATCH",IFNA(IFNA(VLOOKUP(F765,'Raw Platform Nov 4-6 2025'!C:C,1,FALSE),VLOOKUP(F765,'Raw Platform Nov 4-6 2025'!D:D,1,FALSE)),IFNA(VLOOKUP(F765,'Glovo Raw Nov 4-6 2025'!B:B,1,FALSE),"Not Matched"))))))</f>
      </c>
      <c r="H765">
        <f>COUNTIF(F:F,F765)</f>
      </c>
      <c r="I765" t="s">
        <v>8608</v>
      </c>
      <c r="J765" t="s">
        <v>4915</v>
      </c>
      <c r="K765" t="s">
        <v>4927</v>
      </c>
      <c r="L765" t="s">
        <v>8609</v>
      </c>
      <c r="M765" t="s">
        <v>8610</v>
      </c>
      <c r="N765" t="s">
        <v>4973</v>
      </c>
      <c r="O765" t="s">
        <v>9</v>
      </c>
      <c r="P765" t="s">
        <v>6628</v>
      </c>
      <c r="Q765">
        <v>0</v>
      </c>
      <c r="R765" t="s">
        <v>5118</v>
      </c>
      <c r="S765" t="s">
        <v>5184</v>
      </c>
      <c r="T765" t="s">
        <v>4923</v>
      </c>
      <c r="U765" t="s">
        <v>4924</v>
      </c>
      <c r="V765" t="s">
        <v>8611</v>
      </c>
      <c r="W765" t="s">
        <v>3667</v>
      </c>
      <c r="X765">
        <v>231.1</v>
      </c>
    </row>
    <row r="766" spans="1:24" x14ac:dyDescent="0.25">
      <c r="A766" t="s">
        <v>6063</v>
      </c>
      <c r="B766" t="s">
        <v>8605</v>
      </c>
      <c r="C766" t="s">
        <v>8606</v>
      </c>
      <c r="D766" t="s">
        <v>19</v>
      </c>
      <c r="E766" t="s">
        <v>4913</v>
      </c>
      <c r="F766" t="s">
        <v>8612</v>
      </c>
      <c r="G766">
        <f>IF(K766="Pick-up","PICKUPS",IF(K766="Staff drop-off","STAFF_DROPOFF",IF(K766="Replacements","REPLACEMENT",IF(K766="Central Stores Dispatch","CENTRAL STORES DISPATCH",IFNA(IFNA(VLOOKUP(F766,'Raw Platform Nov 4-6 2025'!C:C,1,FALSE),VLOOKUP(F766,'Raw Platform Nov 4-6 2025'!D:D,1,FALSE)),IFNA(VLOOKUP(F766,'Glovo Raw Nov 4-6 2025'!B:B,1,FALSE),"Not Matched"))))))</f>
      </c>
      <c r="H766">
        <f>COUNTIF(F:F,F766)</f>
      </c>
      <c r="I766" t="s">
        <v>8613</v>
      </c>
      <c r="J766" t="s">
        <v>4915</v>
      </c>
      <c r="K766" t="s">
        <v>4916</v>
      </c>
      <c r="L766" t="s">
        <v>8614</v>
      </c>
      <c r="M766" t="s">
        <v>6120</v>
      </c>
      <c r="N766" t="s">
        <v>8615</v>
      </c>
      <c r="O766" t="s">
        <v>8616</v>
      </c>
      <c r="P766" t="s">
        <v>6080</v>
      </c>
      <c r="Q766">
        <v>1290</v>
      </c>
      <c r="R766" t="s">
        <v>5118</v>
      </c>
      <c r="S766" t="s">
        <v>50</v>
      </c>
      <c r="T766" t="s">
        <v>4923</v>
      </c>
      <c r="U766" t="s">
        <v>4924</v>
      </c>
      <c r="V766" t="s">
        <v>8617</v>
      </c>
      <c r="W766" t="s">
        <v>3667</v>
      </c>
      <c r="X766">
        <v>550.8</v>
      </c>
    </row>
    <row r="767" spans="1:24" x14ac:dyDescent="0.25">
      <c r="A767" t="s">
        <v>6063</v>
      </c>
      <c r="B767" t="s">
        <v>8605</v>
      </c>
      <c r="C767" t="s">
        <v>8606</v>
      </c>
      <c r="D767" t="s">
        <v>19</v>
      </c>
      <c r="E767" t="s">
        <v>4913</v>
      </c>
      <c r="F767" t="s">
        <v>1945</v>
      </c>
      <c r="G767">
        <f>IF(K767="Pick-up","PICKUPS",IF(K767="Staff drop-off","STAFF_DROPOFF",IF(K767="Replacements","REPLACEMENT",IF(K767="Central Stores Dispatch","CENTRAL STORES DISPATCH",IFNA(IFNA(VLOOKUP(F767,'Raw Platform Nov 4-6 2025'!C:C,1,FALSE),VLOOKUP(F767,'Raw Platform Nov 4-6 2025'!D:D,1,FALSE)),IFNA(VLOOKUP(F767,'Glovo Raw Nov 4-6 2025'!B:B,1,FALSE),"Not Matched"))))))</f>
      </c>
      <c r="H767">
        <f>COUNTIF(F:F,F767)</f>
      </c>
      <c r="I767" t="s">
        <v>8618</v>
      </c>
      <c r="J767" t="s">
        <v>4915</v>
      </c>
      <c r="K767" t="s">
        <v>4927</v>
      </c>
      <c r="L767" t="s">
        <v>8619</v>
      </c>
      <c r="M767" t="s">
        <v>8620</v>
      </c>
      <c r="N767" t="s">
        <v>8621</v>
      </c>
      <c r="O767" t="s">
        <v>26</v>
      </c>
      <c r="P767" t="s">
        <v>4949</v>
      </c>
      <c r="Q767">
        <v>0</v>
      </c>
      <c r="R767" t="s">
        <v>5118</v>
      </c>
      <c r="S767" t="s">
        <v>35</v>
      </c>
      <c r="T767" t="s">
        <v>4923</v>
      </c>
      <c r="U767" t="s">
        <v>4924</v>
      </c>
      <c r="V767" t="s">
        <v>8622</v>
      </c>
      <c r="W767" t="s">
        <v>3667</v>
      </c>
      <c r="X767">
        <v>157.5</v>
      </c>
    </row>
    <row r="768" spans="1:24" x14ac:dyDescent="0.25">
      <c r="A768" t="s">
        <v>6063</v>
      </c>
      <c r="B768" t="s">
        <v>8605</v>
      </c>
      <c r="C768" t="s">
        <v>8606</v>
      </c>
      <c r="D768" t="s">
        <v>19</v>
      </c>
      <c r="E768" t="s">
        <v>4913</v>
      </c>
      <c r="F768" t="s">
        <v>2215</v>
      </c>
      <c r="G768">
        <f>IF(K768="Pick-up","PICKUPS",IF(K768="Staff drop-off","STAFF_DROPOFF",IF(K768="Replacements","REPLACEMENT",IF(K768="Central Stores Dispatch","CENTRAL STORES DISPATCH",IFNA(IFNA(VLOOKUP(F768,'Raw Platform Nov 4-6 2025'!C:C,1,FALSE),VLOOKUP(F768,'Raw Platform Nov 4-6 2025'!D:D,1,FALSE)),IFNA(VLOOKUP(F768,'Glovo Raw Nov 4-6 2025'!B:B,1,FALSE),"Not Matched"))))))</f>
      </c>
      <c r="H768">
        <f>COUNTIF(F:F,F768)</f>
      </c>
      <c r="I768" t="s">
        <v>8623</v>
      </c>
      <c r="J768" t="s">
        <v>4915</v>
      </c>
      <c r="K768" t="s">
        <v>4927</v>
      </c>
      <c r="L768" t="s">
        <v>8624</v>
      </c>
      <c r="M768" t="s">
        <v>6120</v>
      </c>
      <c r="N768" t="s">
        <v>8625</v>
      </c>
      <c r="O768" t="s">
        <v>73</v>
      </c>
      <c r="P768" t="s">
        <v>5816</v>
      </c>
      <c r="Q768">
        <v>0</v>
      </c>
      <c r="R768" t="s">
        <v>5118</v>
      </c>
      <c r="S768" t="s">
        <v>12</v>
      </c>
      <c r="T768" t="s">
        <v>4923</v>
      </c>
      <c r="U768" t="s">
        <v>4924</v>
      </c>
      <c r="V768" t="s">
        <v>8626</v>
      </c>
      <c r="W768" t="s">
        <v>3667</v>
      </c>
      <c r="X768">
        <v>162.1</v>
      </c>
    </row>
    <row r="769" spans="1:24" x14ac:dyDescent="0.25">
      <c r="A769" t="s">
        <v>6063</v>
      </c>
      <c r="B769" t="s">
        <v>8605</v>
      </c>
      <c r="C769" t="s">
        <v>8606</v>
      </c>
      <c r="D769" t="s">
        <v>191</v>
      </c>
      <c r="E769" t="s">
        <v>4913</v>
      </c>
      <c r="F769" t="s">
        <v>2181</v>
      </c>
      <c r="G769">
        <f>IF(K769="Pick-up","PICKUPS",IF(K769="Staff drop-off","STAFF_DROPOFF",IF(K769="Replacements","REPLACEMENT",IF(K769="Central Stores Dispatch","CENTRAL STORES DISPATCH",IFNA(IFNA(VLOOKUP(F769,'Raw Platform Nov 4-6 2025'!C:C,1,FALSE),VLOOKUP(F769,'Raw Platform Nov 4-6 2025'!D:D,1,FALSE)),IFNA(VLOOKUP(F769,'Glovo Raw Nov 4-6 2025'!B:B,1,FALSE),"Not Matched"))))))</f>
      </c>
      <c r="H769">
        <f>COUNTIF(F:F,F769)</f>
      </c>
      <c r="I769" t="s">
        <v>8627</v>
      </c>
      <c r="J769" t="s">
        <v>4915</v>
      </c>
      <c r="K769" t="s">
        <v>4927</v>
      </c>
      <c r="L769" t="s">
        <v>8628</v>
      </c>
      <c r="M769" t="s">
        <v>8629</v>
      </c>
      <c r="N769" t="s">
        <v>8630</v>
      </c>
      <c r="O769" t="s">
        <v>7232</v>
      </c>
      <c r="P769" t="s">
        <v>8631</v>
      </c>
      <c r="Q769">
        <v>0</v>
      </c>
      <c r="R769" t="s">
        <v>5118</v>
      </c>
      <c r="S769" t="s">
        <v>5184</v>
      </c>
      <c r="T769" t="s">
        <v>4923</v>
      </c>
      <c r="U769" t="s">
        <v>4924</v>
      </c>
      <c r="V769" t="s">
        <v>8632</v>
      </c>
      <c r="W769" t="s">
        <v>3667</v>
      </c>
      <c r="X769">
        <v>313.9</v>
      </c>
    </row>
    <row r="770" spans="1:24" x14ac:dyDescent="0.25">
      <c r="A770" t="s">
        <v>6063</v>
      </c>
      <c r="B770" t="s">
        <v>8605</v>
      </c>
      <c r="C770" t="s">
        <v>8606</v>
      </c>
      <c r="D770" t="s">
        <v>19</v>
      </c>
      <c r="E770" t="s">
        <v>4913</v>
      </c>
      <c r="F770" t="s">
        <v>8633</v>
      </c>
      <c r="G770">
        <f>IF(K770="Pick-up","PICKUPS",IF(K770="Staff drop-off","STAFF_DROPOFF",IF(K770="Replacements","REPLACEMENT",IF(K770="Central Stores Dispatch","CENTRAL STORES DISPATCH",IFNA(IFNA(VLOOKUP(F770,'Raw Platform Nov 4-6 2025'!C:C,1,FALSE),VLOOKUP(F770,'Raw Platform Nov 4-6 2025'!D:D,1,FALSE)),IFNA(VLOOKUP(F770,'Glovo Raw Nov 4-6 2025'!B:B,1,FALSE),"Not Matched"))))))</f>
      </c>
      <c r="H770">
        <f>COUNTIF(F:F,F770)</f>
      </c>
      <c r="I770" t="s">
        <v>8634</v>
      </c>
      <c r="J770" t="s">
        <v>4915</v>
      </c>
      <c r="K770" t="s">
        <v>4927</v>
      </c>
      <c r="L770" t="s">
        <v>8635</v>
      </c>
      <c r="M770" t="s">
        <v>6120</v>
      </c>
      <c r="N770" t="s">
        <v>8636</v>
      </c>
      <c r="O770" t="s">
        <v>9</v>
      </c>
      <c r="P770" t="s">
        <v>5914</v>
      </c>
      <c r="Q770">
        <v>0</v>
      </c>
      <c r="R770" t="s">
        <v>5118</v>
      </c>
      <c r="S770" t="s">
        <v>12</v>
      </c>
      <c r="T770" t="s">
        <v>4923</v>
      </c>
      <c r="U770" t="s">
        <v>4924</v>
      </c>
      <c r="V770" t="s">
        <v>8637</v>
      </c>
      <c r="W770" t="s">
        <v>3667</v>
      </c>
      <c r="X770">
        <v>192</v>
      </c>
    </row>
    <row r="771" spans="1:24" x14ac:dyDescent="0.25">
      <c r="A771" t="s">
        <v>6063</v>
      </c>
      <c r="B771" t="s">
        <v>8605</v>
      </c>
      <c r="C771" t="s">
        <v>8606</v>
      </c>
      <c r="D771" t="s">
        <v>19</v>
      </c>
      <c r="E771" t="s">
        <v>4913</v>
      </c>
      <c r="F771" t="s">
        <v>2116</v>
      </c>
      <c r="G771">
        <f>IF(K771="Pick-up","PICKUPS",IF(K771="Staff drop-off","STAFF_DROPOFF",IF(K771="Replacements","REPLACEMENT",IF(K771="Central Stores Dispatch","CENTRAL STORES DISPATCH",IFNA(IFNA(VLOOKUP(F771,'Raw Platform Nov 4-6 2025'!C:C,1,FALSE),VLOOKUP(F771,'Raw Platform Nov 4-6 2025'!D:D,1,FALSE)),IFNA(VLOOKUP(F771,'Glovo Raw Nov 4-6 2025'!B:B,1,FALSE),"Not Matched"))))))</f>
      </c>
      <c r="H771">
        <f>COUNTIF(F:F,F771)</f>
      </c>
      <c r="I771" t="s">
        <v>8638</v>
      </c>
      <c r="J771" t="s">
        <v>4915</v>
      </c>
      <c r="K771" t="s">
        <v>4927</v>
      </c>
      <c r="L771" t="s">
        <v>8639</v>
      </c>
      <c r="M771" t="s">
        <v>8640</v>
      </c>
      <c r="N771" t="s">
        <v>8641</v>
      </c>
      <c r="O771" t="s">
        <v>2009</v>
      </c>
      <c r="P771" t="s">
        <v>5588</v>
      </c>
      <c r="Q771">
        <v>0</v>
      </c>
      <c r="R771" t="s">
        <v>5118</v>
      </c>
      <c r="S771" t="s">
        <v>12</v>
      </c>
      <c r="T771" t="s">
        <v>4923</v>
      </c>
      <c r="U771" t="s">
        <v>4924</v>
      </c>
      <c r="V771" t="s">
        <v>8642</v>
      </c>
      <c r="W771" t="s">
        <v>3667</v>
      </c>
      <c r="X771">
        <v>109.2</v>
      </c>
    </row>
    <row r="772" spans="1:24" x14ac:dyDescent="0.25">
      <c r="A772" t="s">
        <v>6063</v>
      </c>
      <c r="B772" t="s">
        <v>8605</v>
      </c>
      <c r="C772" t="s">
        <v>8606</v>
      </c>
      <c r="D772" t="s">
        <v>19</v>
      </c>
      <c r="E772" t="s">
        <v>4913</v>
      </c>
      <c r="F772" t="s">
        <v>1811</v>
      </c>
      <c r="G772">
        <f>IF(K772="Pick-up","PICKUPS",IF(K772="Staff drop-off","STAFF_DROPOFF",IF(K772="Replacements","REPLACEMENT",IF(K772="Central Stores Dispatch","CENTRAL STORES DISPATCH",IFNA(IFNA(VLOOKUP(F772,'Raw Platform Nov 4-6 2025'!C:C,1,FALSE),VLOOKUP(F772,'Raw Platform Nov 4-6 2025'!D:D,1,FALSE)),IFNA(VLOOKUP(F772,'Glovo Raw Nov 4-6 2025'!B:B,1,FALSE),"Not Matched"))))))</f>
      </c>
      <c r="H772">
        <f>COUNTIF(F:F,F772)</f>
      </c>
      <c r="I772" t="s">
        <v>8643</v>
      </c>
      <c r="J772" t="s">
        <v>4915</v>
      </c>
      <c r="K772" t="s">
        <v>4927</v>
      </c>
      <c r="L772" t="s">
        <v>8644</v>
      </c>
      <c r="M772" t="s">
        <v>8645</v>
      </c>
      <c r="N772" t="s">
        <v>8646</v>
      </c>
      <c r="O772" t="s">
        <v>4949</v>
      </c>
      <c r="P772" t="s">
        <v>4984</v>
      </c>
      <c r="Q772">
        <v>0</v>
      </c>
      <c r="R772" t="s">
        <v>5118</v>
      </c>
      <c r="S772" t="s">
        <v>35</v>
      </c>
      <c r="T772" t="s">
        <v>4923</v>
      </c>
      <c r="U772" t="s">
        <v>4924</v>
      </c>
      <c r="V772" t="s">
        <v>8647</v>
      </c>
      <c r="W772" t="s">
        <v>3667</v>
      </c>
      <c r="X772">
        <v>100</v>
      </c>
    </row>
    <row r="773" spans="1:24" x14ac:dyDescent="0.25">
      <c r="A773" t="s">
        <v>6063</v>
      </c>
      <c r="B773" t="s">
        <v>8605</v>
      </c>
      <c r="C773" t="s">
        <v>8606</v>
      </c>
      <c r="D773" t="s">
        <v>19</v>
      </c>
      <c r="E773" t="s">
        <v>4913</v>
      </c>
      <c r="F773" t="s">
        <v>2754</v>
      </c>
      <c r="G773">
        <f>IF(K773="Pick-up","PICKUPS",IF(K773="Staff drop-off","STAFF_DROPOFF",IF(K773="Replacements","REPLACEMENT",IF(K773="Central Stores Dispatch","CENTRAL STORES DISPATCH",IFNA(IFNA(VLOOKUP(F773,'Raw Platform Nov 4-6 2025'!C:C,1,FALSE),VLOOKUP(F773,'Raw Platform Nov 4-6 2025'!D:D,1,FALSE)),IFNA(VLOOKUP(F773,'Glovo Raw Nov 4-6 2025'!B:B,1,FALSE),"Not Matched"))))))</f>
      </c>
      <c r="H773">
        <f>COUNTIF(F:F,F773)</f>
      </c>
      <c r="I773" t="s">
        <v>8648</v>
      </c>
      <c r="J773" t="s">
        <v>4915</v>
      </c>
      <c r="K773" t="s">
        <v>4927</v>
      </c>
      <c r="L773" t="s">
        <v>8649</v>
      </c>
      <c r="M773" t="s">
        <v>6120</v>
      </c>
      <c r="N773" t="s">
        <v>8650</v>
      </c>
      <c r="O773" t="s">
        <v>47</v>
      </c>
      <c r="P773" t="s">
        <v>4956</v>
      </c>
      <c r="Q773">
        <v>0</v>
      </c>
      <c r="R773" t="s">
        <v>5118</v>
      </c>
      <c r="S773" t="s">
        <v>12</v>
      </c>
      <c r="T773" t="s">
        <v>4923</v>
      </c>
      <c r="U773" t="s">
        <v>4924</v>
      </c>
      <c r="V773" t="s">
        <v>8651</v>
      </c>
      <c r="W773" t="s">
        <v>3667</v>
      </c>
      <c r="X773">
        <v>134.5</v>
      </c>
    </row>
    <row r="774" spans="1:24" x14ac:dyDescent="0.25">
      <c r="A774" t="s">
        <v>6063</v>
      </c>
      <c r="B774" t="s">
        <v>8605</v>
      </c>
      <c r="C774" t="s">
        <v>8606</v>
      </c>
      <c r="D774" t="s">
        <v>19</v>
      </c>
      <c r="E774" t="s">
        <v>4913</v>
      </c>
      <c r="F774" t="s">
        <v>3092</v>
      </c>
      <c r="G774">
        <f>IF(K774="Pick-up","PICKUPS",IF(K774="Staff drop-off","STAFF_DROPOFF",IF(K774="Replacements","REPLACEMENT",IF(K774="Central Stores Dispatch","CENTRAL STORES DISPATCH",IFNA(IFNA(VLOOKUP(F774,'Raw Platform Nov 4-6 2025'!C:C,1,FALSE),VLOOKUP(F774,'Raw Platform Nov 4-6 2025'!D:D,1,FALSE)),IFNA(VLOOKUP(F774,'Glovo Raw Nov 4-6 2025'!B:B,1,FALSE),"Not Matched"))))))</f>
      </c>
      <c r="H774">
        <f>COUNTIF(F:F,F774)</f>
      </c>
      <c r="I774" t="s">
        <v>8652</v>
      </c>
      <c r="J774" t="s">
        <v>63</v>
      </c>
      <c r="K774" t="s">
        <v>4916</v>
      </c>
      <c r="L774" t="s">
        <v>8653</v>
      </c>
      <c r="M774" t="s">
        <v>8654</v>
      </c>
      <c r="N774" t="s">
        <v>8655</v>
      </c>
      <c r="O774" t="s">
        <v>5937</v>
      </c>
      <c r="P774" t="s">
        <v>6870</v>
      </c>
      <c r="Q774">
        <v>989</v>
      </c>
      <c r="R774" t="s">
        <v>5118</v>
      </c>
      <c r="S774" t="s">
        <v>5136</v>
      </c>
      <c r="T774" t="s">
        <v>4923</v>
      </c>
      <c r="U774" t="s">
        <v>4924</v>
      </c>
      <c r="V774" t="s">
        <v>8656</v>
      </c>
      <c r="W774" t="s">
        <v>3667</v>
      </c>
      <c r="X774">
        <v>396.7</v>
      </c>
    </row>
    <row r="775" spans="1:24" x14ac:dyDescent="0.25">
      <c r="A775" t="s">
        <v>6063</v>
      </c>
      <c r="B775" t="s">
        <v>8605</v>
      </c>
      <c r="C775" t="s">
        <v>8606</v>
      </c>
      <c r="D775" t="s">
        <v>19</v>
      </c>
      <c r="E775" t="s">
        <v>4913</v>
      </c>
      <c r="F775" t="s">
        <v>8657</v>
      </c>
      <c r="G775">
        <f>IF(K775="Pick-up","PICKUPS",IF(K775="Staff drop-off","STAFF_DROPOFF",IF(K775="Replacements","REPLACEMENT",IF(K775="Central Stores Dispatch","CENTRAL STORES DISPATCH",IFNA(IFNA(VLOOKUP(F775,'Raw Platform Nov 4-6 2025'!C:C,1,FALSE),VLOOKUP(F775,'Raw Platform Nov 4-6 2025'!D:D,1,FALSE)),IFNA(VLOOKUP(F775,'Glovo Raw Nov 4-6 2025'!B:B,1,FALSE),"Not Matched"))))))</f>
      </c>
      <c r="H775">
        <f>COUNTIF(F:F,F775)</f>
      </c>
      <c r="I775" t="s">
        <v>8658</v>
      </c>
      <c r="J775" t="s">
        <v>4915</v>
      </c>
      <c r="K775" t="s">
        <v>4927</v>
      </c>
      <c r="L775" t="s">
        <v>8659</v>
      </c>
      <c r="M775" t="s">
        <v>6120</v>
      </c>
      <c r="N775" t="s">
        <v>8430</v>
      </c>
      <c r="O775" t="s">
        <v>77</v>
      </c>
      <c r="P775" t="s">
        <v>7620</v>
      </c>
      <c r="Q775">
        <v>0</v>
      </c>
      <c r="R775" t="s">
        <v>5118</v>
      </c>
      <c r="S775" t="s">
        <v>45</v>
      </c>
      <c r="T775" t="s">
        <v>4923</v>
      </c>
      <c r="U775" t="s">
        <v>4924</v>
      </c>
      <c r="V775" t="s">
        <v>8660</v>
      </c>
      <c r="W775" t="s">
        <v>3667</v>
      </c>
      <c r="X775">
        <v>212.7</v>
      </c>
    </row>
    <row r="776" spans="1:24" x14ac:dyDescent="0.25">
      <c r="A776" t="s">
        <v>6063</v>
      </c>
      <c r="B776" t="s">
        <v>8605</v>
      </c>
      <c r="C776" t="s">
        <v>8606</v>
      </c>
      <c r="D776" t="s">
        <v>19</v>
      </c>
      <c r="E776" t="s">
        <v>4913</v>
      </c>
      <c r="F776" t="s">
        <v>2861</v>
      </c>
      <c r="G776">
        <f>IF(K776="Pick-up","PICKUPS",IF(K776="Staff drop-off","STAFF_DROPOFF",IF(K776="Replacements","REPLACEMENT",IF(K776="Central Stores Dispatch","CENTRAL STORES DISPATCH",IFNA(IFNA(VLOOKUP(F776,'Raw Platform Nov 4-6 2025'!C:C,1,FALSE),VLOOKUP(F776,'Raw Platform Nov 4-6 2025'!D:D,1,FALSE)),IFNA(VLOOKUP(F776,'Glovo Raw Nov 4-6 2025'!B:B,1,FALSE),"Not Matched"))))))</f>
      </c>
      <c r="H776">
        <f>COUNTIF(F:F,F776)</f>
      </c>
      <c r="I776" t="s">
        <v>8661</v>
      </c>
      <c r="J776" t="s">
        <v>4915</v>
      </c>
      <c r="K776" t="s">
        <v>4927</v>
      </c>
      <c r="L776" t="s">
        <v>8662</v>
      </c>
      <c r="M776" t="s">
        <v>8663</v>
      </c>
      <c r="N776" t="s">
        <v>8664</v>
      </c>
      <c r="O776" t="s">
        <v>37</v>
      </c>
      <c r="P776" t="s">
        <v>8340</v>
      </c>
      <c r="Q776">
        <v>0</v>
      </c>
      <c r="R776" t="s">
        <v>5118</v>
      </c>
      <c r="S776" t="s">
        <v>45</v>
      </c>
      <c r="T776" t="s">
        <v>4923</v>
      </c>
      <c r="U776" t="s">
        <v>4924</v>
      </c>
      <c r="V776" t="s">
        <v>8665</v>
      </c>
      <c r="W776" t="s">
        <v>3667</v>
      </c>
      <c r="X776">
        <v>235.7</v>
      </c>
    </row>
    <row r="777" spans="1:24" x14ac:dyDescent="0.25">
      <c r="A777" t="s">
        <v>6063</v>
      </c>
      <c r="B777" t="s">
        <v>8605</v>
      </c>
      <c r="C777" t="s">
        <v>8606</v>
      </c>
      <c r="D777" t="s">
        <v>19</v>
      </c>
      <c r="E777" t="s">
        <v>4913</v>
      </c>
      <c r="F777" t="s">
        <v>3594</v>
      </c>
      <c r="G777">
        <f>IF(K777="Pick-up","PICKUPS",IF(K777="Staff drop-off","STAFF_DROPOFF",IF(K777="Replacements","REPLACEMENT",IF(K777="Central Stores Dispatch","CENTRAL STORES DISPATCH",IFNA(IFNA(VLOOKUP(F777,'Raw Platform Nov 4-6 2025'!C:C,1,FALSE),VLOOKUP(F777,'Raw Platform Nov 4-6 2025'!D:D,1,FALSE)),IFNA(VLOOKUP(F777,'Glovo Raw Nov 4-6 2025'!B:B,1,FALSE),"Not Matched"))))))</f>
      </c>
      <c r="H777">
        <f>COUNTIF(F:F,F777)</f>
      </c>
      <c r="I777" t="s">
        <v>8666</v>
      </c>
      <c r="J777" t="s">
        <v>4915</v>
      </c>
      <c r="K777" t="s">
        <v>4927</v>
      </c>
      <c r="L777" t="s">
        <v>8667</v>
      </c>
      <c r="M777" t="s">
        <v>6120</v>
      </c>
      <c r="N777" t="s">
        <v>8668</v>
      </c>
      <c r="O777" t="s">
        <v>100</v>
      </c>
      <c r="P777" t="s">
        <v>6802</v>
      </c>
      <c r="Q777">
        <v>0</v>
      </c>
      <c r="R777" t="s">
        <v>5118</v>
      </c>
      <c r="S777" t="s">
        <v>5136</v>
      </c>
      <c r="T777" t="s">
        <v>4923</v>
      </c>
      <c r="U777" t="s">
        <v>4924</v>
      </c>
      <c r="V777" t="s">
        <v>8669</v>
      </c>
      <c r="W777" t="s">
        <v>3667</v>
      </c>
      <c r="X777">
        <v>219.6</v>
      </c>
    </row>
    <row r="778" spans="1:24" x14ac:dyDescent="0.25">
      <c r="A778" t="s">
        <v>6063</v>
      </c>
      <c r="B778" t="s">
        <v>8605</v>
      </c>
      <c r="C778" t="s">
        <v>8606</v>
      </c>
      <c r="D778" t="s">
        <v>19</v>
      </c>
      <c r="E778" t="s">
        <v>4913</v>
      </c>
      <c r="F778" t="s">
        <v>2581</v>
      </c>
      <c r="G778">
        <f>IF(K778="Pick-up","PICKUPS",IF(K778="Staff drop-off","STAFF_DROPOFF",IF(K778="Replacements","REPLACEMENT",IF(K778="Central Stores Dispatch","CENTRAL STORES DISPATCH",IFNA(IFNA(VLOOKUP(F778,'Raw Platform Nov 4-6 2025'!C:C,1,FALSE),VLOOKUP(F778,'Raw Platform Nov 4-6 2025'!D:D,1,FALSE)),IFNA(VLOOKUP(F778,'Glovo Raw Nov 4-6 2025'!B:B,1,FALSE),"Not Matched"))))))</f>
      </c>
      <c r="H778">
        <f>COUNTIF(F:F,F778)</f>
      </c>
      <c r="I778" t="s">
        <v>8670</v>
      </c>
      <c r="J778" t="s">
        <v>4915</v>
      </c>
      <c r="K778" t="s">
        <v>4916</v>
      </c>
      <c r="L778" t="s">
        <v>8671</v>
      </c>
      <c r="M778" t="s">
        <v>8672</v>
      </c>
      <c r="N778" t="s">
        <v>8673</v>
      </c>
      <c r="O778" t="s">
        <v>8674</v>
      </c>
      <c r="P778" t="s">
        <v>8675</v>
      </c>
      <c r="Q778">
        <v>1150</v>
      </c>
      <c r="R778" t="s">
        <v>5118</v>
      </c>
      <c r="S778" t="s">
        <v>116</v>
      </c>
      <c r="T778" t="s">
        <v>4923</v>
      </c>
      <c r="U778" t="s">
        <v>4924</v>
      </c>
      <c r="V778" t="s">
        <v>8676</v>
      </c>
      <c r="W778" t="s">
        <v>3667</v>
      </c>
      <c r="X778">
        <v>700.3</v>
      </c>
    </row>
    <row r="779" spans="1:24" x14ac:dyDescent="0.25">
      <c r="A779" t="s">
        <v>6063</v>
      </c>
      <c r="B779" t="s">
        <v>8605</v>
      </c>
      <c r="C779" t="s">
        <v>8606</v>
      </c>
      <c r="D779" t="s">
        <v>19</v>
      </c>
      <c r="E779" t="s">
        <v>4913</v>
      </c>
      <c r="F779" t="s">
        <v>2541</v>
      </c>
      <c r="G779">
        <f>IF(K779="Pick-up","PICKUPS",IF(K779="Staff drop-off","STAFF_DROPOFF",IF(K779="Replacements","REPLACEMENT",IF(K779="Central Stores Dispatch","CENTRAL STORES DISPATCH",IFNA(IFNA(VLOOKUP(F779,'Raw Platform Nov 4-6 2025'!C:C,1,FALSE),VLOOKUP(F779,'Raw Platform Nov 4-6 2025'!D:D,1,FALSE)),IFNA(VLOOKUP(F779,'Glovo Raw Nov 4-6 2025'!B:B,1,FALSE),"Not Matched"))))))</f>
      </c>
      <c r="H779">
        <f>COUNTIF(F:F,F779)</f>
      </c>
      <c r="I779" t="s">
        <v>6639</v>
      </c>
      <c r="J779" t="s">
        <v>4915</v>
      </c>
      <c r="K779" t="s">
        <v>4916</v>
      </c>
      <c r="L779" t="s">
        <v>8677</v>
      </c>
      <c r="M779" t="s">
        <v>8678</v>
      </c>
      <c r="N779" t="s">
        <v>8679</v>
      </c>
      <c r="O779" t="s">
        <v>26</v>
      </c>
      <c r="P779" t="s">
        <v>5816</v>
      </c>
      <c r="Q779">
        <v>1980</v>
      </c>
      <c r="R779" t="s">
        <v>5118</v>
      </c>
      <c r="S779" t="s">
        <v>12</v>
      </c>
      <c r="T779" t="s">
        <v>4923</v>
      </c>
      <c r="U779" t="s">
        <v>4924</v>
      </c>
      <c r="V779" t="s">
        <v>8680</v>
      </c>
      <c r="W779" t="s">
        <v>3667</v>
      </c>
      <c r="X779">
        <v>162.1</v>
      </c>
    </row>
    <row r="780" spans="1:24" x14ac:dyDescent="0.25">
      <c r="A780" t="s">
        <v>6063</v>
      </c>
      <c r="B780" t="s">
        <v>8681</v>
      </c>
      <c r="C780" t="s">
        <v>8682</v>
      </c>
      <c r="D780" t="s">
        <v>19</v>
      </c>
      <c r="E780" t="s">
        <v>4913</v>
      </c>
      <c r="F780" t="s">
        <v>353</v>
      </c>
      <c r="G780">
        <f>IF(K780="Pick-up","PICKUPS",IF(K780="Staff drop-off","STAFF_DROPOFF",IF(K780="Replacements","REPLACEMENT",IF(K780="Central Stores Dispatch","CENTRAL STORES DISPATCH",IFNA(IFNA(VLOOKUP(F780,'Raw Platform Nov 4-6 2025'!C:C,1,FALSE),VLOOKUP(F780,'Raw Platform Nov 4-6 2025'!D:D,1,FALSE)),IFNA(VLOOKUP(F780,'Glovo Raw Nov 4-6 2025'!B:B,1,FALSE),"Not Matched"))))))</f>
      </c>
      <c r="H780">
        <f>COUNTIF(F:F,F780)</f>
      </c>
      <c r="I780" t="s">
        <v>8357</v>
      </c>
      <c r="J780" t="s">
        <v>4915</v>
      </c>
      <c r="K780" t="s">
        <v>4927</v>
      </c>
      <c r="L780" t="s">
        <v>8683</v>
      </c>
      <c r="M780" t="s">
        <v>8684</v>
      </c>
      <c r="N780" t="s">
        <v>8685</v>
      </c>
      <c r="O780" t="s">
        <v>113</v>
      </c>
      <c r="P780" t="s">
        <v>7620</v>
      </c>
      <c r="Q780">
        <v>0</v>
      </c>
      <c r="R780" t="s">
        <v>5118</v>
      </c>
      <c r="S780" t="s">
        <v>45</v>
      </c>
      <c r="T780" t="s">
        <v>4923</v>
      </c>
      <c r="U780" t="s">
        <v>4924</v>
      </c>
      <c r="V780" t="s">
        <v>8686</v>
      </c>
      <c r="W780" t="s">
        <v>3667</v>
      </c>
      <c r="X780">
        <v>212.7</v>
      </c>
    </row>
    <row r="781" spans="1:24" x14ac:dyDescent="0.25">
      <c r="A781" t="s">
        <v>6063</v>
      </c>
      <c r="B781" t="s">
        <v>8681</v>
      </c>
      <c r="C781" t="s">
        <v>8682</v>
      </c>
      <c r="D781" t="s">
        <v>191</v>
      </c>
      <c r="E781" t="s">
        <v>4913</v>
      </c>
      <c r="F781" t="s">
        <v>212</v>
      </c>
      <c r="G781">
        <f>IF(K781="Pick-up","PICKUPS",IF(K781="Staff drop-off","STAFF_DROPOFF",IF(K781="Replacements","REPLACEMENT",IF(K781="Central Stores Dispatch","CENTRAL STORES DISPATCH",IFNA(IFNA(VLOOKUP(F781,'Raw Platform Nov 4-6 2025'!C:C,1,FALSE),VLOOKUP(F781,'Raw Platform Nov 4-6 2025'!D:D,1,FALSE)),IFNA(VLOOKUP(F781,'Glovo Raw Nov 4-6 2025'!B:B,1,FALSE),"Not Matched"))))))</f>
      </c>
      <c r="H781">
        <f>COUNTIF(F:F,F781)</f>
      </c>
      <c r="I781" t="s">
        <v>8687</v>
      </c>
      <c r="J781" t="s">
        <v>4915</v>
      </c>
      <c r="K781" t="s">
        <v>4927</v>
      </c>
      <c r="L781" t="s">
        <v>8683</v>
      </c>
      <c r="M781" t="s">
        <v>8684</v>
      </c>
      <c r="N781" t="s">
        <v>8685</v>
      </c>
      <c r="O781" t="s">
        <v>113</v>
      </c>
      <c r="P781" t="s">
        <v>7620</v>
      </c>
      <c r="Q781">
        <v>0</v>
      </c>
      <c r="R781" t="s">
        <v>5118</v>
      </c>
      <c r="S781" t="s">
        <v>5184</v>
      </c>
      <c r="T781" t="s">
        <v>4923</v>
      </c>
      <c r="U781" t="s">
        <v>4924</v>
      </c>
      <c r="V781" t="s">
        <v>8688</v>
      </c>
      <c r="W781" t="s">
        <v>3667</v>
      </c>
      <c r="X781">
        <v>212.7</v>
      </c>
    </row>
    <row r="782" spans="1:24" x14ac:dyDescent="0.25">
      <c r="A782" t="s">
        <v>6063</v>
      </c>
      <c r="B782" t="s">
        <v>8681</v>
      </c>
      <c r="C782" t="s">
        <v>8682</v>
      </c>
      <c r="D782" t="s">
        <v>19</v>
      </c>
      <c r="E782" t="s">
        <v>4913</v>
      </c>
      <c r="F782" t="s">
        <v>373</v>
      </c>
      <c r="G782">
        <f>IF(K782="Pick-up","PICKUPS",IF(K782="Staff drop-off","STAFF_DROPOFF",IF(K782="Replacements","REPLACEMENT",IF(K782="Central Stores Dispatch","CENTRAL STORES DISPATCH",IFNA(IFNA(VLOOKUP(F782,'Raw Platform Nov 4-6 2025'!C:C,1,FALSE),VLOOKUP(F782,'Raw Platform Nov 4-6 2025'!D:D,1,FALSE)),IFNA(VLOOKUP(F782,'Glovo Raw Nov 4-6 2025'!B:B,1,FALSE),"Not Matched"))))))</f>
      </c>
      <c r="H782">
        <f>COUNTIF(F:F,F782)</f>
      </c>
      <c r="I782" t="s">
        <v>8689</v>
      </c>
      <c r="J782" t="s">
        <v>4915</v>
      </c>
      <c r="K782" t="s">
        <v>4916</v>
      </c>
      <c r="L782" t="s">
        <v>8690</v>
      </c>
      <c r="M782" t="s">
        <v>8691</v>
      </c>
      <c r="N782" t="s">
        <v>8692</v>
      </c>
      <c r="O782" t="s">
        <v>113</v>
      </c>
      <c r="P782" t="s">
        <v>5328</v>
      </c>
      <c r="Q782">
        <v>992</v>
      </c>
      <c r="R782" t="s">
        <v>5118</v>
      </c>
      <c r="S782" t="s">
        <v>35</v>
      </c>
      <c r="T782" t="s">
        <v>4923</v>
      </c>
      <c r="U782" t="s">
        <v>4924</v>
      </c>
      <c r="V782" t="s">
        <v>8693</v>
      </c>
      <c r="W782" t="s">
        <v>3667</v>
      </c>
      <c r="X782">
        <v>205.8</v>
      </c>
    </row>
    <row r="783" spans="1:24" x14ac:dyDescent="0.25">
      <c r="A783" t="s">
        <v>6063</v>
      </c>
      <c r="B783" t="s">
        <v>8681</v>
      </c>
      <c r="C783" t="s">
        <v>8682</v>
      </c>
      <c r="D783" t="s">
        <v>19</v>
      </c>
      <c r="E783" t="s">
        <v>4913</v>
      </c>
      <c r="F783" t="s">
        <v>8694</v>
      </c>
      <c r="G783">
        <f>IF(K783="Pick-up","PICKUPS",IF(K783="Staff drop-off","STAFF_DROPOFF",IF(K783="Replacements","REPLACEMENT",IF(K783="Central Stores Dispatch","CENTRAL STORES DISPATCH",IFNA(IFNA(VLOOKUP(F783,'Raw Platform Nov 4-6 2025'!C:C,1,FALSE),VLOOKUP(F783,'Raw Platform Nov 4-6 2025'!D:D,1,FALSE)),IFNA(VLOOKUP(F783,'Glovo Raw Nov 4-6 2025'!B:B,1,FALSE),"Not Matched"))))))</f>
      </c>
      <c r="H783">
        <f>COUNTIF(F:F,F783)</f>
      </c>
      <c r="I783" t="s">
        <v>8695</v>
      </c>
      <c r="J783" t="s">
        <v>4915</v>
      </c>
      <c r="K783" t="s">
        <v>4927</v>
      </c>
      <c r="L783" t="s">
        <v>8696</v>
      </c>
      <c r="M783" t="s">
        <v>6120</v>
      </c>
      <c r="N783" t="s">
        <v>8650</v>
      </c>
      <c r="O783" t="s">
        <v>47</v>
      </c>
      <c r="P783" t="s">
        <v>4956</v>
      </c>
      <c r="Q783">
        <v>0</v>
      </c>
      <c r="R783" t="s">
        <v>5118</v>
      </c>
      <c r="S783" t="s">
        <v>5136</v>
      </c>
      <c r="T783" t="s">
        <v>4923</v>
      </c>
      <c r="U783" t="s">
        <v>4924</v>
      </c>
      <c r="V783" t="s">
        <v>8697</v>
      </c>
      <c r="W783" t="s">
        <v>3667</v>
      </c>
      <c r="X783">
        <v>134.5</v>
      </c>
    </row>
    <row r="784" spans="1:24" x14ac:dyDescent="0.25">
      <c r="A784" t="s">
        <v>6063</v>
      </c>
      <c r="B784" t="s">
        <v>8681</v>
      </c>
      <c r="C784" t="s">
        <v>8682</v>
      </c>
      <c r="D784" t="s">
        <v>19</v>
      </c>
      <c r="E784" t="s">
        <v>4913</v>
      </c>
      <c r="F784" t="s">
        <v>8698</v>
      </c>
      <c r="G784">
        <f>IF(K784="Pick-up","PICKUPS",IF(K784="Staff drop-off","STAFF_DROPOFF",IF(K784="Replacements","REPLACEMENT",IF(K784="Central Stores Dispatch","CENTRAL STORES DISPATCH",IFNA(IFNA(VLOOKUP(F784,'Raw Platform Nov 4-6 2025'!C:C,1,FALSE),VLOOKUP(F784,'Raw Platform Nov 4-6 2025'!D:D,1,FALSE)),IFNA(VLOOKUP(F784,'Glovo Raw Nov 4-6 2025'!B:B,1,FALSE),"Not Matched"))))))</f>
      </c>
      <c r="H784">
        <f>COUNTIF(F:F,F784)</f>
      </c>
      <c r="I784" t="s">
        <v>8699</v>
      </c>
      <c r="J784" t="s">
        <v>4915</v>
      </c>
      <c r="K784" t="s">
        <v>4927</v>
      </c>
      <c r="L784" t="s">
        <v>8700</v>
      </c>
      <c r="M784" t="s">
        <v>8701</v>
      </c>
      <c r="N784" t="s">
        <v>8621</v>
      </c>
      <c r="O784" t="s">
        <v>26</v>
      </c>
      <c r="P784" t="s">
        <v>4949</v>
      </c>
      <c r="Q784">
        <v>0</v>
      </c>
      <c r="R784" t="s">
        <v>5118</v>
      </c>
      <c r="S784" t="s">
        <v>12</v>
      </c>
      <c r="T784" t="s">
        <v>4923</v>
      </c>
      <c r="U784" t="s">
        <v>4924</v>
      </c>
      <c r="V784" t="s">
        <v>8702</v>
      </c>
      <c r="W784" t="s">
        <v>3667</v>
      </c>
      <c r="X784">
        <v>157.5</v>
      </c>
    </row>
    <row r="785" spans="1:24" x14ac:dyDescent="0.25">
      <c r="A785" t="s">
        <v>6063</v>
      </c>
      <c r="B785" t="s">
        <v>8681</v>
      </c>
      <c r="C785" t="s">
        <v>8682</v>
      </c>
      <c r="D785" t="s">
        <v>19</v>
      </c>
      <c r="E785" t="s">
        <v>4913</v>
      </c>
      <c r="F785" t="s">
        <v>1361</v>
      </c>
      <c r="G785">
        <f>IF(K785="Pick-up","PICKUPS",IF(K785="Staff drop-off","STAFF_DROPOFF",IF(K785="Replacements","REPLACEMENT",IF(K785="Central Stores Dispatch","CENTRAL STORES DISPATCH",IFNA(IFNA(VLOOKUP(F785,'Raw Platform Nov 4-6 2025'!C:C,1,FALSE),VLOOKUP(F785,'Raw Platform Nov 4-6 2025'!D:D,1,FALSE)),IFNA(VLOOKUP(F785,'Glovo Raw Nov 4-6 2025'!B:B,1,FALSE),"Not Matched"))))))</f>
      </c>
      <c r="H785">
        <f>COUNTIF(F:F,F785)</f>
      </c>
      <c r="I785" t="s">
        <v>8703</v>
      </c>
      <c r="J785" t="s">
        <v>63</v>
      </c>
      <c r="K785" t="s">
        <v>4927</v>
      </c>
      <c r="L785" t="s">
        <v>8704</v>
      </c>
      <c r="M785" t="s">
        <v>8705</v>
      </c>
      <c r="N785" t="s">
        <v>8706</v>
      </c>
      <c r="O785" t="s">
        <v>73</v>
      </c>
      <c r="P785" t="s">
        <v>5387</v>
      </c>
      <c r="Q785">
        <v>0</v>
      </c>
      <c r="R785" t="s">
        <v>5118</v>
      </c>
      <c r="S785" t="s">
        <v>12</v>
      </c>
      <c r="T785" t="s">
        <v>4923</v>
      </c>
      <c r="U785" t="s">
        <v>4924</v>
      </c>
      <c r="V785" t="s">
        <v>8707</v>
      </c>
      <c r="W785" t="s">
        <v>3667</v>
      </c>
      <c r="X785">
        <v>152.9</v>
      </c>
    </row>
    <row r="786" spans="1:24" x14ac:dyDescent="0.25">
      <c r="A786" t="s">
        <v>6063</v>
      </c>
      <c r="B786" t="s">
        <v>8681</v>
      </c>
      <c r="C786" t="s">
        <v>8682</v>
      </c>
      <c r="D786" t="s">
        <v>19</v>
      </c>
      <c r="E786" t="s">
        <v>4913</v>
      </c>
      <c r="F786" t="s">
        <v>8708</v>
      </c>
      <c r="G786">
        <f>IF(K786="Pick-up","PICKUPS",IF(K786="Staff drop-off","STAFF_DROPOFF",IF(K786="Replacements","REPLACEMENT",IF(K786="Central Stores Dispatch","CENTRAL STORES DISPATCH",IFNA(IFNA(VLOOKUP(F786,'Raw Platform Nov 4-6 2025'!C:C,1,FALSE),VLOOKUP(F786,'Raw Platform Nov 4-6 2025'!D:D,1,FALSE)),IFNA(VLOOKUP(F786,'Glovo Raw Nov 4-6 2025'!B:B,1,FALSE),"Not Matched"))))))</f>
      </c>
      <c r="H786">
        <f>COUNTIF(F:F,F786)</f>
      </c>
      <c r="I786" t="s">
        <v>8709</v>
      </c>
      <c r="J786" t="s">
        <v>4915</v>
      </c>
      <c r="K786" t="s">
        <v>4927</v>
      </c>
      <c r="L786" t="s">
        <v>8710</v>
      </c>
      <c r="M786" t="s">
        <v>8711</v>
      </c>
      <c r="N786" t="s">
        <v>8712</v>
      </c>
      <c r="O786" t="s">
        <v>9</v>
      </c>
      <c r="P786" t="s">
        <v>4962</v>
      </c>
      <c r="Q786">
        <v>0</v>
      </c>
      <c r="R786" t="s">
        <v>5118</v>
      </c>
      <c r="S786" t="s">
        <v>5136</v>
      </c>
      <c r="T786" t="s">
        <v>4923</v>
      </c>
      <c r="U786" t="s">
        <v>4924</v>
      </c>
      <c r="V786" t="s">
        <v>8713</v>
      </c>
      <c r="W786" t="s">
        <v>3667</v>
      </c>
      <c r="X786">
        <v>180.5</v>
      </c>
    </row>
    <row r="787" spans="1:24" x14ac:dyDescent="0.25">
      <c r="A787" t="s">
        <v>6063</v>
      </c>
      <c r="B787" t="s">
        <v>8681</v>
      </c>
      <c r="C787" t="s">
        <v>8682</v>
      </c>
      <c r="D787" t="s">
        <v>19</v>
      </c>
      <c r="E787" t="s">
        <v>4913</v>
      </c>
      <c r="F787" t="s">
        <v>8714</v>
      </c>
      <c r="G787">
        <f>IF(K787="Pick-up","PICKUPS",IF(K787="Staff drop-off","STAFF_DROPOFF",IF(K787="Replacements","REPLACEMENT",IF(K787="Central Stores Dispatch","CENTRAL STORES DISPATCH",IFNA(IFNA(VLOOKUP(F787,'Raw Platform Nov 4-6 2025'!C:C,1,FALSE),VLOOKUP(F787,'Raw Platform Nov 4-6 2025'!D:D,1,FALSE)),IFNA(VLOOKUP(F787,'Glovo Raw Nov 4-6 2025'!B:B,1,FALSE),"Not Matched"))))))</f>
      </c>
      <c r="H787">
        <f>COUNTIF(F:F,F787)</f>
      </c>
      <c r="I787" t="s">
        <v>8715</v>
      </c>
      <c r="J787" t="s">
        <v>5289</v>
      </c>
      <c r="K787" t="s">
        <v>4927</v>
      </c>
      <c r="L787" t="s">
        <v>8716</v>
      </c>
      <c r="M787" t="s">
        <v>6120</v>
      </c>
      <c r="N787" t="s">
        <v>6458</v>
      </c>
      <c r="O787" t="s">
        <v>113</v>
      </c>
      <c r="P787" t="s">
        <v>5271</v>
      </c>
      <c r="Q787">
        <v>0</v>
      </c>
      <c r="R787" t="s">
        <v>5118</v>
      </c>
      <c r="S787" t="s">
        <v>5293</v>
      </c>
      <c r="T787" t="s">
        <v>4923</v>
      </c>
      <c r="U787" t="s">
        <v>4924</v>
      </c>
      <c r="V787" t="s">
        <v>8717</v>
      </c>
      <c r="W787" t="s">
        <v>3667</v>
      </c>
      <c r="X787">
        <v>182.8</v>
      </c>
    </row>
    <row r="788" spans="1:24" x14ac:dyDescent="0.25">
      <c r="A788" t="s">
        <v>4910</v>
      </c>
      <c r="B788" t="s">
        <v>8681</v>
      </c>
      <c r="C788" t="s">
        <v>8682</v>
      </c>
      <c r="D788" t="s">
        <v>13</v>
      </c>
      <c r="E788" t="s">
        <v>4913</v>
      </c>
      <c r="F788" t="s">
        <v>8718</v>
      </c>
      <c r="G788">
        <f>IF(K788="Pick-up","PICKUPS",IF(K788="Staff drop-off","STAFF_DROPOFF",IF(K788="Replacements","REPLACEMENT",IF(K788="Central Stores Dispatch","CENTRAL STORES DISPATCH",IFNA(IFNA(VLOOKUP(F788,'Raw Platform Nov 4-6 2025'!C:C,1,FALSE),VLOOKUP(F788,'Raw Platform Nov 4-6 2025'!D:D,1,FALSE)),IFNA(VLOOKUP(F788,'Glovo Raw Nov 4-6 2025'!B:B,1,FALSE),"Not Matched"))))))</f>
      </c>
      <c r="H788">
        <f>COUNTIF(F:F,F788)</f>
      </c>
      <c r="I788" t="s">
        <v>8719</v>
      </c>
      <c r="J788" t="s">
        <v>5289</v>
      </c>
      <c r="K788" t="s">
        <v>4927</v>
      </c>
      <c r="L788" t="s">
        <v>8720</v>
      </c>
      <c r="M788" t="s">
        <v>4918</v>
      </c>
      <c r="N788" t="s">
        <v>6500</v>
      </c>
      <c r="O788" t="s">
        <v>37</v>
      </c>
      <c r="P788" t="s">
        <v>5236</v>
      </c>
      <c r="Q788">
        <v>0</v>
      </c>
      <c r="R788" t="s">
        <v>5118</v>
      </c>
      <c r="S788" t="s">
        <v>116</v>
      </c>
      <c r="T788" t="s">
        <v>4923</v>
      </c>
      <c r="U788" t="s">
        <v>4924</v>
      </c>
      <c r="V788" t="s">
        <v>8721</v>
      </c>
      <c r="W788" t="s">
        <v>3667</v>
      </c>
      <c r="X788">
        <v>210.4</v>
      </c>
    </row>
    <row r="789" spans="1:24" x14ac:dyDescent="0.25">
      <c r="A789" t="s">
        <v>6063</v>
      </c>
      <c r="B789" t="s">
        <v>8681</v>
      </c>
      <c r="C789" t="s">
        <v>8682</v>
      </c>
      <c r="D789" t="s">
        <v>19</v>
      </c>
      <c r="E789" t="s">
        <v>4913</v>
      </c>
      <c r="F789" t="s">
        <v>283</v>
      </c>
      <c r="G789">
        <f>IF(K789="Pick-up","PICKUPS",IF(K789="Staff drop-off","STAFF_DROPOFF",IF(K789="Replacements","REPLACEMENT",IF(K789="Central Stores Dispatch","CENTRAL STORES DISPATCH",IFNA(IFNA(VLOOKUP(F789,'Raw Platform Nov 4-6 2025'!C:C,1,FALSE),VLOOKUP(F789,'Raw Platform Nov 4-6 2025'!D:D,1,FALSE)),IFNA(VLOOKUP(F789,'Glovo Raw Nov 4-6 2025'!B:B,1,FALSE),"Not Matched"))))))</f>
      </c>
      <c r="H789">
        <f>COUNTIF(F:F,F789)</f>
      </c>
      <c r="I789" t="s">
        <v>8722</v>
      </c>
      <c r="J789" t="s">
        <v>4915</v>
      </c>
      <c r="K789" t="s">
        <v>4927</v>
      </c>
      <c r="L789" t="s">
        <v>8723</v>
      </c>
      <c r="M789" t="s">
        <v>6120</v>
      </c>
      <c r="N789" t="s">
        <v>7099</v>
      </c>
      <c r="O789" t="s">
        <v>73</v>
      </c>
      <c r="P789" t="s">
        <v>6808</v>
      </c>
      <c r="Q789">
        <v>0</v>
      </c>
      <c r="R789" t="s">
        <v>5118</v>
      </c>
      <c r="S789" t="s">
        <v>5136</v>
      </c>
      <c r="T789" t="s">
        <v>4923</v>
      </c>
      <c r="U789" t="s">
        <v>4924</v>
      </c>
      <c r="V789" t="s">
        <v>8724</v>
      </c>
      <c r="W789" t="s">
        <v>3667</v>
      </c>
      <c r="X789">
        <v>194.3</v>
      </c>
    </row>
    <row r="790" spans="1:24" x14ac:dyDescent="0.25">
      <c r="A790" t="s">
        <v>6063</v>
      </c>
      <c r="B790" t="s">
        <v>8681</v>
      </c>
      <c r="C790" t="s">
        <v>8682</v>
      </c>
      <c r="D790" t="s">
        <v>19</v>
      </c>
      <c r="E790" t="s">
        <v>4913</v>
      </c>
      <c r="F790" t="s">
        <v>8725</v>
      </c>
      <c r="G790">
        <f>IF(K790="Pick-up","PICKUPS",IF(K790="Staff drop-off","STAFF_DROPOFF",IF(K790="Replacements","REPLACEMENT",IF(K790="Central Stores Dispatch","CENTRAL STORES DISPATCH",IFNA(IFNA(VLOOKUP(F790,'Raw Platform Nov 4-6 2025'!C:C,1,FALSE),VLOOKUP(F790,'Raw Platform Nov 4-6 2025'!D:D,1,FALSE)),IFNA(VLOOKUP(F790,'Glovo Raw Nov 4-6 2025'!B:B,1,FALSE),"Not Matched"))))))</f>
      </c>
      <c r="H790">
        <f>COUNTIF(F:F,F790)</f>
      </c>
      <c r="I790" t="s">
        <v>8726</v>
      </c>
      <c r="J790" t="s">
        <v>4915</v>
      </c>
      <c r="K790" t="s">
        <v>4927</v>
      </c>
      <c r="L790" t="s">
        <v>8614</v>
      </c>
      <c r="M790" t="s">
        <v>6120</v>
      </c>
      <c r="N790" t="s">
        <v>8727</v>
      </c>
      <c r="O790" t="s">
        <v>5534</v>
      </c>
      <c r="P790" t="s">
        <v>8728</v>
      </c>
      <c r="Q790">
        <v>0</v>
      </c>
      <c r="R790" t="s">
        <v>5118</v>
      </c>
      <c r="S790" t="s">
        <v>50</v>
      </c>
      <c r="T790" t="s">
        <v>4923</v>
      </c>
      <c r="U790" t="s">
        <v>4924</v>
      </c>
      <c r="V790" t="s">
        <v>8729</v>
      </c>
      <c r="W790" t="s">
        <v>3667</v>
      </c>
      <c r="X790">
        <v>353</v>
      </c>
    </row>
    <row r="791" spans="1:24" x14ac:dyDescent="0.25">
      <c r="A791" t="s">
        <v>6063</v>
      </c>
      <c r="B791" t="s">
        <v>8681</v>
      </c>
      <c r="C791" t="s">
        <v>8682</v>
      </c>
      <c r="D791" t="s">
        <v>19</v>
      </c>
      <c r="E791" t="s">
        <v>4913</v>
      </c>
      <c r="F791" t="s">
        <v>1473</v>
      </c>
      <c r="G791">
        <f>IF(K791="Pick-up","PICKUPS",IF(K791="Staff drop-off","STAFF_DROPOFF",IF(K791="Replacements","REPLACEMENT",IF(K791="Central Stores Dispatch","CENTRAL STORES DISPATCH",IFNA(IFNA(VLOOKUP(F791,'Raw Platform Nov 4-6 2025'!C:C,1,FALSE),VLOOKUP(F791,'Raw Platform Nov 4-6 2025'!D:D,1,FALSE)),IFNA(VLOOKUP(F791,'Glovo Raw Nov 4-6 2025'!B:B,1,FALSE),"Not Matched"))))))</f>
      </c>
      <c r="H791">
        <f>COUNTIF(F:F,F791)</f>
      </c>
      <c r="I791" t="s">
        <v>8730</v>
      </c>
      <c r="J791" t="s">
        <v>4915</v>
      </c>
      <c r="K791" t="s">
        <v>4927</v>
      </c>
      <c r="L791" t="s">
        <v>8018</v>
      </c>
      <c r="M791" t="s">
        <v>8019</v>
      </c>
      <c r="N791" t="s">
        <v>8731</v>
      </c>
      <c r="O791" t="s">
        <v>6540</v>
      </c>
      <c r="P791" t="s">
        <v>8732</v>
      </c>
      <c r="Q791">
        <v>0</v>
      </c>
      <c r="R791" t="s">
        <v>5118</v>
      </c>
      <c r="S791" t="s">
        <v>5136</v>
      </c>
      <c r="T791" t="s">
        <v>4923</v>
      </c>
      <c r="U791" t="s">
        <v>4924</v>
      </c>
      <c r="V791" t="s">
        <v>8733</v>
      </c>
      <c r="W791" t="s">
        <v>3667</v>
      </c>
      <c r="X791">
        <v>583</v>
      </c>
    </row>
    <row r="792" spans="1:24" x14ac:dyDescent="0.25">
      <c r="A792" t="s">
        <v>6063</v>
      </c>
      <c r="B792" t="s">
        <v>8681</v>
      </c>
      <c r="C792" t="s">
        <v>8682</v>
      </c>
      <c r="D792" t="s">
        <v>19</v>
      </c>
      <c r="E792" t="s">
        <v>4913</v>
      </c>
      <c r="F792" t="s">
        <v>1840</v>
      </c>
      <c r="G792">
        <f>IF(K792="Pick-up","PICKUPS",IF(K792="Staff drop-off","STAFF_DROPOFF",IF(K792="Replacements","REPLACEMENT",IF(K792="Central Stores Dispatch","CENTRAL STORES DISPATCH",IFNA(IFNA(VLOOKUP(F792,'Raw Platform Nov 4-6 2025'!C:C,1,FALSE),VLOOKUP(F792,'Raw Platform Nov 4-6 2025'!D:D,1,FALSE)),IFNA(VLOOKUP(F792,'Glovo Raw Nov 4-6 2025'!B:B,1,FALSE),"Not Matched"))))))</f>
      </c>
      <c r="H792">
        <f>COUNTIF(F:F,F792)</f>
      </c>
      <c r="I792" t="s">
        <v>8734</v>
      </c>
      <c r="J792" t="s">
        <v>4915</v>
      </c>
      <c r="K792" t="s">
        <v>4927</v>
      </c>
      <c r="L792" t="s">
        <v>8735</v>
      </c>
      <c r="M792" t="s">
        <v>6120</v>
      </c>
      <c r="N792" t="s">
        <v>8736</v>
      </c>
      <c r="O792" t="s">
        <v>5937</v>
      </c>
      <c r="P792" t="s">
        <v>8737</v>
      </c>
      <c r="Q792">
        <v>0</v>
      </c>
      <c r="R792" t="s">
        <v>5118</v>
      </c>
      <c r="S792" t="s">
        <v>116</v>
      </c>
      <c r="T792" t="s">
        <v>4923</v>
      </c>
      <c r="U792" t="s">
        <v>4924</v>
      </c>
      <c r="V792" t="s">
        <v>8738</v>
      </c>
      <c r="W792" t="s">
        <v>3667</v>
      </c>
      <c r="X792">
        <v>320.8</v>
      </c>
    </row>
    <row r="793" spans="1:24" x14ac:dyDescent="0.25">
      <c r="A793" t="s">
        <v>6063</v>
      </c>
      <c r="B793" t="s">
        <v>8681</v>
      </c>
      <c r="C793" t="s">
        <v>8682</v>
      </c>
      <c r="D793" t="s">
        <v>191</v>
      </c>
      <c r="E793" t="s">
        <v>4913</v>
      </c>
      <c r="F793" t="s">
        <v>2168</v>
      </c>
      <c r="G793">
        <f>IF(K793="Pick-up","PICKUPS",IF(K793="Staff drop-off","STAFF_DROPOFF",IF(K793="Replacements","REPLACEMENT",IF(K793="Central Stores Dispatch","CENTRAL STORES DISPATCH",IFNA(IFNA(VLOOKUP(F793,'Raw Platform Nov 4-6 2025'!C:C,1,FALSE),VLOOKUP(F793,'Raw Platform Nov 4-6 2025'!D:D,1,FALSE)),IFNA(VLOOKUP(F793,'Glovo Raw Nov 4-6 2025'!B:B,1,FALSE),"Not Matched"))))))</f>
      </c>
      <c r="H793">
        <f>COUNTIF(F:F,F793)</f>
      </c>
      <c r="I793" t="s">
        <v>8739</v>
      </c>
      <c r="J793" t="s">
        <v>4915</v>
      </c>
      <c r="K793" t="s">
        <v>4927</v>
      </c>
      <c r="L793" t="s">
        <v>8740</v>
      </c>
      <c r="M793" t="s">
        <v>8741</v>
      </c>
      <c r="N793" t="s">
        <v>8742</v>
      </c>
      <c r="O793" t="s">
        <v>73</v>
      </c>
      <c r="P793" t="s">
        <v>5387</v>
      </c>
      <c r="Q793">
        <v>0</v>
      </c>
      <c r="R793" t="s">
        <v>5118</v>
      </c>
      <c r="S793" t="s">
        <v>641</v>
      </c>
      <c r="T793" t="s">
        <v>4923</v>
      </c>
      <c r="U793" t="s">
        <v>4924</v>
      </c>
      <c r="V793" t="s">
        <v>8743</v>
      </c>
      <c r="W793" t="s">
        <v>3667</v>
      </c>
      <c r="X793">
        <v>152.9</v>
      </c>
    </row>
    <row r="794" spans="1:24" x14ac:dyDescent="0.25">
      <c r="A794" t="s">
        <v>6063</v>
      </c>
      <c r="B794" t="s">
        <v>8681</v>
      </c>
      <c r="C794" t="s">
        <v>8682</v>
      </c>
      <c r="D794" t="s">
        <v>191</v>
      </c>
      <c r="E794" t="s">
        <v>4913</v>
      </c>
      <c r="F794" t="s">
        <v>2283</v>
      </c>
      <c r="G794">
        <f>IF(K794="Pick-up","PICKUPS",IF(K794="Staff drop-off","STAFF_DROPOFF",IF(K794="Replacements","REPLACEMENT",IF(K794="Central Stores Dispatch","CENTRAL STORES DISPATCH",IFNA(IFNA(VLOOKUP(F794,'Raw Platform Nov 4-6 2025'!C:C,1,FALSE),VLOOKUP(F794,'Raw Platform Nov 4-6 2025'!D:D,1,FALSE)),IFNA(VLOOKUP(F794,'Glovo Raw Nov 4-6 2025'!B:B,1,FALSE),"Not Matched"))))))</f>
      </c>
      <c r="H794">
        <f>COUNTIF(F:F,F794)</f>
      </c>
      <c r="I794" t="s">
        <v>8744</v>
      </c>
      <c r="J794" t="s">
        <v>4915</v>
      </c>
      <c r="K794" t="s">
        <v>4927</v>
      </c>
      <c r="L794" t="s">
        <v>8745</v>
      </c>
      <c r="M794" t="s">
        <v>8746</v>
      </c>
      <c r="N794" t="s">
        <v>8747</v>
      </c>
      <c r="O794" t="s">
        <v>37</v>
      </c>
      <c r="P794" t="s">
        <v>6125</v>
      </c>
      <c r="Q794">
        <v>0</v>
      </c>
      <c r="R794" t="s">
        <v>5118</v>
      </c>
      <c r="S794" t="s">
        <v>5184</v>
      </c>
      <c r="T794" t="s">
        <v>4923</v>
      </c>
      <c r="U794" t="s">
        <v>4924</v>
      </c>
      <c r="V794" t="s">
        <v>8748</v>
      </c>
      <c r="W794" t="s">
        <v>3667</v>
      </c>
      <c r="X794">
        <v>224.2</v>
      </c>
    </row>
    <row r="795" spans="1:24" x14ac:dyDescent="0.25">
      <c r="A795" t="s">
        <v>6063</v>
      </c>
      <c r="B795" t="s">
        <v>8681</v>
      </c>
      <c r="C795" t="s">
        <v>8682</v>
      </c>
      <c r="D795" t="s">
        <v>19</v>
      </c>
      <c r="E795" t="s">
        <v>4913</v>
      </c>
      <c r="F795" t="s">
        <v>1984</v>
      </c>
      <c r="G795">
        <f>IF(K795="Pick-up","PICKUPS",IF(K795="Staff drop-off","STAFF_DROPOFF",IF(K795="Replacements","REPLACEMENT",IF(K795="Central Stores Dispatch","CENTRAL STORES DISPATCH",IFNA(IFNA(VLOOKUP(F795,'Raw Platform Nov 4-6 2025'!C:C,1,FALSE),VLOOKUP(F795,'Raw Platform Nov 4-6 2025'!D:D,1,FALSE)),IFNA(VLOOKUP(F795,'Glovo Raw Nov 4-6 2025'!B:B,1,FALSE),"Not Matched"))))))</f>
      </c>
      <c r="H795">
        <f>COUNTIF(F:F,F795)</f>
      </c>
      <c r="I795" t="s">
        <v>8749</v>
      </c>
      <c r="J795" t="s">
        <v>4915</v>
      </c>
      <c r="K795" t="s">
        <v>4927</v>
      </c>
      <c r="L795" t="s">
        <v>8750</v>
      </c>
      <c r="M795" t="s">
        <v>8751</v>
      </c>
      <c r="N795" t="s">
        <v>8752</v>
      </c>
      <c r="O795" t="s">
        <v>37</v>
      </c>
      <c r="P795" t="s">
        <v>6813</v>
      </c>
      <c r="Q795">
        <v>0</v>
      </c>
      <c r="R795" t="s">
        <v>5118</v>
      </c>
      <c r="S795" t="s">
        <v>116</v>
      </c>
      <c r="T795" t="s">
        <v>4923</v>
      </c>
      <c r="U795" t="s">
        <v>4924</v>
      </c>
      <c r="V795" t="s">
        <v>8753</v>
      </c>
      <c r="W795" t="s">
        <v>3667</v>
      </c>
      <c r="X795">
        <v>242.6</v>
      </c>
    </row>
    <row r="796" spans="1:24" x14ac:dyDescent="0.25">
      <c r="A796" t="s">
        <v>6063</v>
      </c>
      <c r="B796" t="s">
        <v>8681</v>
      </c>
      <c r="C796" t="s">
        <v>8682</v>
      </c>
      <c r="D796" t="s">
        <v>19</v>
      </c>
      <c r="E796" t="s">
        <v>4913</v>
      </c>
      <c r="F796" t="s">
        <v>8754</v>
      </c>
      <c r="G796">
        <f>IF(K796="Pick-up","PICKUPS",IF(K796="Staff drop-off","STAFF_DROPOFF",IF(K796="Replacements","REPLACEMENT",IF(K796="Central Stores Dispatch","CENTRAL STORES DISPATCH",IFNA(IFNA(VLOOKUP(F796,'Raw Platform Nov 4-6 2025'!C:C,1,FALSE),VLOOKUP(F796,'Raw Platform Nov 4-6 2025'!D:D,1,FALSE)),IFNA(VLOOKUP(F796,'Glovo Raw Nov 4-6 2025'!B:B,1,FALSE),"Not Matched"))))))</f>
      </c>
      <c r="H796">
        <f>COUNTIF(F:F,F796)</f>
      </c>
      <c r="I796" t="s">
        <v>8755</v>
      </c>
      <c r="J796" t="s">
        <v>5289</v>
      </c>
      <c r="K796" t="s">
        <v>4927</v>
      </c>
      <c r="L796" t="s">
        <v>7729</v>
      </c>
      <c r="M796" t="s">
        <v>6120</v>
      </c>
      <c r="N796" t="s">
        <v>5292</v>
      </c>
      <c r="O796" t="s">
        <v>113</v>
      </c>
      <c r="P796" t="s">
        <v>7024</v>
      </c>
      <c r="Q796">
        <v>0</v>
      </c>
      <c r="R796" t="s">
        <v>5118</v>
      </c>
      <c r="S796" t="s">
        <v>5293</v>
      </c>
      <c r="T796" t="s">
        <v>4923</v>
      </c>
      <c r="U796" t="s">
        <v>4924</v>
      </c>
      <c r="V796" t="s">
        <v>8756</v>
      </c>
      <c r="W796" t="s">
        <v>3667</v>
      </c>
      <c r="X796">
        <v>185.1</v>
      </c>
    </row>
    <row r="797" spans="1:24" x14ac:dyDescent="0.25">
      <c r="A797" t="s">
        <v>8757</v>
      </c>
      <c r="B797" t="s">
        <v>8681</v>
      </c>
      <c r="C797" t="s">
        <v>8682</v>
      </c>
      <c r="D797" t="s">
        <v>3667</v>
      </c>
      <c r="E797" t="s">
        <v>5034</v>
      </c>
      <c r="F797" t="s">
        <v>2999</v>
      </c>
      <c r="G797">
        <f>IF(K797="Pick-up","PICKUPS",IF(K797="Staff drop-off","STAFF_DROPOFF",IF(K797="Replacements","REPLACEMENT",IF(K797="Central Stores Dispatch","CENTRAL STORES DISPATCH",IFNA(IFNA(VLOOKUP(F797,'Raw Platform Nov 4-6 2025'!C:C,1,FALSE),VLOOKUP(F797,'Raw Platform Nov 4-6 2025'!D:D,1,FALSE)),IFNA(VLOOKUP(F797,'Glovo Raw Nov 4-6 2025'!B:B,1,FALSE),"Not Matched"))))))</f>
      </c>
      <c r="H797">
        <f>COUNTIF(F:F,F797)</f>
      </c>
      <c r="I797" t="s">
        <v>8422</v>
      </c>
      <c r="J797" t="s">
        <v>5028</v>
      </c>
      <c r="K797" t="s">
        <v>4916</v>
      </c>
      <c r="L797" t="s">
        <v>8423</v>
      </c>
      <c r="M797" t="s">
        <v>8424</v>
      </c>
      <c r="N797" t="s">
        <v>8425</v>
      </c>
      <c r="O797" t="s">
        <v>4990</v>
      </c>
      <c r="P797" t="s">
        <v>4921</v>
      </c>
      <c r="Q797">
        <v>2160</v>
      </c>
      <c r="R797" t="s">
        <v>5118</v>
      </c>
      <c r="S797" t="s">
        <v>3667</v>
      </c>
      <c r="T797" t="s">
        <v>4923</v>
      </c>
      <c r="U797" t="s">
        <v>4923</v>
      </c>
      <c r="V797" t="s">
        <v>8422</v>
      </c>
      <c r="W797" t="s">
        <v>3667</v>
      </c>
      <c r="X797">
        <v>0</v>
      </c>
    </row>
    <row r="798" spans="1:24" x14ac:dyDescent="0.25">
      <c r="A798" t="s">
        <v>6063</v>
      </c>
      <c r="B798" t="s">
        <v>8681</v>
      </c>
      <c r="C798" t="s">
        <v>8682</v>
      </c>
      <c r="D798" t="s">
        <v>19</v>
      </c>
      <c r="E798" t="s">
        <v>4913</v>
      </c>
      <c r="F798" t="s">
        <v>2556</v>
      </c>
      <c r="G798">
        <f>IF(K798="Pick-up","PICKUPS",IF(K798="Staff drop-off","STAFF_DROPOFF",IF(K798="Replacements","REPLACEMENT",IF(K798="Central Stores Dispatch","CENTRAL STORES DISPATCH",IFNA(IFNA(VLOOKUP(F798,'Raw Platform Nov 4-6 2025'!C:C,1,FALSE),VLOOKUP(F798,'Raw Platform Nov 4-6 2025'!D:D,1,FALSE)),IFNA(VLOOKUP(F798,'Glovo Raw Nov 4-6 2025'!B:B,1,FALSE),"Not Matched"))))))</f>
      </c>
      <c r="H798">
        <f>COUNTIF(F:F,F798)</f>
      </c>
      <c r="I798" t="s">
        <v>8758</v>
      </c>
      <c r="J798" t="s">
        <v>4915</v>
      </c>
      <c r="K798" t="s">
        <v>4916</v>
      </c>
      <c r="L798" t="s">
        <v>8759</v>
      </c>
      <c r="M798" t="s">
        <v>8760</v>
      </c>
      <c r="N798" t="s">
        <v>8761</v>
      </c>
      <c r="O798" t="s">
        <v>16</v>
      </c>
      <c r="P798" t="s">
        <v>5328</v>
      </c>
      <c r="Q798">
        <v>1145</v>
      </c>
      <c r="R798" t="s">
        <v>5118</v>
      </c>
      <c r="S798" t="s">
        <v>5136</v>
      </c>
      <c r="T798" t="s">
        <v>4923</v>
      </c>
      <c r="U798" t="s">
        <v>4924</v>
      </c>
      <c r="V798" t="s">
        <v>8762</v>
      </c>
      <c r="W798" t="s">
        <v>3667</v>
      </c>
      <c r="X798">
        <v>205.8</v>
      </c>
    </row>
    <row r="799" spans="1:24" x14ac:dyDescent="0.25">
      <c r="A799" t="s">
        <v>6063</v>
      </c>
      <c r="B799" t="s">
        <v>8681</v>
      </c>
      <c r="C799" t="s">
        <v>8682</v>
      </c>
      <c r="D799" t="s">
        <v>19</v>
      </c>
      <c r="E799" t="s">
        <v>4913</v>
      </c>
      <c r="F799" t="s">
        <v>2530</v>
      </c>
      <c r="G799">
        <f>IF(K799="Pick-up","PICKUPS",IF(K799="Staff drop-off","STAFF_DROPOFF",IF(K799="Replacements","REPLACEMENT",IF(K799="Central Stores Dispatch","CENTRAL STORES DISPATCH",IFNA(IFNA(VLOOKUP(F799,'Raw Platform Nov 4-6 2025'!C:C,1,FALSE),VLOOKUP(F799,'Raw Platform Nov 4-6 2025'!D:D,1,FALSE)),IFNA(VLOOKUP(F799,'Glovo Raw Nov 4-6 2025'!B:B,1,FALSE),"Not Matched"))))))</f>
      </c>
      <c r="H799">
        <f>COUNTIF(F:F,F799)</f>
      </c>
      <c r="I799" t="s">
        <v>8763</v>
      </c>
      <c r="J799" t="s">
        <v>4915</v>
      </c>
      <c r="K799" t="s">
        <v>4927</v>
      </c>
      <c r="L799" t="s">
        <v>8764</v>
      </c>
      <c r="M799" t="s">
        <v>8765</v>
      </c>
      <c r="N799" t="s">
        <v>8766</v>
      </c>
      <c r="O799" t="s">
        <v>9</v>
      </c>
      <c r="P799" t="s">
        <v>5387</v>
      </c>
      <c r="Q799">
        <v>0</v>
      </c>
      <c r="R799" t="s">
        <v>5118</v>
      </c>
      <c r="S799" t="s">
        <v>12</v>
      </c>
      <c r="T799" t="s">
        <v>4923</v>
      </c>
      <c r="U799" t="s">
        <v>4924</v>
      </c>
      <c r="V799" t="s">
        <v>8767</v>
      </c>
      <c r="W799" t="s">
        <v>3667</v>
      </c>
      <c r="X799">
        <v>152.9</v>
      </c>
    </row>
    <row r="800" spans="1:24" x14ac:dyDescent="0.25">
      <c r="A800" t="s">
        <v>6063</v>
      </c>
      <c r="B800" t="s">
        <v>8681</v>
      </c>
      <c r="C800" t="s">
        <v>8682</v>
      </c>
      <c r="D800" t="s">
        <v>19</v>
      </c>
      <c r="E800" t="s">
        <v>4913</v>
      </c>
      <c r="F800" t="s">
        <v>2545</v>
      </c>
      <c r="G800">
        <f>IF(K800="Pick-up","PICKUPS",IF(K800="Staff drop-off","STAFF_DROPOFF",IF(K800="Replacements","REPLACEMENT",IF(K800="Central Stores Dispatch","CENTRAL STORES DISPATCH",IFNA(IFNA(VLOOKUP(F800,'Raw Platform Nov 4-6 2025'!C:C,1,FALSE),VLOOKUP(F800,'Raw Platform Nov 4-6 2025'!D:D,1,FALSE)),IFNA(VLOOKUP(F800,'Glovo Raw Nov 4-6 2025'!B:B,1,FALSE),"Not Matched"))))))</f>
      </c>
      <c r="H800">
        <f>COUNTIF(F:F,F800)</f>
      </c>
      <c r="I800" t="s">
        <v>8768</v>
      </c>
      <c r="J800" t="s">
        <v>4915</v>
      </c>
      <c r="K800" t="s">
        <v>4927</v>
      </c>
      <c r="L800" t="s">
        <v>8769</v>
      </c>
      <c r="M800" t="s">
        <v>8770</v>
      </c>
      <c r="N800" t="s">
        <v>8771</v>
      </c>
      <c r="O800" t="s">
        <v>2009</v>
      </c>
      <c r="P800" t="s">
        <v>6235</v>
      </c>
      <c r="Q800">
        <v>0</v>
      </c>
      <c r="R800" t="s">
        <v>5118</v>
      </c>
      <c r="S800" t="s">
        <v>12</v>
      </c>
      <c r="T800" t="s">
        <v>4923</v>
      </c>
      <c r="U800" t="s">
        <v>4924</v>
      </c>
      <c r="V800" t="s">
        <v>8772</v>
      </c>
      <c r="W800" t="s">
        <v>3667</v>
      </c>
      <c r="X800">
        <v>104.6</v>
      </c>
    </row>
    <row r="801" spans="1:24" x14ac:dyDescent="0.25">
      <c r="A801" t="s">
        <v>6063</v>
      </c>
      <c r="B801" t="s">
        <v>8681</v>
      </c>
      <c r="C801" t="s">
        <v>8682</v>
      </c>
      <c r="D801" t="s">
        <v>19</v>
      </c>
      <c r="E801" t="s">
        <v>4913</v>
      </c>
      <c r="F801" t="s">
        <v>2884</v>
      </c>
      <c r="G801">
        <f>IF(K801="Pick-up","PICKUPS",IF(K801="Staff drop-off","STAFF_DROPOFF",IF(K801="Replacements","REPLACEMENT",IF(K801="Central Stores Dispatch","CENTRAL STORES DISPATCH",IFNA(IFNA(VLOOKUP(F801,'Raw Platform Nov 4-6 2025'!C:C,1,FALSE),VLOOKUP(F801,'Raw Platform Nov 4-6 2025'!D:D,1,FALSE)),IFNA(VLOOKUP(F801,'Glovo Raw Nov 4-6 2025'!B:B,1,FALSE),"Not Matched"))))))</f>
      </c>
      <c r="H801">
        <f>COUNTIF(F:F,F801)</f>
      </c>
      <c r="I801" t="s">
        <v>8773</v>
      </c>
      <c r="J801" t="s">
        <v>4915</v>
      </c>
      <c r="K801" t="s">
        <v>4916</v>
      </c>
      <c r="L801" t="s">
        <v>8774</v>
      </c>
      <c r="M801" t="s">
        <v>8775</v>
      </c>
      <c r="N801" t="s">
        <v>8771</v>
      </c>
      <c r="O801" t="s">
        <v>2009</v>
      </c>
      <c r="P801" t="s">
        <v>6235</v>
      </c>
      <c r="Q801">
        <v>740</v>
      </c>
      <c r="R801" t="s">
        <v>5118</v>
      </c>
      <c r="S801" t="s">
        <v>35</v>
      </c>
      <c r="T801" t="s">
        <v>4923</v>
      </c>
      <c r="U801" t="s">
        <v>4924</v>
      </c>
      <c r="V801" t="s">
        <v>8776</v>
      </c>
      <c r="W801" t="s">
        <v>3667</v>
      </c>
      <c r="X801">
        <v>104.6</v>
      </c>
    </row>
    <row r="802" spans="1:24" x14ac:dyDescent="0.25">
      <c r="A802" t="s">
        <v>6063</v>
      </c>
      <c r="B802" t="s">
        <v>8681</v>
      </c>
      <c r="C802" t="s">
        <v>8682</v>
      </c>
      <c r="D802" t="s">
        <v>19</v>
      </c>
      <c r="E802" t="s">
        <v>4913</v>
      </c>
      <c r="F802" t="s">
        <v>3522</v>
      </c>
      <c r="G802">
        <f>IF(K802="Pick-up","PICKUPS",IF(K802="Staff drop-off","STAFF_DROPOFF",IF(K802="Replacements","REPLACEMENT",IF(K802="Central Stores Dispatch","CENTRAL STORES DISPATCH",IFNA(IFNA(VLOOKUP(F802,'Raw Platform Nov 4-6 2025'!C:C,1,FALSE),VLOOKUP(F802,'Raw Platform Nov 4-6 2025'!D:D,1,FALSE)),IFNA(VLOOKUP(F802,'Glovo Raw Nov 4-6 2025'!B:B,1,FALSE),"Not Matched"))))))</f>
      </c>
      <c r="H802">
        <f>COUNTIF(F:F,F802)</f>
      </c>
      <c r="I802" t="s">
        <v>8777</v>
      </c>
      <c r="J802" t="s">
        <v>4915</v>
      </c>
      <c r="K802" t="s">
        <v>4927</v>
      </c>
      <c r="L802" t="s">
        <v>8778</v>
      </c>
      <c r="M802" t="s">
        <v>8779</v>
      </c>
      <c r="N802" t="s">
        <v>8780</v>
      </c>
      <c r="O802" t="s">
        <v>2009</v>
      </c>
      <c r="P802" t="s">
        <v>4943</v>
      </c>
      <c r="Q802">
        <v>0</v>
      </c>
      <c r="R802" t="s">
        <v>5118</v>
      </c>
      <c r="S802" t="s">
        <v>12</v>
      </c>
      <c r="T802" t="s">
        <v>4923</v>
      </c>
      <c r="U802" t="s">
        <v>4924</v>
      </c>
      <c r="V802" t="s">
        <v>8781</v>
      </c>
      <c r="W802" t="s">
        <v>3667</v>
      </c>
      <c r="X802">
        <v>106.9</v>
      </c>
    </row>
    <row r="803" spans="1:24" x14ac:dyDescent="0.25">
      <c r="A803" t="s">
        <v>6063</v>
      </c>
      <c r="B803" t="s">
        <v>8681</v>
      </c>
      <c r="C803" t="s">
        <v>8682</v>
      </c>
      <c r="D803" t="s">
        <v>19</v>
      </c>
      <c r="E803" t="s">
        <v>4913</v>
      </c>
      <c r="F803" t="s">
        <v>8782</v>
      </c>
      <c r="G803">
        <f>IF(K803="Pick-up","PICKUPS",IF(K803="Staff drop-off","STAFF_DROPOFF",IF(K803="Replacements","REPLACEMENT",IF(K803="Central Stores Dispatch","CENTRAL STORES DISPATCH",IFNA(IFNA(VLOOKUP(F803,'Raw Platform Nov 4-6 2025'!C:C,1,FALSE),VLOOKUP(F803,'Raw Platform Nov 4-6 2025'!D:D,1,FALSE)),IFNA(VLOOKUP(F803,'Glovo Raw Nov 4-6 2025'!B:B,1,FALSE),"Not Matched"))))))</f>
      </c>
      <c r="H803">
        <f>COUNTIF(F:F,F803)</f>
      </c>
      <c r="I803" t="s">
        <v>8783</v>
      </c>
      <c r="J803" t="s">
        <v>5289</v>
      </c>
      <c r="K803" t="s">
        <v>4927</v>
      </c>
      <c r="L803" t="s">
        <v>7729</v>
      </c>
      <c r="M803" t="s">
        <v>6120</v>
      </c>
      <c r="N803" t="s">
        <v>5292</v>
      </c>
      <c r="O803" t="s">
        <v>113</v>
      </c>
      <c r="P803" t="s">
        <v>7024</v>
      </c>
      <c r="Q803">
        <v>0</v>
      </c>
      <c r="R803" t="s">
        <v>5118</v>
      </c>
      <c r="S803" t="s">
        <v>5293</v>
      </c>
      <c r="T803" t="s">
        <v>4923</v>
      </c>
      <c r="U803" t="s">
        <v>4924</v>
      </c>
      <c r="V803" t="s">
        <v>8784</v>
      </c>
      <c r="W803" t="s">
        <v>3667</v>
      </c>
      <c r="X803">
        <v>185.1</v>
      </c>
    </row>
    <row r="804" spans="1:24" x14ac:dyDescent="0.25">
      <c r="A804" t="s">
        <v>5176</v>
      </c>
      <c r="B804" t="s">
        <v>8785</v>
      </c>
      <c r="C804" t="s">
        <v>8786</v>
      </c>
      <c r="D804" t="s">
        <v>30</v>
      </c>
      <c r="E804" t="s">
        <v>4913</v>
      </c>
      <c r="F804" t="s">
        <v>1329</v>
      </c>
      <c r="G804">
        <f>IF(K804="Pick-up","PICKUPS",IF(K804="Staff drop-off","STAFF_DROPOFF",IF(K804="Replacements","REPLACEMENT",IF(K804="Central Stores Dispatch","CENTRAL STORES DISPATCH",IFNA(IFNA(VLOOKUP(F804,'Raw Platform Nov 4-6 2025'!C:C,1,FALSE),VLOOKUP(F804,'Raw Platform Nov 4-6 2025'!D:D,1,FALSE)),IFNA(VLOOKUP(F804,'Glovo Raw Nov 4-6 2025'!B:B,1,FALSE),"Not Matched"))))))</f>
      </c>
      <c r="H804">
        <f>COUNTIF(F:F,F804)</f>
      </c>
      <c r="I804" t="s">
        <v>8787</v>
      </c>
      <c r="J804" t="s">
        <v>4915</v>
      </c>
      <c r="K804" t="s">
        <v>4927</v>
      </c>
      <c r="L804" t="s">
        <v>8788</v>
      </c>
      <c r="M804" t="s">
        <v>8789</v>
      </c>
      <c r="N804" t="s">
        <v>7359</v>
      </c>
      <c r="O804" t="s">
        <v>4990</v>
      </c>
      <c r="P804" t="s">
        <v>4937</v>
      </c>
      <c r="Q804">
        <v>0</v>
      </c>
      <c r="R804" t="s">
        <v>5118</v>
      </c>
      <c r="S804" t="s">
        <v>12</v>
      </c>
      <c r="T804" t="s">
        <v>4923</v>
      </c>
      <c r="U804" t="s">
        <v>4924</v>
      </c>
      <c r="V804" t="s">
        <v>8790</v>
      </c>
      <c r="W804" t="s">
        <v>3667</v>
      </c>
      <c r="X804">
        <v>100</v>
      </c>
    </row>
    <row r="805" spans="1:24" x14ac:dyDescent="0.25">
      <c r="A805" t="s">
        <v>5176</v>
      </c>
      <c r="B805" t="s">
        <v>8785</v>
      </c>
      <c r="C805" t="s">
        <v>8786</v>
      </c>
      <c r="D805" t="s">
        <v>191</v>
      </c>
      <c r="E805" t="s">
        <v>4913</v>
      </c>
      <c r="F805" t="s">
        <v>524</v>
      </c>
      <c r="G805">
        <f>IF(K805="Pick-up","PICKUPS",IF(K805="Staff drop-off","STAFF_DROPOFF",IF(K805="Replacements","REPLACEMENT",IF(K805="Central Stores Dispatch","CENTRAL STORES DISPATCH",IFNA(IFNA(VLOOKUP(F805,'Raw Platform Nov 4-6 2025'!C:C,1,FALSE),VLOOKUP(F805,'Raw Platform Nov 4-6 2025'!D:D,1,FALSE)),IFNA(VLOOKUP(F805,'Glovo Raw Nov 4-6 2025'!B:B,1,FALSE),"Not Matched"))))))</f>
      </c>
      <c r="H805">
        <f>COUNTIF(F:F,F805)</f>
      </c>
      <c r="I805" t="s">
        <v>8791</v>
      </c>
      <c r="J805" t="s">
        <v>4915</v>
      </c>
      <c r="K805" t="s">
        <v>4927</v>
      </c>
      <c r="L805" t="s">
        <v>8792</v>
      </c>
      <c r="M805" t="s">
        <v>8793</v>
      </c>
      <c r="N805" t="s">
        <v>6034</v>
      </c>
      <c r="O805" t="s">
        <v>53</v>
      </c>
      <c r="P805" t="s">
        <v>5019</v>
      </c>
      <c r="Q805">
        <v>0</v>
      </c>
      <c r="R805" t="s">
        <v>5118</v>
      </c>
      <c r="S805" t="s">
        <v>5184</v>
      </c>
      <c r="T805" t="s">
        <v>4923</v>
      </c>
      <c r="U805" t="s">
        <v>4924</v>
      </c>
      <c r="V805" t="s">
        <v>8794</v>
      </c>
      <c r="W805" t="s">
        <v>3667</v>
      </c>
      <c r="X805">
        <v>100</v>
      </c>
    </row>
    <row r="806" spans="1:24" x14ac:dyDescent="0.25">
      <c r="A806" t="s">
        <v>5176</v>
      </c>
      <c r="B806" t="s">
        <v>8785</v>
      </c>
      <c r="C806" t="s">
        <v>8786</v>
      </c>
      <c r="D806" t="s">
        <v>30</v>
      </c>
      <c r="E806" t="s">
        <v>4913</v>
      </c>
      <c r="F806" t="s">
        <v>1033</v>
      </c>
      <c r="G806">
        <f>IF(K806="Pick-up","PICKUPS",IF(K806="Staff drop-off","STAFF_DROPOFF",IF(K806="Replacements","REPLACEMENT",IF(K806="Central Stores Dispatch","CENTRAL STORES DISPATCH",IFNA(IFNA(VLOOKUP(F806,'Raw Platform Nov 4-6 2025'!C:C,1,FALSE),VLOOKUP(F806,'Raw Platform Nov 4-6 2025'!D:D,1,FALSE)),IFNA(VLOOKUP(F806,'Glovo Raw Nov 4-6 2025'!B:B,1,FALSE),"Not Matched"))))))</f>
      </c>
      <c r="H806">
        <f>COUNTIF(F:F,F806)</f>
      </c>
      <c r="I806" t="s">
        <v>8795</v>
      </c>
      <c r="J806" t="s">
        <v>4915</v>
      </c>
      <c r="K806" t="s">
        <v>4927</v>
      </c>
      <c r="L806" t="s">
        <v>8796</v>
      </c>
      <c r="M806" t="s">
        <v>8797</v>
      </c>
      <c r="N806" t="s">
        <v>5768</v>
      </c>
      <c r="O806" t="s">
        <v>53</v>
      </c>
      <c r="P806" t="s">
        <v>6235</v>
      </c>
      <c r="Q806">
        <v>0</v>
      </c>
      <c r="R806" t="s">
        <v>5118</v>
      </c>
      <c r="S806" t="s">
        <v>45</v>
      </c>
      <c r="T806" t="s">
        <v>4923</v>
      </c>
      <c r="U806" t="s">
        <v>4924</v>
      </c>
      <c r="V806" t="s">
        <v>8798</v>
      </c>
      <c r="W806" t="s">
        <v>3667</v>
      </c>
      <c r="X806">
        <v>104.6</v>
      </c>
    </row>
    <row r="807" spans="1:24" x14ac:dyDescent="0.25">
      <c r="A807" t="s">
        <v>5176</v>
      </c>
      <c r="B807" t="s">
        <v>8785</v>
      </c>
      <c r="C807" t="s">
        <v>8786</v>
      </c>
      <c r="D807" t="s">
        <v>191</v>
      </c>
      <c r="E807" t="s">
        <v>4913</v>
      </c>
      <c r="F807" t="s">
        <v>686</v>
      </c>
      <c r="G807">
        <f>IF(K807="Pick-up","PICKUPS",IF(K807="Staff drop-off","STAFF_DROPOFF",IF(K807="Replacements","REPLACEMENT",IF(K807="Central Stores Dispatch","CENTRAL STORES DISPATCH",IFNA(IFNA(VLOOKUP(F807,'Raw Platform Nov 4-6 2025'!C:C,1,FALSE),VLOOKUP(F807,'Raw Platform Nov 4-6 2025'!D:D,1,FALSE)),IFNA(VLOOKUP(F807,'Glovo Raw Nov 4-6 2025'!B:B,1,FALSE),"Not Matched"))))))</f>
      </c>
      <c r="H807">
        <f>COUNTIF(F:F,F807)</f>
      </c>
      <c r="I807" t="s">
        <v>8799</v>
      </c>
      <c r="J807" t="s">
        <v>4915</v>
      </c>
      <c r="K807" t="s">
        <v>4916</v>
      </c>
      <c r="L807" t="s">
        <v>6923</v>
      </c>
      <c r="M807" t="s">
        <v>8800</v>
      </c>
      <c r="N807" t="s">
        <v>8801</v>
      </c>
      <c r="O807" t="s">
        <v>26</v>
      </c>
      <c r="P807" t="s">
        <v>5164</v>
      </c>
      <c r="Q807">
        <v>3263</v>
      </c>
      <c r="R807" t="s">
        <v>5118</v>
      </c>
      <c r="S807" t="s">
        <v>5184</v>
      </c>
      <c r="T807" t="s">
        <v>4923</v>
      </c>
      <c r="U807" t="s">
        <v>4924</v>
      </c>
      <c r="V807" t="s">
        <v>8802</v>
      </c>
      <c r="W807" t="s">
        <v>3667</v>
      </c>
      <c r="X807">
        <v>146</v>
      </c>
    </row>
    <row r="808" spans="1:24" x14ac:dyDescent="0.25">
      <c r="A808" t="s">
        <v>5176</v>
      </c>
      <c r="B808" t="s">
        <v>8785</v>
      </c>
      <c r="C808" t="s">
        <v>8786</v>
      </c>
      <c r="D808" t="s">
        <v>191</v>
      </c>
      <c r="E808" t="s">
        <v>4913</v>
      </c>
      <c r="F808" t="s">
        <v>1356</v>
      </c>
      <c r="G808">
        <f>IF(K808="Pick-up","PICKUPS",IF(K808="Staff drop-off","STAFF_DROPOFF",IF(K808="Replacements","REPLACEMENT",IF(K808="Central Stores Dispatch","CENTRAL STORES DISPATCH",IFNA(IFNA(VLOOKUP(F808,'Raw Platform Nov 4-6 2025'!C:C,1,FALSE),VLOOKUP(F808,'Raw Platform Nov 4-6 2025'!D:D,1,FALSE)),IFNA(VLOOKUP(F808,'Glovo Raw Nov 4-6 2025'!B:B,1,FALSE),"Not Matched"))))))</f>
      </c>
      <c r="H808">
        <f>COUNTIF(F:F,F808)</f>
      </c>
      <c r="I808" t="s">
        <v>8803</v>
      </c>
      <c r="J808" t="s">
        <v>4915</v>
      </c>
      <c r="K808" t="s">
        <v>4927</v>
      </c>
      <c r="L808" t="s">
        <v>8804</v>
      </c>
      <c r="M808" t="s">
        <v>8805</v>
      </c>
      <c r="N808" t="s">
        <v>8806</v>
      </c>
      <c r="O808" t="s">
        <v>9</v>
      </c>
      <c r="P808" t="s">
        <v>7024</v>
      </c>
      <c r="Q808">
        <v>0</v>
      </c>
      <c r="R808" t="s">
        <v>5118</v>
      </c>
      <c r="S808" t="s">
        <v>5184</v>
      </c>
      <c r="T808" t="s">
        <v>4923</v>
      </c>
      <c r="U808" t="s">
        <v>4924</v>
      </c>
      <c r="V808" t="s">
        <v>8807</v>
      </c>
      <c r="W808" t="s">
        <v>3667</v>
      </c>
      <c r="X808">
        <v>185.1</v>
      </c>
    </row>
    <row r="809" spans="1:24" x14ac:dyDescent="0.25">
      <c r="A809" t="s">
        <v>5176</v>
      </c>
      <c r="B809" t="s">
        <v>8785</v>
      </c>
      <c r="C809" t="s">
        <v>8786</v>
      </c>
      <c r="D809" t="s">
        <v>3667</v>
      </c>
      <c r="E809" t="s">
        <v>4913</v>
      </c>
      <c r="F809" t="s">
        <v>527</v>
      </c>
      <c r="G809">
        <f>IF(K809="Pick-up","PICKUPS",IF(K809="Staff drop-off","STAFF_DROPOFF",IF(K809="Replacements","REPLACEMENT",IF(K809="Central Stores Dispatch","CENTRAL STORES DISPATCH",IFNA(IFNA(VLOOKUP(F809,'Raw Platform Nov 4-6 2025'!C:C,1,FALSE),VLOOKUP(F809,'Raw Platform Nov 4-6 2025'!D:D,1,FALSE)),IFNA(VLOOKUP(F809,'Glovo Raw Nov 4-6 2025'!B:B,1,FALSE),"Not Matched"))))))</f>
      </c>
      <c r="H809">
        <f>COUNTIF(F:F,F809)</f>
      </c>
      <c r="I809" t="s">
        <v>8808</v>
      </c>
      <c r="J809" t="s">
        <v>4915</v>
      </c>
      <c r="K809" t="s">
        <v>4927</v>
      </c>
      <c r="L809" t="s">
        <v>8809</v>
      </c>
      <c r="M809" t="s">
        <v>5808</v>
      </c>
      <c r="N809" t="s">
        <v>5809</v>
      </c>
      <c r="O809" t="s">
        <v>4920</v>
      </c>
      <c r="P809" t="s">
        <v>5810</v>
      </c>
      <c r="Q809">
        <v>0</v>
      </c>
      <c r="R809" t="s">
        <v>5118</v>
      </c>
      <c r="S809" t="s">
        <v>3667</v>
      </c>
      <c r="T809" t="s">
        <v>4923</v>
      </c>
      <c r="U809" t="s">
        <v>4924</v>
      </c>
      <c r="V809" t="s">
        <v>6551</v>
      </c>
      <c r="W809" t="s">
        <v>3667</v>
      </c>
      <c r="X809">
        <v>100</v>
      </c>
    </row>
    <row r="810" spans="1:24" x14ac:dyDescent="0.25">
      <c r="A810" t="s">
        <v>5176</v>
      </c>
      <c r="B810" t="s">
        <v>8785</v>
      </c>
      <c r="C810" t="s">
        <v>8786</v>
      </c>
      <c r="D810" t="s">
        <v>191</v>
      </c>
      <c r="E810" t="s">
        <v>4913</v>
      </c>
      <c r="F810" t="s">
        <v>834</v>
      </c>
      <c r="G810">
        <f>IF(K810="Pick-up","PICKUPS",IF(K810="Staff drop-off","STAFF_DROPOFF",IF(K810="Replacements","REPLACEMENT",IF(K810="Central Stores Dispatch","CENTRAL STORES DISPATCH",IFNA(IFNA(VLOOKUP(F810,'Raw Platform Nov 4-6 2025'!C:C,1,FALSE),VLOOKUP(F810,'Raw Platform Nov 4-6 2025'!D:D,1,FALSE)),IFNA(VLOOKUP(F810,'Glovo Raw Nov 4-6 2025'!B:B,1,FALSE),"Not Matched"))))))</f>
      </c>
      <c r="H810">
        <f>COUNTIF(F:F,F810)</f>
      </c>
      <c r="I810" t="s">
        <v>8810</v>
      </c>
      <c r="J810" t="s">
        <v>4915</v>
      </c>
      <c r="K810" t="s">
        <v>4927</v>
      </c>
      <c r="L810" t="s">
        <v>8811</v>
      </c>
      <c r="M810" t="s">
        <v>8812</v>
      </c>
      <c r="N810" t="s">
        <v>8813</v>
      </c>
      <c r="O810" t="s">
        <v>77</v>
      </c>
      <c r="P810" t="s">
        <v>4974</v>
      </c>
      <c r="Q810">
        <v>0</v>
      </c>
      <c r="R810" t="s">
        <v>5118</v>
      </c>
      <c r="S810" t="s">
        <v>6166</v>
      </c>
      <c r="T810" t="s">
        <v>4923</v>
      </c>
      <c r="U810" t="s">
        <v>4924</v>
      </c>
      <c r="V810" t="s">
        <v>8814</v>
      </c>
      <c r="W810" t="s">
        <v>3667</v>
      </c>
      <c r="X810">
        <v>178.2</v>
      </c>
    </row>
    <row r="811" spans="1:24" x14ac:dyDescent="0.25">
      <c r="A811" t="s">
        <v>8815</v>
      </c>
      <c r="B811" t="s">
        <v>8785</v>
      </c>
      <c r="C811" t="s">
        <v>8786</v>
      </c>
      <c r="D811" t="s">
        <v>191</v>
      </c>
      <c r="E811" t="s">
        <v>4913</v>
      </c>
      <c r="F811" t="s">
        <v>1267</v>
      </c>
      <c r="G811">
        <f>IF(K811="Pick-up","PICKUPS",IF(K811="Staff drop-off","STAFF_DROPOFF",IF(K811="Replacements","REPLACEMENT",IF(K811="Central Stores Dispatch","CENTRAL STORES DISPATCH",IFNA(IFNA(VLOOKUP(F811,'Raw Platform Nov 4-6 2025'!C:C,1,FALSE),VLOOKUP(F811,'Raw Platform Nov 4-6 2025'!D:D,1,FALSE)),IFNA(VLOOKUP(F811,'Glovo Raw Nov 4-6 2025'!B:B,1,FALSE),"Not Matched"))))))</f>
      </c>
      <c r="H811">
        <f>COUNTIF(F:F,F811)</f>
      </c>
      <c r="I811" t="s">
        <v>8816</v>
      </c>
      <c r="J811" t="s">
        <v>4915</v>
      </c>
      <c r="K811" t="s">
        <v>4916</v>
      </c>
      <c r="L811" t="s">
        <v>8817</v>
      </c>
      <c r="M811" t="s">
        <v>5234</v>
      </c>
      <c r="N811" t="s">
        <v>8818</v>
      </c>
      <c r="O811" t="s">
        <v>4956</v>
      </c>
      <c r="P811" t="s">
        <v>5613</v>
      </c>
      <c r="Q811">
        <v>1977</v>
      </c>
      <c r="R811" t="s">
        <v>5118</v>
      </c>
      <c r="S811" t="s">
        <v>1409</v>
      </c>
      <c r="T811" t="s">
        <v>4923</v>
      </c>
      <c r="U811" t="s">
        <v>4924</v>
      </c>
      <c r="V811" t="s">
        <v>8819</v>
      </c>
      <c r="W811" t="s">
        <v>3667</v>
      </c>
      <c r="X811">
        <v>100</v>
      </c>
    </row>
    <row r="812" spans="1:24" x14ac:dyDescent="0.25">
      <c r="A812" t="s">
        <v>5176</v>
      </c>
      <c r="B812" t="s">
        <v>8785</v>
      </c>
      <c r="C812" t="s">
        <v>8786</v>
      </c>
      <c r="D812" t="s">
        <v>30</v>
      </c>
      <c r="E812" t="s">
        <v>4913</v>
      </c>
      <c r="F812" t="s">
        <v>1296</v>
      </c>
      <c r="G812">
        <f>IF(K812="Pick-up","PICKUPS",IF(K812="Staff drop-off","STAFF_DROPOFF",IF(K812="Replacements","REPLACEMENT",IF(K812="Central Stores Dispatch","CENTRAL STORES DISPATCH",IFNA(IFNA(VLOOKUP(F812,'Raw Platform Nov 4-6 2025'!C:C,1,FALSE),VLOOKUP(F812,'Raw Platform Nov 4-6 2025'!D:D,1,FALSE)),IFNA(VLOOKUP(F812,'Glovo Raw Nov 4-6 2025'!B:B,1,FALSE),"Not Matched"))))))</f>
      </c>
      <c r="H812">
        <f>COUNTIF(F:F,F812)</f>
      </c>
      <c r="I812" t="s">
        <v>8820</v>
      </c>
      <c r="J812" t="s">
        <v>4915</v>
      </c>
      <c r="K812" t="s">
        <v>4927</v>
      </c>
      <c r="L812" t="s">
        <v>8821</v>
      </c>
      <c r="M812" t="s">
        <v>8822</v>
      </c>
      <c r="N812" t="s">
        <v>5174</v>
      </c>
      <c r="O812" t="s">
        <v>77</v>
      </c>
      <c r="P812" t="s">
        <v>6829</v>
      </c>
      <c r="Q812">
        <v>0</v>
      </c>
      <c r="R812" t="s">
        <v>5118</v>
      </c>
      <c r="S812" t="s">
        <v>29</v>
      </c>
      <c r="T812" t="s">
        <v>4923</v>
      </c>
      <c r="U812" t="s">
        <v>4924</v>
      </c>
      <c r="V812" t="s">
        <v>8823</v>
      </c>
      <c r="W812" t="s">
        <v>3667</v>
      </c>
      <c r="X812">
        <v>171.3</v>
      </c>
    </row>
    <row r="813" spans="1:24" x14ac:dyDescent="0.25">
      <c r="A813" t="s">
        <v>8815</v>
      </c>
      <c r="B813" t="s">
        <v>8785</v>
      </c>
      <c r="C813" t="s">
        <v>8786</v>
      </c>
      <c r="D813" t="s">
        <v>191</v>
      </c>
      <c r="E813" t="s">
        <v>4913</v>
      </c>
      <c r="F813" t="s">
        <v>983</v>
      </c>
      <c r="G813">
        <f>IF(K813="Pick-up","PICKUPS",IF(K813="Staff drop-off","STAFF_DROPOFF",IF(K813="Replacements","REPLACEMENT",IF(K813="Central Stores Dispatch","CENTRAL STORES DISPATCH",IFNA(IFNA(VLOOKUP(F813,'Raw Platform Nov 4-6 2025'!C:C,1,FALSE),VLOOKUP(F813,'Raw Platform Nov 4-6 2025'!D:D,1,FALSE)),IFNA(VLOOKUP(F813,'Glovo Raw Nov 4-6 2025'!B:B,1,FALSE),"Not Matched"))))))</f>
      </c>
      <c r="H813">
        <f>COUNTIF(F:F,F813)</f>
      </c>
      <c r="I813" t="s">
        <v>8824</v>
      </c>
      <c r="J813" t="s">
        <v>4915</v>
      </c>
      <c r="K813" t="s">
        <v>4927</v>
      </c>
      <c r="L813" t="s">
        <v>8825</v>
      </c>
      <c r="M813" t="s">
        <v>5234</v>
      </c>
      <c r="N813" t="s">
        <v>7359</v>
      </c>
      <c r="O813" t="s">
        <v>4949</v>
      </c>
      <c r="P813" t="s">
        <v>6558</v>
      </c>
      <c r="Q813">
        <v>0</v>
      </c>
      <c r="R813" t="s">
        <v>5118</v>
      </c>
      <c r="S813" t="s">
        <v>1409</v>
      </c>
      <c r="T813" t="s">
        <v>4923</v>
      </c>
      <c r="U813" t="s">
        <v>4924</v>
      </c>
      <c r="V813" t="s">
        <v>8826</v>
      </c>
      <c r="W813" t="s">
        <v>3667</v>
      </c>
      <c r="X813">
        <v>100</v>
      </c>
    </row>
    <row r="814" spans="1:24" x14ac:dyDescent="0.25">
      <c r="A814" t="s">
        <v>5176</v>
      </c>
      <c r="B814" t="s">
        <v>8785</v>
      </c>
      <c r="C814" t="s">
        <v>8786</v>
      </c>
      <c r="D814" t="s">
        <v>30</v>
      </c>
      <c r="E814" t="s">
        <v>4913</v>
      </c>
      <c r="F814" t="s">
        <v>774</v>
      </c>
      <c r="G814">
        <f>IF(K814="Pick-up","PICKUPS",IF(K814="Staff drop-off","STAFF_DROPOFF",IF(K814="Replacements","REPLACEMENT",IF(K814="Central Stores Dispatch","CENTRAL STORES DISPATCH",IFNA(IFNA(VLOOKUP(F814,'Raw Platform Nov 4-6 2025'!C:C,1,FALSE),VLOOKUP(F814,'Raw Platform Nov 4-6 2025'!D:D,1,FALSE)),IFNA(VLOOKUP(F814,'Glovo Raw Nov 4-6 2025'!B:B,1,FALSE),"Not Matched"))))))</f>
      </c>
      <c r="H814">
        <f>COUNTIF(F:F,F814)</f>
      </c>
      <c r="I814" t="s">
        <v>8827</v>
      </c>
      <c r="J814" t="s">
        <v>4915</v>
      </c>
      <c r="K814" t="s">
        <v>4916</v>
      </c>
      <c r="L814" t="s">
        <v>8828</v>
      </c>
      <c r="M814" t="s">
        <v>8829</v>
      </c>
      <c r="N814" t="s">
        <v>7895</v>
      </c>
      <c r="O814" t="s">
        <v>4956</v>
      </c>
      <c r="P814" t="s">
        <v>5013</v>
      </c>
      <c r="Q814">
        <v>1478</v>
      </c>
      <c r="R814" t="s">
        <v>5118</v>
      </c>
      <c r="S814" t="s">
        <v>29</v>
      </c>
      <c r="T814" t="s">
        <v>4923</v>
      </c>
      <c r="U814" t="s">
        <v>4924</v>
      </c>
      <c r="V814" t="s">
        <v>8830</v>
      </c>
      <c r="W814" t="s">
        <v>3667</v>
      </c>
      <c r="X814">
        <v>100</v>
      </c>
    </row>
    <row r="815" spans="1:24" x14ac:dyDescent="0.25">
      <c r="A815" t="s">
        <v>5176</v>
      </c>
      <c r="B815" t="s">
        <v>8785</v>
      </c>
      <c r="C815" t="s">
        <v>8786</v>
      </c>
      <c r="D815" t="s">
        <v>30</v>
      </c>
      <c r="E815" t="s">
        <v>4913</v>
      </c>
      <c r="F815" t="s">
        <v>2122</v>
      </c>
      <c r="G815">
        <f>IF(K815="Pick-up","PICKUPS",IF(K815="Staff drop-off","STAFF_DROPOFF",IF(K815="Replacements","REPLACEMENT",IF(K815="Central Stores Dispatch","CENTRAL STORES DISPATCH",IFNA(IFNA(VLOOKUP(F815,'Raw Platform Nov 4-6 2025'!C:C,1,FALSE),VLOOKUP(F815,'Raw Platform Nov 4-6 2025'!D:D,1,FALSE)),IFNA(VLOOKUP(F815,'Glovo Raw Nov 4-6 2025'!B:B,1,FALSE),"Not Matched"))))))</f>
      </c>
      <c r="H815">
        <f>COUNTIF(F:F,F815)</f>
      </c>
      <c r="I815" t="s">
        <v>8831</v>
      </c>
      <c r="J815" t="s">
        <v>4915</v>
      </c>
      <c r="K815" t="s">
        <v>4927</v>
      </c>
      <c r="L815" t="s">
        <v>6780</v>
      </c>
      <c r="M815" t="s">
        <v>6781</v>
      </c>
      <c r="N815" t="s">
        <v>6782</v>
      </c>
      <c r="O815" t="s">
        <v>100</v>
      </c>
      <c r="P815" t="s">
        <v>5032</v>
      </c>
      <c r="Q815">
        <v>0</v>
      </c>
      <c r="R815" t="s">
        <v>5118</v>
      </c>
      <c r="S815" t="s">
        <v>12</v>
      </c>
      <c r="T815" t="s">
        <v>4923</v>
      </c>
      <c r="U815" t="s">
        <v>4924</v>
      </c>
      <c r="V815" t="s">
        <v>8832</v>
      </c>
      <c r="W815" t="s">
        <v>3667</v>
      </c>
      <c r="X815">
        <v>159.8</v>
      </c>
    </row>
    <row r="816" spans="1:24" x14ac:dyDescent="0.25">
      <c r="A816" t="s">
        <v>5176</v>
      </c>
      <c r="B816" t="s">
        <v>8785</v>
      </c>
      <c r="C816" t="s">
        <v>8786</v>
      </c>
      <c r="D816" t="s">
        <v>30</v>
      </c>
      <c r="E816" t="s">
        <v>4913</v>
      </c>
      <c r="F816" t="s">
        <v>2302</v>
      </c>
      <c r="G816">
        <f>IF(K816="Pick-up","PICKUPS",IF(K816="Staff drop-off","STAFF_DROPOFF",IF(K816="Replacements","REPLACEMENT",IF(K816="Central Stores Dispatch","CENTRAL STORES DISPATCH",IFNA(IFNA(VLOOKUP(F816,'Raw Platform Nov 4-6 2025'!C:C,1,FALSE),VLOOKUP(F816,'Raw Platform Nov 4-6 2025'!D:D,1,FALSE)),IFNA(VLOOKUP(F816,'Glovo Raw Nov 4-6 2025'!B:B,1,FALSE),"Not Matched"))))))</f>
      </c>
      <c r="H816">
        <f>COUNTIF(F:F,F816)</f>
      </c>
      <c r="I816" t="s">
        <v>8833</v>
      </c>
      <c r="J816" t="s">
        <v>63</v>
      </c>
      <c r="K816" t="s">
        <v>4916</v>
      </c>
      <c r="L816" t="s">
        <v>8834</v>
      </c>
      <c r="M816" t="s">
        <v>8835</v>
      </c>
      <c r="N816" t="s">
        <v>8836</v>
      </c>
      <c r="O816" t="s">
        <v>123</v>
      </c>
      <c r="P816" t="s">
        <v>5128</v>
      </c>
      <c r="Q816">
        <v>1531</v>
      </c>
      <c r="R816" t="s">
        <v>5118</v>
      </c>
      <c r="S816" t="s">
        <v>172</v>
      </c>
      <c r="T816" t="s">
        <v>4923</v>
      </c>
      <c r="U816" t="s">
        <v>4924</v>
      </c>
      <c r="V816" t="s">
        <v>8837</v>
      </c>
      <c r="W816" t="s">
        <v>3667</v>
      </c>
      <c r="X816">
        <v>116.1</v>
      </c>
    </row>
    <row r="817" spans="1:24" x14ac:dyDescent="0.25">
      <c r="A817" t="s">
        <v>5176</v>
      </c>
      <c r="B817" t="s">
        <v>8785</v>
      </c>
      <c r="C817" t="s">
        <v>8786</v>
      </c>
      <c r="D817" t="s">
        <v>30</v>
      </c>
      <c r="E817" t="s">
        <v>4913</v>
      </c>
      <c r="F817" t="s">
        <v>1705</v>
      </c>
      <c r="G817">
        <f>IF(K817="Pick-up","PICKUPS",IF(K817="Staff drop-off","STAFF_DROPOFF",IF(K817="Replacements","REPLACEMENT",IF(K817="Central Stores Dispatch","CENTRAL STORES DISPATCH",IFNA(IFNA(VLOOKUP(F817,'Raw Platform Nov 4-6 2025'!C:C,1,FALSE),VLOOKUP(F817,'Raw Platform Nov 4-6 2025'!D:D,1,FALSE)),IFNA(VLOOKUP(F817,'Glovo Raw Nov 4-6 2025'!B:B,1,FALSE),"Not Matched"))))))</f>
      </c>
      <c r="H817">
        <f>COUNTIF(F:F,F817)</f>
      </c>
      <c r="I817" t="s">
        <v>8838</v>
      </c>
      <c r="J817" t="s">
        <v>4915</v>
      </c>
      <c r="K817" t="s">
        <v>4927</v>
      </c>
      <c r="L817" t="s">
        <v>8839</v>
      </c>
      <c r="M817" t="s">
        <v>8840</v>
      </c>
      <c r="N817" t="s">
        <v>7359</v>
      </c>
      <c r="O817" t="s">
        <v>4990</v>
      </c>
      <c r="P817" t="s">
        <v>4937</v>
      </c>
      <c r="Q817">
        <v>0</v>
      </c>
      <c r="R817" t="s">
        <v>5118</v>
      </c>
      <c r="S817" t="s">
        <v>29</v>
      </c>
      <c r="T817" t="s">
        <v>4923</v>
      </c>
      <c r="U817" t="s">
        <v>4924</v>
      </c>
      <c r="V817" t="s">
        <v>8841</v>
      </c>
      <c r="W817" t="s">
        <v>3667</v>
      </c>
      <c r="X817">
        <v>100</v>
      </c>
    </row>
    <row r="818" spans="1:24" x14ac:dyDescent="0.25">
      <c r="A818" t="s">
        <v>5176</v>
      </c>
      <c r="B818" t="s">
        <v>8785</v>
      </c>
      <c r="C818" t="s">
        <v>8786</v>
      </c>
      <c r="D818" t="s">
        <v>30</v>
      </c>
      <c r="E818" t="s">
        <v>4913</v>
      </c>
      <c r="F818" t="s">
        <v>2061</v>
      </c>
      <c r="G818">
        <f>IF(K818="Pick-up","PICKUPS",IF(K818="Staff drop-off","STAFF_DROPOFF",IF(K818="Replacements","REPLACEMENT",IF(K818="Central Stores Dispatch","CENTRAL STORES DISPATCH",IFNA(IFNA(VLOOKUP(F818,'Raw Platform Nov 4-6 2025'!C:C,1,FALSE),VLOOKUP(F818,'Raw Platform Nov 4-6 2025'!D:D,1,FALSE)),IFNA(VLOOKUP(F818,'Glovo Raw Nov 4-6 2025'!B:B,1,FALSE),"Not Matched"))))))</f>
      </c>
      <c r="H818">
        <f>COUNTIF(F:F,F818)</f>
      </c>
      <c r="I818" t="s">
        <v>8842</v>
      </c>
      <c r="J818" t="s">
        <v>4915</v>
      </c>
      <c r="K818" t="s">
        <v>4927</v>
      </c>
      <c r="L818" t="s">
        <v>8843</v>
      </c>
      <c r="M818" t="s">
        <v>8844</v>
      </c>
      <c r="N818" t="s">
        <v>8845</v>
      </c>
      <c r="O818" t="s">
        <v>4962</v>
      </c>
      <c r="P818" t="s">
        <v>5097</v>
      </c>
      <c r="Q818">
        <v>0</v>
      </c>
      <c r="R818" t="s">
        <v>5118</v>
      </c>
      <c r="S818" t="s">
        <v>45</v>
      </c>
      <c r="T818" t="s">
        <v>4923</v>
      </c>
      <c r="U818" t="s">
        <v>4924</v>
      </c>
      <c r="V818" t="s">
        <v>8846</v>
      </c>
      <c r="W818" t="s">
        <v>3667</v>
      </c>
      <c r="X818">
        <v>100</v>
      </c>
    </row>
    <row r="819" spans="1:24" x14ac:dyDescent="0.25">
      <c r="A819" t="s">
        <v>5176</v>
      </c>
      <c r="B819" t="s">
        <v>8785</v>
      </c>
      <c r="C819" t="s">
        <v>8786</v>
      </c>
      <c r="D819" t="s">
        <v>30</v>
      </c>
      <c r="E819" t="s">
        <v>4913</v>
      </c>
      <c r="F819" t="s">
        <v>1921</v>
      </c>
      <c r="G819">
        <f>IF(K819="Pick-up","PICKUPS",IF(K819="Staff drop-off","STAFF_DROPOFF",IF(K819="Replacements","REPLACEMENT",IF(K819="Central Stores Dispatch","CENTRAL STORES DISPATCH",IFNA(IFNA(VLOOKUP(F819,'Raw Platform Nov 4-6 2025'!C:C,1,FALSE),VLOOKUP(F819,'Raw Platform Nov 4-6 2025'!D:D,1,FALSE)),IFNA(VLOOKUP(F819,'Glovo Raw Nov 4-6 2025'!B:B,1,FALSE),"Not Matched"))))))</f>
      </c>
      <c r="H819">
        <f>COUNTIF(F:F,F819)</f>
      </c>
      <c r="I819" t="s">
        <v>8847</v>
      </c>
      <c r="J819" t="s">
        <v>4915</v>
      </c>
      <c r="K819" t="s">
        <v>4927</v>
      </c>
      <c r="L819" t="s">
        <v>8848</v>
      </c>
      <c r="M819" t="s">
        <v>5258</v>
      </c>
      <c r="N819" t="s">
        <v>8849</v>
      </c>
      <c r="O819" t="s">
        <v>47</v>
      </c>
      <c r="P819" t="s">
        <v>5541</v>
      </c>
      <c r="Q819">
        <v>0</v>
      </c>
      <c r="R819" t="s">
        <v>5118</v>
      </c>
      <c r="S819" t="s">
        <v>172</v>
      </c>
      <c r="T819" t="s">
        <v>4923</v>
      </c>
      <c r="U819" t="s">
        <v>4924</v>
      </c>
      <c r="V819" t="s">
        <v>8850</v>
      </c>
      <c r="W819" t="s">
        <v>3667</v>
      </c>
      <c r="X819">
        <v>100</v>
      </c>
    </row>
    <row r="820" spans="1:24" x14ac:dyDescent="0.25">
      <c r="A820" t="s">
        <v>5176</v>
      </c>
      <c r="B820" t="s">
        <v>8785</v>
      </c>
      <c r="C820" t="s">
        <v>8786</v>
      </c>
      <c r="D820" t="s">
        <v>30</v>
      </c>
      <c r="E820" t="s">
        <v>4913</v>
      </c>
      <c r="F820" t="s">
        <v>1748</v>
      </c>
      <c r="G820">
        <f>IF(K820="Pick-up","PICKUPS",IF(K820="Staff drop-off","STAFF_DROPOFF",IF(K820="Replacements","REPLACEMENT",IF(K820="Central Stores Dispatch","CENTRAL STORES DISPATCH",IFNA(IFNA(VLOOKUP(F820,'Raw Platform Nov 4-6 2025'!C:C,1,FALSE),VLOOKUP(F820,'Raw Platform Nov 4-6 2025'!D:D,1,FALSE)),IFNA(VLOOKUP(F820,'Glovo Raw Nov 4-6 2025'!B:B,1,FALSE),"Not Matched"))))))</f>
      </c>
      <c r="H820">
        <f>COUNTIF(F:F,F820)</f>
      </c>
      <c r="I820" t="s">
        <v>8851</v>
      </c>
      <c r="J820" t="s">
        <v>4915</v>
      </c>
      <c r="K820" t="s">
        <v>4916</v>
      </c>
      <c r="L820" t="s">
        <v>8852</v>
      </c>
      <c r="M820" t="s">
        <v>8853</v>
      </c>
      <c r="N820" t="s">
        <v>8854</v>
      </c>
      <c r="O820" t="s">
        <v>2009</v>
      </c>
      <c r="P820" t="s">
        <v>4984</v>
      </c>
      <c r="Q820">
        <v>390</v>
      </c>
      <c r="R820" t="s">
        <v>5118</v>
      </c>
      <c r="S820" t="s">
        <v>45</v>
      </c>
      <c r="T820" t="s">
        <v>4923</v>
      </c>
      <c r="U820" t="s">
        <v>4924</v>
      </c>
      <c r="V820" t="s">
        <v>8855</v>
      </c>
      <c r="W820" t="s">
        <v>3667</v>
      </c>
      <c r="X820">
        <v>100</v>
      </c>
    </row>
    <row r="821" spans="1:24" x14ac:dyDescent="0.25">
      <c r="A821" t="s">
        <v>5176</v>
      </c>
      <c r="B821" t="s">
        <v>8785</v>
      </c>
      <c r="C821" t="s">
        <v>8786</v>
      </c>
      <c r="D821" t="s">
        <v>3667</v>
      </c>
      <c r="E821" t="s">
        <v>4913</v>
      </c>
      <c r="F821" t="s">
        <v>1511</v>
      </c>
      <c r="G821">
        <f>IF(K821="Pick-up","PICKUPS",IF(K821="Staff drop-off","STAFF_DROPOFF",IF(K821="Replacements","REPLACEMENT",IF(K821="Central Stores Dispatch","CENTRAL STORES DISPATCH",IFNA(IFNA(VLOOKUP(F821,'Raw Platform Nov 4-6 2025'!C:C,1,FALSE),VLOOKUP(F821,'Raw Platform Nov 4-6 2025'!D:D,1,FALSE)),IFNA(VLOOKUP(F821,'Glovo Raw Nov 4-6 2025'!B:B,1,FALSE),"Not Matched"))))))</f>
      </c>
      <c r="H821">
        <f>COUNTIF(F:F,F821)</f>
      </c>
      <c r="I821" t="s">
        <v>8856</v>
      </c>
      <c r="J821" t="s">
        <v>4915</v>
      </c>
      <c r="K821" t="s">
        <v>4927</v>
      </c>
      <c r="L821" t="s">
        <v>8857</v>
      </c>
      <c r="M821" t="s">
        <v>5234</v>
      </c>
      <c r="N821" t="s">
        <v>5072</v>
      </c>
      <c r="O821" t="s">
        <v>9</v>
      </c>
      <c r="P821" t="s">
        <v>7100</v>
      </c>
      <c r="Q821">
        <v>0</v>
      </c>
      <c r="R821" t="s">
        <v>5118</v>
      </c>
      <c r="S821" t="s">
        <v>3667</v>
      </c>
      <c r="T821" t="s">
        <v>4923</v>
      </c>
      <c r="U821" t="s">
        <v>4924</v>
      </c>
      <c r="V821" t="s">
        <v>8858</v>
      </c>
      <c r="W821" t="s">
        <v>3667</v>
      </c>
      <c r="X821">
        <v>166.7</v>
      </c>
    </row>
    <row r="822" spans="1:24" x14ac:dyDescent="0.25">
      <c r="A822" t="s">
        <v>5176</v>
      </c>
      <c r="B822" t="s">
        <v>8785</v>
      </c>
      <c r="C822" t="s">
        <v>8786</v>
      </c>
      <c r="D822" t="s">
        <v>30</v>
      </c>
      <c r="E822" t="s">
        <v>4913</v>
      </c>
      <c r="F822" t="s">
        <v>2444</v>
      </c>
      <c r="G822">
        <f>IF(K822="Pick-up","PICKUPS",IF(K822="Staff drop-off","STAFF_DROPOFF",IF(K822="Replacements","REPLACEMENT",IF(K822="Central Stores Dispatch","CENTRAL STORES DISPATCH",IFNA(IFNA(VLOOKUP(F822,'Raw Platform Nov 4-6 2025'!C:C,1,FALSE),VLOOKUP(F822,'Raw Platform Nov 4-6 2025'!D:D,1,FALSE)),IFNA(VLOOKUP(F822,'Glovo Raw Nov 4-6 2025'!B:B,1,FALSE),"Not Matched"))))))</f>
      </c>
      <c r="H822">
        <f>COUNTIF(F:F,F822)</f>
      </c>
      <c r="I822" t="s">
        <v>8859</v>
      </c>
      <c r="J822" t="s">
        <v>4915</v>
      </c>
      <c r="K822" t="s">
        <v>4927</v>
      </c>
      <c r="L822" t="s">
        <v>8860</v>
      </c>
      <c r="M822" t="s">
        <v>8861</v>
      </c>
      <c r="N822" t="s">
        <v>6029</v>
      </c>
      <c r="O822" t="s">
        <v>47</v>
      </c>
      <c r="P822" t="s">
        <v>5045</v>
      </c>
      <c r="Q822">
        <v>0</v>
      </c>
      <c r="R822" t="s">
        <v>5118</v>
      </c>
      <c r="S822" t="s">
        <v>172</v>
      </c>
      <c r="T822" t="s">
        <v>4923</v>
      </c>
      <c r="U822" t="s">
        <v>4924</v>
      </c>
      <c r="V822" t="s">
        <v>8862</v>
      </c>
      <c r="W822" t="s">
        <v>3667</v>
      </c>
      <c r="X822">
        <v>102.3</v>
      </c>
    </row>
    <row r="823" spans="1:24" x14ac:dyDescent="0.25">
      <c r="A823" t="s">
        <v>5176</v>
      </c>
      <c r="B823" t="s">
        <v>8785</v>
      </c>
      <c r="C823" t="s">
        <v>8786</v>
      </c>
      <c r="D823" t="s">
        <v>191</v>
      </c>
      <c r="E823" t="s">
        <v>4913</v>
      </c>
      <c r="F823" t="s">
        <v>2590</v>
      </c>
      <c r="G823">
        <f>IF(K823="Pick-up","PICKUPS",IF(K823="Staff drop-off","STAFF_DROPOFF",IF(K823="Replacements","REPLACEMENT",IF(K823="Central Stores Dispatch","CENTRAL STORES DISPATCH",IFNA(IFNA(VLOOKUP(F823,'Raw Platform Nov 4-6 2025'!C:C,1,FALSE),VLOOKUP(F823,'Raw Platform Nov 4-6 2025'!D:D,1,FALSE)),IFNA(VLOOKUP(F823,'Glovo Raw Nov 4-6 2025'!B:B,1,FALSE),"Not Matched"))))))</f>
      </c>
      <c r="H823">
        <f>COUNTIF(F:F,F823)</f>
      </c>
      <c r="I823" t="s">
        <v>8863</v>
      </c>
      <c r="J823" t="s">
        <v>4915</v>
      </c>
      <c r="K823" t="s">
        <v>4916</v>
      </c>
      <c r="L823" t="s">
        <v>8864</v>
      </c>
      <c r="M823" t="s">
        <v>8865</v>
      </c>
      <c r="N823" t="s">
        <v>8866</v>
      </c>
      <c r="O823" t="s">
        <v>5937</v>
      </c>
      <c r="P823" t="s">
        <v>6908</v>
      </c>
      <c r="Q823">
        <v>2500</v>
      </c>
      <c r="R823" t="s">
        <v>5118</v>
      </c>
      <c r="S823" t="s">
        <v>6166</v>
      </c>
      <c r="T823" t="s">
        <v>4923</v>
      </c>
      <c r="U823" t="s">
        <v>4924</v>
      </c>
      <c r="V823" t="s">
        <v>8867</v>
      </c>
      <c r="W823" t="s">
        <v>3667</v>
      </c>
      <c r="X823">
        <v>323.1</v>
      </c>
    </row>
    <row r="824" spans="1:24" x14ac:dyDescent="0.25">
      <c r="A824" t="s">
        <v>5176</v>
      </c>
      <c r="B824" t="s">
        <v>8785</v>
      </c>
      <c r="C824" t="s">
        <v>8786</v>
      </c>
      <c r="D824" t="s">
        <v>30</v>
      </c>
      <c r="E824" t="s">
        <v>4913</v>
      </c>
      <c r="F824" t="s">
        <v>2129</v>
      </c>
      <c r="G824">
        <f>IF(K824="Pick-up","PICKUPS",IF(K824="Staff drop-off","STAFF_DROPOFF",IF(K824="Replacements","REPLACEMENT",IF(K824="Central Stores Dispatch","CENTRAL STORES DISPATCH",IFNA(IFNA(VLOOKUP(F824,'Raw Platform Nov 4-6 2025'!C:C,1,FALSE),VLOOKUP(F824,'Raw Platform Nov 4-6 2025'!D:D,1,FALSE)),IFNA(VLOOKUP(F824,'Glovo Raw Nov 4-6 2025'!B:B,1,FALSE),"Not Matched"))))))</f>
      </c>
      <c r="H824">
        <f>COUNTIF(F:F,F824)</f>
      </c>
      <c r="I824" t="s">
        <v>8868</v>
      </c>
      <c r="J824" t="s">
        <v>4915</v>
      </c>
      <c r="K824" t="s">
        <v>4927</v>
      </c>
      <c r="L824" t="s">
        <v>8869</v>
      </c>
      <c r="M824" t="s">
        <v>8870</v>
      </c>
      <c r="N824" t="s">
        <v>8871</v>
      </c>
      <c r="O824" t="s">
        <v>26</v>
      </c>
      <c r="P824" t="s">
        <v>5795</v>
      </c>
      <c r="Q824">
        <v>0</v>
      </c>
      <c r="R824" t="s">
        <v>5118</v>
      </c>
      <c r="S824" t="s">
        <v>172</v>
      </c>
      <c r="T824" t="s">
        <v>4923</v>
      </c>
      <c r="U824" t="s">
        <v>4924</v>
      </c>
      <c r="V824" t="s">
        <v>8872</v>
      </c>
      <c r="W824" t="s">
        <v>3667</v>
      </c>
      <c r="X824">
        <v>150.6</v>
      </c>
    </row>
    <row r="825" spans="1:24" x14ac:dyDescent="0.25">
      <c r="A825" t="s">
        <v>5176</v>
      </c>
      <c r="B825" t="s">
        <v>8785</v>
      </c>
      <c r="C825" t="s">
        <v>8786</v>
      </c>
      <c r="D825" t="s">
        <v>30</v>
      </c>
      <c r="E825" t="s">
        <v>4913</v>
      </c>
      <c r="F825" t="s">
        <v>1897</v>
      </c>
      <c r="G825">
        <f>IF(K825="Pick-up","PICKUPS",IF(K825="Staff drop-off","STAFF_DROPOFF",IF(K825="Replacements","REPLACEMENT",IF(K825="Central Stores Dispatch","CENTRAL STORES DISPATCH",IFNA(IFNA(VLOOKUP(F825,'Raw Platform Nov 4-6 2025'!C:C,1,FALSE),VLOOKUP(F825,'Raw Platform Nov 4-6 2025'!D:D,1,FALSE)),IFNA(VLOOKUP(F825,'Glovo Raw Nov 4-6 2025'!B:B,1,FALSE),"Not Matched"))))))</f>
      </c>
      <c r="H825">
        <f>COUNTIF(F:F,F825)</f>
      </c>
      <c r="I825" t="s">
        <v>8873</v>
      </c>
      <c r="J825" t="s">
        <v>4915</v>
      </c>
      <c r="K825" t="s">
        <v>4927</v>
      </c>
      <c r="L825" t="s">
        <v>8874</v>
      </c>
      <c r="M825" t="s">
        <v>8875</v>
      </c>
      <c r="N825" t="s">
        <v>8876</v>
      </c>
      <c r="O825" t="s">
        <v>4962</v>
      </c>
      <c r="P825" t="s">
        <v>4920</v>
      </c>
      <c r="Q825">
        <v>0</v>
      </c>
      <c r="R825" t="s">
        <v>5118</v>
      </c>
      <c r="S825" t="s">
        <v>29</v>
      </c>
      <c r="T825" t="s">
        <v>4923</v>
      </c>
      <c r="U825" t="s">
        <v>4924</v>
      </c>
      <c r="V825" t="s">
        <v>8877</v>
      </c>
      <c r="W825" t="s">
        <v>3667</v>
      </c>
      <c r="X825">
        <v>100</v>
      </c>
    </row>
    <row r="826" spans="1:24" x14ac:dyDescent="0.25">
      <c r="A826" t="s">
        <v>5176</v>
      </c>
      <c r="B826" t="s">
        <v>8785</v>
      </c>
      <c r="C826" t="s">
        <v>8786</v>
      </c>
      <c r="D826" t="s">
        <v>30</v>
      </c>
      <c r="E826" t="s">
        <v>4913</v>
      </c>
      <c r="F826" t="s">
        <v>2882</v>
      </c>
      <c r="G826">
        <f>IF(K826="Pick-up","PICKUPS",IF(K826="Staff drop-off","STAFF_DROPOFF",IF(K826="Replacements","REPLACEMENT",IF(K826="Central Stores Dispatch","CENTRAL STORES DISPATCH",IFNA(IFNA(VLOOKUP(F826,'Raw Platform Nov 4-6 2025'!C:C,1,FALSE),VLOOKUP(F826,'Raw Platform Nov 4-6 2025'!D:D,1,FALSE)),IFNA(VLOOKUP(F826,'Glovo Raw Nov 4-6 2025'!B:B,1,FALSE),"Not Matched"))))))</f>
      </c>
      <c r="H826">
        <f>COUNTIF(F:F,F826)</f>
      </c>
      <c r="I826" t="s">
        <v>8878</v>
      </c>
      <c r="J826" t="s">
        <v>4915</v>
      </c>
      <c r="K826" t="s">
        <v>4927</v>
      </c>
      <c r="L826" t="s">
        <v>6576</v>
      </c>
      <c r="M826" t="s">
        <v>5327</v>
      </c>
      <c r="N826" t="s">
        <v>6577</v>
      </c>
      <c r="O826" t="s">
        <v>16</v>
      </c>
      <c r="P826" t="s">
        <v>6241</v>
      </c>
      <c r="Q826">
        <v>0</v>
      </c>
      <c r="R826" t="s">
        <v>5118</v>
      </c>
      <c r="S826" t="s">
        <v>172</v>
      </c>
      <c r="T826" t="s">
        <v>4923</v>
      </c>
      <c r="U826" t="s">
        <v>4924</v>
      </c>
      <c r="V826" t="s">
        <v>8879</v>
      </c>
      <c r="W826" t="s">
        <v>3667</v>
      </c>
      <c r="X826">
        <v>228.8</v>
      </c>
    </row>
    <row r="827" spans="1:24" x14ac:dyDescent="0.25">
      <c r="A827" t="s">
        <v>5176</v>
      </c>
      <c r="B827" t="s">
        <v>8785</v>
      </c>
      <c r="C827" t="s">
        <v>8786</v>
      </c>
      <c r="D827" t="s">
        <v>30</v>
      </c>
      <c r="E827" t="s">
        <v>4913</v>
      </c>
      <c r="F827" t="s">
        <v>3080</v>
      </c>
      <c r="G827">
        <f>IF(K827="Pick-up","PICKUPS",IF(K827="Staff drop-off","STAFF_DROPOFF",IF(K827="Replacements","REPLACEMENT",IF(K827="Central Stores Dispatch","CENTRAL STORES DISPATCH",IFNA(IFNA(VLOOKUP(F827,'Raw Platform Nov 4-6 2025'!C:C,1,FALSE),VLOOKUP(F827,'Raw Platform Nov 4-6 2025'!D:D,1,FALSE)),IFNA(VLOOKUP(F827,'Glovo Raw Nov 4-6 2025'!B:B,1,FALSE),"Not Matched"))))))</f>
      </c>
      <c r="H827">
        <f>COUNTIF(F:F,F827)</f>
      </c>
      <c r="I827" t="s">
        <v>8880</v>
      </c>
      <c r="J827" t="s">
        <v>63</v>
      </c>
      <c r="K827" t="s">
        <v>4927</v>
      </c>
      <c r="L827" t="s">
        <v>8881</v>
      </c>
      <c r="M827" t="s">
        <v>8882</v>
      </c>
      <c r="N827" t="s">
        <v>8883</v>
      </c>
      <c r="O827" t="s">
        <v>2009</v>
      </c>
      <c r="P827" t="s">
        <v>4969</v>
      </c>
      <c r="Q827">
        <v>0</v>
      </c>
      <c r="R827" t="s">
        <v>5118</v>
      </c>
      <c r="S827" t="s">
        <v>29</v>
      </c>
      <c r="T827" t="s">
        <v>4923</v>
      </c>
      <c r="U827" t="s">
        <v>4924</v>
      </c>
      <c r="V827" t="s">
        <v>8884</v>
      </c>
      <c r="W827" t="s">
        <v>3667</v>
      </c>
      <c r="X827">
        <v>100</v>
      </c>
    </row>
    <row r="828" spans="1:24" x14ac:dyDescent="0.25">
      <c r="A828" t="s">
        <v>5176</v>
      </c>
      <c r="B828" t="s">
        <v>8785</v>
      </c>
      <c r="C828" t="s">
        <v>8786</v>
      </c>
      <c r="D828" t="s">
        <v>30</v>
      </c>
      <c r="E828" t="s">
        <v>4913</v>
      </c>
      <c r="F828" t="s">
        <v>3207</v>
      </c>
      <c r="G828">
        <f>IF(K828="Pick-up","PICKUPS",IF(K828="Staff drop-off","STAFF_DROPOFF",IF(K828="Replacements","REPLACEMENT",IF(K828="Central Stores Dispatch","CENTRAL STORES DISPATCH",IFNA(IFNA(VLOOKUP(F828,'Raw Platform Nov 4-6 2025'!C:C,1,FALSE),VLOOKUP(F828,'Raw Platform Nov 4-6 2025'!D:D,1,FALSE)),IFNA(VLOOKUP(F828,'Glovo Raw Nov 4-6 2025'!B:B,1,FALSE),"Not Matched"))))))</f>
      </c>
      <c r="H828">
        <f>COUNTIF(F:F,F828)</f>
      </c>
      <c r="I828" t="s">
        <v>8885</v>
      </c>
      <c r="J828" t="s">
        <v>4915</v>
      </c>
      <c r="K828" t="s">
        <v>4916</v>
      </c>
      <c r="L828" t="s">
        <v>8886</v>
      </c>
      <c r="M828" t="s">
        <v>8887</v>
      </c>
      <c r="N828" t="s">
        <v>8888</v>
      </c>
      <c r="O828" t="s">
        <v>100</v>
      </c>
      <c r="P828" t="s">
        <v>47</v>
      </c>
      <c r="Q828">
        <v>1046</v>
      </c>
      <c r="R828" t="s">
        <v>5118</v>
      </c>
      <c r="S828" t="s">
        <v>29</v>
      </c>
      <c r="T828" t="s">
        <v>4923</v>
      </c>
      <c r="U828" t="s">
        <v>4924</v>
      </c>
      <c r="V828" t="s">
        <v>8889</v>
      </c>
      <c r="W828" t="s">
        <v>3667</v>
      </c>
      <c r="X828">
        <v>226.5</v>
      </c>
    </row>
    <row r="829" spans="1:24" x14ac:dyDescent="0.25">
      <c r="A829" t="s">
        <v>5176</v>
      </c>
      <c r="B829" t="s">
        <v>8785</v>
      </c>
      <c r="C829" t="s">
        <v>8786</v>
      </c>
      <c r="D829" t="s">
        <v>30</v>
      </c>
      <c r="E829" t="s">
        <v>4913</v>
      </c>
      <c r="F829" t="s">
        <v>3241</v>
      </c>
      <c r="G829">
        <f>IF(K829="Pick-up","PICKUPS",IF(K829="Staff drop-off","STAFF_DROPOFF",IF(K829="Replacements","REPLACEMENT",IF(K829="Central Stores Dispatch","CENTRAL STORES DISPATCH",IFNA(IFNA(VLOOKUP(F829,'Raw Platform Nov 4-6 2025'!C:C,1,FALSE),VLOOKUP(F829,'Raw Platform Nov 4-6 2025'!D:D,1,FALSE)),IFNA(VLOOKUP(F829,'Glovo Raw Nov 4-6 2025'!B:B,1,FALSE),"Not Matched"))))))</f>
      </c>
      <c r="H829">
        <f>COUNTIF(F:F,F829)</f>
      </c>
      <c r="I829" t="s">
        <v>8890</v>
      </c>
      <c r="J829" t="s">
        <v>4915</v>
      </c>
      <c r="K829" t="s">
        <v>4916</v>
      </c>
      <c r="L829" t="s">
        <v>8891</v>
      </c>
      <c r="M829" t="s">
        <v>5327</v>
      </c>
      <c r="N829" t="s">
        <v>5435</v>
      </c>
      <c r="O829" t="s">
        <v>47</v>
      </c>
      <c r="P829" t="s">
        <v>5045</v>
      </c>
      <c r="Q829">
        <v>3208</v>
      </c>
      <c r="R829" t="s">
        <v>5118</v>
      </c>
      <c r="S829" t="s">
        <v>29</v>
      </c>
      <c r="T829" t="s">
        <v>4923</v>
      </c>
      <c r="U829" t="s">
        <v>4924</v>
      </c>
      <c r="V829" t="s">
        <v>8892</v>
      </c>
      <c r="W829" t="s">
        <v>3667</v>
      </c>
      <c r="X829">
        <v>102.3</v>
      </c>
    </row>
    <row r="830" spans="1:24" x14ac:dyDescent="0.25">
      <c r="A830" t="s">
        <v>5176</v>
      </c>
      <c r="B830" t="s">
        <v>8785</v>
      </c>
      <c r="C830" t="s">
        <v>8786</v>
      </c>
      <c r="D830" t="s">
        <v>3667</v>
      </c>
      <c r="E830" t="s">
        <v>4913</v>
      </c>
      <c r="F830" t="s">
        <v>2566</v>
      </c>
      <c r="G830">
        <f>IF(K830="Pick-up","PICKUPS",IF(K830="Staff drop-off","STAFF_DROPOFF",IF(K830="Replacements","REPLACEMENT",IF(K830="Central Stores Dispatch","CENTRAL STORES DISPATCH",IFNA(IFNA(VLOOKUP(F830,'Raw Platform Nov 4-6 2025'!C:C,1,FALSE),VLOOKUP(F830,'Raw Platform Nov 4-6 2025'!D:D,1,FALSE)),IFNA(VLOOKUP(F830,'Glovo Raw Nov 4-6 2025'!B:B,1,FALSE),"Not Matched"))))))</f>
      </c>
      <c r="H830">
        <f>COUNTIF(F:F,F830)</f>
      </c>
      <c r="I830" t="s">
        <v>8893</v>
      </c>
      <c r="J830" t="s">
        <v>4915</v>
      </c>
      <c r="K830" t="s">
        <v>4916</v>
      </c>
      <c r="L830" t="s">
        <v>8894</v>
      </c>
      <c r="M830" t="s">
        <v>8895</v>
      </c>
      <c r="N830" t="s">
        <v>8896</v>
      </c>
      <c r="O830" t="s">
        <v>32</v>
      </c>
      <c r="P830" t="s">
        <v>6220</v>
      </c>
      <c r="Q830">
        <v>1900</v>
      </c>
      <c r="R830" t="s">
        <v>5118</v>
      </c>
      <c r="S830" t="s">
        <v>3667</v>
      </c>
      <c r="T830" t="s">
        <v>4923</v>
      </c>
      <c r="U830" t="s">
        <v>4924</v>
      </c>
      <c r="V830" t="s">
        <v>8897</v>
      </c>
      <c r="W830" t="s">
        <v>3667</v>
      </c>
      <c r="X830">
        <v>265.6</v>
      </c>
    </row>
    <row r="831" spans="1:24" x14ac:dyDescent="0.25">
      <c r="A831" t="s">
        <v>5176</v>
      </c>
      <c r="B831" t="s">
        <v>8785</v>
      </c>
      <c r="C831" t="s">
        <v>8786</v>
      </c>
      <c r="D831" t="s">
        <v>191</v>
      </c>
      <c r="E831" t="s">
        <v>4913</v>
      </c>
      <c r="F831" t="s">
        <v>2900</v>
      </c>
      <c r="G831">
        <f>IF(K831="Pick-up","PICKUPS",IF(K831="Staff drop-off","STAFF_DROPOFF",IF(K831="Replacements","REPLACEMENT",IF(K831="Central Stores Dispatch","CENTRAL STORES DISPATCH",IFNA(IFNA(VLOOKUP(F831,'Raw Platform Nov 4-6 2025'!C:C,1,FALSE),VLOOKUP(F831,'Raw Platform Nov 4-6 2025'!D:D,1,FALSE)),IFNA(VLOOKUP(F831,'Glovo Raw Nov 4-6 2025'!B:B,1,FALSE),"Not Matched"))))))</f>
      </c>
      <c r="H831">
        <f>COUNTIF(F:F,F831)</f>
      </c>
      <c r="I831" t="s">
        <v>8898</v>
      </c>
      <c r="J831" t="s">
        <v>4915</v>
      </c>
      <c r="K831" t="s">
        <v>4927</v>
      </c>
      <c r="L831" t="s">
        <v>8899</v>
      </c>
      <c r="M831" t="s">
        <v>8900</v>
      </c>
      <c r="N831" t="s">
        <v>8901</v>
      </c>
      <c r="O831" t="s">
        <v>9</v>
      </c>
      <c r="P831" t="s">
        <v>4956</v>
      </c>
      <c r="Q831">
        <v>0</v>
      </c>
      <c r="R831" t="s">
        <v>5118</v>
      </c>
      <c r="S831" t="s">
        <v>1409</v>
      </c>
      <c r="T831" t="s">
        <v>4923</v>
      </c>
      <c r="U831" t="s">
        <v>4924</v>
      </c>
      <c r="V831" t="s">
        <v>8902</v>
      </c>
      <c r="W831" t="s">
        <v>3667</v>
      </c>
      <c r="X831">
        <v>134.5</v>
      </c>
    </row>
    <row r="832" spans="1:24" x14ac:dyDescent="0.25">
      <c r="A832" t="s">
        <v>5176</v>
      </c>
      <c r="B832" t="s">
        <v>8785</v>
      </c>
      <c r="C832" t="s">
        <v>8786</v>
      </c>
      <c r="D832" t="s">
        <v>191</v>
      </c>
      <c r="E832" t="s">
        <v>5034</v>
      </c>
      <c r="F832" t="s">
        <v>2900</v>
      </c>
      <c r="G832">
        <f>IF(K832="Pick-up","PICKUPS",IF(K832="Staff drop-off","STAFF_DROPOFF",IF(K832="Replacements","REPLACEMENT",IF(K832="Central Stores Dispatch","CENTRAL STORES DISPATCH",IFNA(IFNA(VLOOKUP(F832,'Raw Platform Nov 4-6 2025'!C:C,1,FALSE),VLOOKUP(F832,'Raw Platform Nov 4-6 2025'!D:D,1,FALSE)),IFNA(VLOOKUP(F832,'Glovo Raw Nov 4-6 2025'!B:B,1,FALSE),"Not Matched"))))))</f>
      </c>
      <c r="H832">
        <f>COUNTIF(F:F,F832)</f>
      </c>
      <c r="I832" t="s">
        <v>8898</v>
      </c>
      <c r="J832" t="s">
        <v>4915</v>
      </c>
      <c r="K832" t="s">
        <v>4927</v>
      </c>
      <c r="L832" t="s">
        <v>8899</v>
      </c>
      <c r="M832" t="s">
        <v>8900</v>
      </c>
      <c r="N832" t="s">
        <v>8901</v>
      </c>
      <c r="O832" t="s">
        <v>9</v>
      </c>
      <c r="P832" t="s">
        <v>4956</v>
      </c>
      <c r="Q832">
        <v>0</v>
      </c>
      <c r="R832" t="s">
        <v>5118</v>
      </c>
      <c r="S832" t="s">
        <v>1409</v>
      </c>
      <c r="T832" t="s">
        <v>4923</v>
      </c>
      <c r="U832" t="s">
        <v>4923</v>
      </c>
      <c r="V832" t="s">
        <v>8903</v>
      </c>
      <c r="W832" t="s">
        <v>3667</v>
      </c>
      <c r="X832">
        <v>0</v>
      </c>
    </row>
    <row r="833" spans="1:24" x14ac:dyDescent="0.25">
      <c r="A833" t="s">
        <v>5176</v>
      </c>
      <c r="B833" t="s">
        <v>8785</v>
      </c>
      <c r="C833" t="s">
        <v>8786</v>
      </c>
      <c r="D833" t="s">
        <v>30</v>
      </c>
      <c r="E833" t="s">
        <v>4913</v>
      </c>
      <c r="F833" t="s">
        <v>3201</v>
      </c>
      <c r="G833">
        <f>IF(K833="Pick-up","PICKUPS",IF(K833="Staff drop-off","STAFF_DROPOFF",IF(K833="Replacements","REPLACEMENT",IF(K833="Central Stores Dispatch","CENTRAL STORES DISPATCH",IFNA(IFNA(VLOOKUP(F833,'Raw Platform Nov 4-6 2025'!C:C,1,FALSE),VLOOKUP(F833,'Raw Platform Nov 4-6 2025'!D:D,1,FALSE)),IFNA(VLOOKUP(F833,'Glovo Raw Nov 4-6 2025'!B:B,1,FALSE),"Not Matched"))))))</f>
      </c>
      <c r="H833">
        <f>COUNTIF(F:F,F833)</f>
      </c>
      <c r="I833" t="s">
        <v>8904</v>
      </c>
      <c r="J833" t="s">
        <v>4915</v>
      </c>
      <c r="K833" t="s">
        <v>4927</v>
      </c>
      <c r="L833" t="s">
        <v>8905</v>
      </c>
      <c r="M833" t="s">
        <v>8906</v>
      </c>
      <c r="N833" t="s">
        <v>7343</v>
      </c>
      <c r="O833" t="s">
        <v>4956</v>
      </c>
      <c r="P833" t="s">
        <v>5056</v>
      </c>
      <c r="Q833">
        <v>0</v>
      </c>
      <c r="R833" t="s">
        <v>5118</v>
      </c>
      <c r="S833" t="s">
        <v>12</v>
      </c>
      <c r="T833" t="s">
        <v>4923</v>
      </c>
      <c r="U833" t="s">
        <v>4924</v>
      </c>
      <c r="V833" t="s">
        <v>8907</v>
      </c>
      <c r="W833" t="s">
        <v>3667</v>
      </c>
      <c r="X833">
        <v>100</v>
      </c>
    </row>
    <row r="834" spans="1:24" x14ac:dyDescent="0.25">
      <c r="A834" t="s">
        <v>6063</v>
      </c>
      <c r="B834" t="s">
        <v>8908</v>
      </c>
      <c r="C834" t="s">
        <v>8909</v>
      </c>
      <c r="D834" t="s">
        <v>19</v>
      </c>
      <c r="E834" t="s">
        <v>4913</v>
      </c>
      <c r="F834" t="s">
        <v>975</v>
      </c>
      <c r="G834">
        <f>IF(K834="Pick-up","PICKUPS",IF(K834="Staff drop-off","STAFF_DROPOFF",IF(K834="Replacements","REPLACEMENT",IF(K834="Central Stores Dispatch","CENTRAL STORES DISPATCH",IFNA(IFNA(VLOOKUP(F834,'Raw Platform Nov 4-6 2025'!C:C,1,FALSE),VLOOKUP(F834,'Raw Platform Nov 4-6 2025'!D:D,1,FALSE)),IFNA(VLOOKUP(F834,'Glovo Raw Nov 4-6 2025'!B:B,1,FALSE),"Not Matched"))))))</f>
      </c>
      <c r="H834">
        <f>COUNTIF(F:F,F834)</f>
      </c>
      <c r="I834" t="s">
        <v>8910</v>
      </c>
      <c r="J834" t="s">
        <v>4915</v>
      </c>
      <c r="K834" t="s">
        <v>4916</v>
      </c>
      <c r="L834" t="s">
        <v>8911</v>
      </c>
      <c r="M834" t="s">
        <v>8912</v>
      </c>
      <c r="N834" t="s">
        <v>8913</v>
      </c>
      <c r="O834" t="s">
        <v>9</v>
      </c>
      <c r="P834" t="s">
        <v>6829</v>
      </c>
      <c r="Q834">
        <v>2890</v>
      </c>
      <c r="R834" t="s">
        <v>5118</v>
      </c>
      <c r="S834" t="s">
        <v>45</v>
      </c>
      <c r="T834" t="s">
        <v>4923</v>
      </c>
      <c r="U834" t="s">
        <v>4924</v>
      </c>
      <c r="V834" t="s">
        <v>8794</v>
      </c>
      <c r="W834" t="s">
        <v>3667</v>
      </c>
      <c r="X834">
        <v>171.3</v>
      </c>
    </row>
    <row r="835" spans="1:24" x14ac:dyDescent="0.25">
      <c r="A835" t="s">
        <v>6063</v>
      </c>
      <c r="B835" t="s">
        <v>8908</v>
      </c>
      <c r="C835" t="s">
        <v>8909</v>
      </c>
      <c r="D835" t="s">
        <v>191</v>
      </c>
      <c r="E835" t="s">
        <v>4913</v>
      </c>
      <c r="F835" t="s">
        <v>253</v>
      </c>
      <c r="G835">
        <f>IF(K835="Pick-up","PICKUPS",IF(K835="Staff drop-off","STAFF_DROPOFF",IF(K835="Replacements","REPLACEMENT",IF(K835="Central Stores Dispatch","CENTRAL STORES DISPATCH",IFNA(IFNA(VLOOKUP(F835,'Raw Platform Nov 4-6 2025'!C:C,1,FALSE),VLOOKUP(F835,'Raw Platform Nov 4-6 2025'!D:D,1,FALSE)),IFNA(VLOOKUP(F835,'Glovo Raw Nov 4-6 2025'!B:B,1,FALSE),"Not Matched"))))))</f>
      </c>
      <c r="H835">
        <f>COUNTIF(F:F,F835)</f>
      </c>
      <c r="I835" t="s">
        <v>8914</v>
      </c>
      <c r="J835" t="s">
        <v>4915</v>
      </c>
      <c r="K835" t="s">
        <v>4927</v>
      </c>
      <c r="L835" t="s">
        <v>8915</v>
      </c>
      <c r="M835" t="s">
        <v>6120</v>
      </c>
      <c r="N835" t="s">
        <v>6812</v>
      </c>
      <c r="O835" t="s">
        <v>183</v>
      </c>
      <c r="P835" t="s">
        <v>6813</v>
      </c>
      <c r="Q835">
        <v>0</v>
      </c>
      <c r="R835" t="s">
        <v>5118</v>
      </c>
      <c r="S835" t="s">
        <v>5184</v>
      </c>
      <c r="T835" t="s">
        <v>4923</v>
      </c>
      <c r="U835" t="s">
        <v>4924</v>
      </c>
      <c r="V835" t="s">
        <v>8916</v>
      </c>
      <c r="W835" t="s">
        <v>3667</v>
      </c>
      <c r="X835">
        <v>242.6</v>
      </c>
    </row>
    <row r="836" spans="1:24" x14ac:dyDescent="0.25">
      <c r="A836" t="s">
        <v>6063</v>
      </c>
      <c r="B836" t="s">
        <v>8908</v>
      </c>
      <c r="C836" t="s">
        <v>8909</v>
      </c>
      <c r="D836" t="s">
        <v>191</v>
      </c>
      <c r="E836" t="s">
        <v>4913</v>
      </c>
      <c r="F836" t="s">
        <v>8917</v>
      </c>
      <c r="G836">
        <f>IF(K836="Pick-up","PICKUPS",IF(K836="Staff drop-off","STAFF_DROPOFF",IF(K836="Replacements","REPLACEMENT",IF(K836="Central Stores Dispatch","CENTRAL STORES DISPATCH",IFNA(IFNA(VLOOKUP(F836,'Raw Platform Nov 4-6 2025'!C:C,1,FALSE),VLOOKUP(F836,'Raw Platform Nov 4-6 2025'!D:D,1,FALSE)),IFNA(VLOOKUP(F836,'Glovo Raw Nov 4-6 2025'!B:B,1,FALSE),"Not Matched"))))))</f>
      </c>
      <c r="H836">
        <f>COUNTIF(F:F,F836)</f>
      </c>
      <c r="I836" t="s">
        <v>8918</v>
      </c>
      <c r="J836" t="s">
        <v>4915</v>
      </c>
      <c r="K836" t="s">
        <v>4927</v>
      </c>
      <c r="L836" t="s">
        <v>8919</v>
      </c>
      <c r="M836" t="s">
        <v>8920</v>
      </c>
      <c r="N836" t="s">
        <v>8921</v>
      </c>
      <c r="O836" t="s">
        <v>42</v>
      </c>
      <c r="P836" t="s">
        <v>5672</v>
      </c>
      <c r="Q836">
        <v>0</v>
      </c>
      <c r="R836" t="s">
        <v>5118</v>
      </c>
      <c r="S836" t="s">
        <v>5184</v>
      </c>
      <c r="T836" t="s">
        <v>4923</v>
      </c>
      <c r="U836" t="s">
        <v>4924</v>
      </c>
      <c r="V836" t="s">
        <v>8922</v>
      </c>
      <c r="W836" t="s">
        <v>3667</v>
      </c>
      <c r="X836">
        <v>244.9</v>
      </c>
    </row>
    <row r="837" spans="1:24" x14ac:dyDescent="0.25">
      <c r="A837" t="s">
        <v>6063</v>
      </c>
      <c r="B837" t="s">
        <v>8908</v>
      </c>
      <c r="C837" t="s">
        <v>8909</v>
      </c>
      <c r="D837" t="s">
        <v>191</v>
      </c>
      <c r="E837" t="s">
        <v>4913</v>
      </c>
      <c r="F837" t="s">
        <v>2400</v>
      </c>
      <c r="G837">
        <f>IF(K837="Pick-up","PICKUPS",IF(K837="Staff drop-off","STAFF_DROPOFF",IF(K837="Replacements","REPLACEMENT",IF(K837="Central Stores Dispatch","CENTRAL STORES DISPATCH",IFNA(IFNA(VLOOKUP(F837,'Raw Platform Nov 4-6 2025'!C:C,1,FALSE),VLOOKUP(F837,'Raw Platform Nov 4-6 2025'!D:D,1,FALSE)),IFNA(VLOOKUP(F837,'Glovo Raw Nov 4-6 2025'!B:B,1,FALSE),"Not Matched"))))))</f>
      </c>
      <c r="H837">
        <f>COUNTIF(F:F,F837)</f>
      </c>
      <c r="I837" t="s">
        <v>8923</v>
      </c>
      <c r="J837" t="s">
        <v>4915</v>
      </c>
      <c r="K837" t="s">
        <v>4927</v>
      </c>
      <c r="L837" t="s">
        <v>8924</v>
      </c>
      <c r="M837" t="s">
        <v>8925</v>
      </c>
      <c r="N837" t="s">
        <v>8926</v>
      </c>
      <c r="O837" t="s">
        <v>8616</v>
      </c>
      <c r="P837" t="s">
        <v>8009</v>
      </c>
      <c r="Q837">
        <v>0</v>
      </c>
      <c r="R837" t="s">
        <v>5118</v>
      </c>
      <c r="S837" t="s">
        <v>5184</v>
      </c>
      <c r="T837" t="s">
        <v>4923</v>
      </c>
      <c r="U837" t="s">
        <v>4924</v>
      </c>
      <c r="V837" t="s">
        <v>8927</v>
      </c>
      <c r="W837" t="s">
        <v>3667</v>
      </c>
      <c r="X837">
        <v>451.9</v>
      </c>
    </row>
    <row r="838" spans="1:24" x14ac:dyDescent="0.25">
      <c r="A838" t="s">
        <v>6063</v>
      </c>
      <c r="B838" t="s">
        <v>8908</v>
      </c>
      <c r="C838" t="s">
        <v>8909</v>
      </c>
      <c r="D838" t="s">
        <v>19</v>
      </c>
      <c r="E838" t="s">
        <v>4913</v>
      </c>
      <c r="F838" t="s">
        <v>1973</v>
      </c>
      <c r="G838">
        <f>IF(K838="Pick-up","PICKUPS",IF(K838="Staff drop-off","STAFF_DROPOFF",IF(K838="Replacements","REPLACEMENT",IF(K838="Central Stores Dispatch","CENTRAL STORES DISPATCH",IFNA(IFNA(VLOOKUP(F838,'Raw Platform Nov 4-6 2025'!C:C,1,FALSE),VLOOKUP(F838,'Raw Platform Nov 4-6 2025'!D:D,1,FALSE)),IFNA(VLOOKUP(F838,'Glovo Raw Nov 4-6 2025'!B:B,1,FALSE),"Not Matched"))))))</f>
      </c>
      <c r="H838">
        <f>COUNTIF(F:F,F838)</f>
      </c>
      <c r="I838" t="s">
        <v>8928</v>
      </c>
      <c r="J838" t="s">
        <v>4915</v>
      </c>
      <c r="K838" t="s">
        <v>4927</v>
      </c>
      <c r="L838" t="s">
        <v>8929</v>
      </c>
      <c r="M838" t="s">
        <v>8930</v>
      </c>
      <c r="N838" t="s">
        <v>8931</v>
      </c>
      <c r="O838" t="s">
        <v>100</v>
      </c>
      <c r="P838" t="s">
        <v>5236</v>
      </c>
      <c r="Q838">
        <v>0</v>
      </c>
      <c r="R838" t="s">
        <v>5118</v>
      </c>
      <c r="S838" t="s">
        <v>12</v>
      </c>
      <c r="T838" t="s">
        <v>4923</v>
      </c>
      <c r="U838" t="s">
        <v>4924</v>
      </c>
      <c r="V838" t="s">
        <v>8932</v>
      </c>
      <c r="W838" t="s">
        <v>3667</v>
      </c>
      <c r="X838">
        <v>210.4</v>
      </c>
    </row>
    <row r="839" spans="1:24" x14ac:dyDescent="0.25">
      <c r="A839" t="s">
        <v>6063</v>
      </c>
      <c r="B839" t="s">
        <v>8908</v>
      </c>
      <c r="C839" t="s">
        <v>8909</v>
      </c>
      <c r="D839" t="s">
        <v>19</v>
      </c>
      <c r="E839" t="s">
        <v>4913</v>
      </c>
      <c r="F839" t="s">
        <v>1452</v>
      </c>
      <c r="G839">
        <f>IF(K839="Pick-up","PICKUPS",IF(K839="Staff drop-off","STAFF_DROPOFF",IF(K839="Replacements","REPLACEMENT",IF(K839="Central Stores Dispatch","CENTRAL STORES DISPATCH",IFNA(IFNA(VLOOKUP(F839,'Raw Platform Nov 4-6 2025'!C:C,1,FALSE),VLOOKUP(F839,'Raw Platform Nov 4-6 2025'!D:D,1,FALSE)),IFNA(VLOOKUP(F839,'Glovo Raw Nov 4-6 2025'!B:B,1,FALSE),"Not Matched"))))))</f>
      </c>
      <c r="H839">
        <f>COUNTIF(F:F,F839)</f>
      </c>
      <c r="I839" t="s">
        <v>8933</v>
      </c>
      <c r="J839" t="s">
        <v>4915</v>
      </c>
      <c r="K839" t="s">
        <v>4927</v>
      </c>
      <c r="L839" t="s">
        <v>8934</v>
      </c>
      <c r="M839" t="s">
        <v>6120</v>
      </c>
      <c r="N839" t="s">
        <v>8935</v>
      </c>
      <c r="O839" t="s">
        <v>42</v>
      </c>
      <c r="P839" t="s">
        <v>5236</v>
      </c>
      <c r="Q839">
        <v>0</v>
      </c>
      <c r="R839" t="s">
        <v>5118</v>
      </c>
      <c r="S839" t="s">
        <v>12</v>
      </c>
      <c r="T839" t="s">
        <v>4923</v>
      </c>
      <c r="U839" t="s">
        <v>4924</v>
      </c>
      <c r="V839" t="s">
        <v>8936</v>
      </c>
      <c r="W839" t="s">
        <v>3667</v>
      </c>
      <c r="X839">
        <v>210.4</v>
      </c>
    </row>
    <row r="840" spans="1:24" x14ac:dyDescent="0.25">
      <c r="A840" t="s">
        <v>6063</v>
      </c>
      <c r="B840" t="s">
        <v>8908</v>
      </c>
      <c r="C840" t="s">
        <v>8909</v>
      </c>
      <c r="D840" t="s">
        <v>19</v>
      </c>
      <c r="E840" t="s">
        <v>4913</v>
      </c>
      <c r="F840" t="s">
        <v>1628</v>
      </c>
      <c r="G840">
        <f>IF(K840="Pick-up","PICKUPS",IF(K840="Staff drop-off","STAFF_DROPOFF",IF(K840="Replacements","REPLACEMENT",IF(K840="Central Stores Dispatch","CENTRAL STORES DISPATCH",IFNA(IFNA(VLOOKUP(F840,'Raw Platform Nov 4-6 2025'!C:C,1,FALSE),VLOOKUP(F840,'Raw Platform Nov 4-6 2025'!D:D,1,FALSE)),IFNA(VLOOKUP(F840,'Glovo Raw Nov 4-6 2025'!B:B,1,FALSE),"Not Matched"))))))</f>
      </c>
      <c r="H840">
        <f>COUNTIF(F:F,F840)</f>
      </c>
      <c r="I840" t="s">
        <v>8937</v>
      </c>
      <c r="J840" t="s">
        <v>4915</v>
      </c>
      <c r="K840" t="s">
        <v>4927</v>
      </c>
      <c r="L840" t="s">
        <v>8938</v>
      </c>
      <c r="M840" t="s">
        <v>6120</v>
      </c>
      <c r="N840" t="s">
        <v>8939</v>
      </c>
      <c r="O840" t="s">
        <v>47</v>
      </c>
      <c r="P840" t="s">
        <v>6093</v>
      </c>
      <c r="Q840">
        <v>0</v>
      </c>
      <c r="R840" t="s">
        <v>5118</v>
      </c>
      <c r="S840" t="s">
        <v>12</v>
      </c>
      <c r="T840" t="s">
        <v>4923</v>
      </c>
      <c r="U840" t="s">
        <v>4924</v>
      </c>
      <c r="V840" t="s">
        <v>8940</v>
      </c>
      <c r="W840" t="s">
        <v>3667</v>
      </c>
      <c r="X840">
        <v>132.2</v>
      </c>
    </row>
    <row r="841" spans="1:24" x14ac:dyDescent="0.25">
      <c r="A841" t="s">
        <v>6063</v>
      </c>
      <c r="B841" t="s">
        <v>8908</v>
      </c>
      <c r="C841" t="s">
        <v>8909</v>
      </c>
      <c r="D841" t="s">
        <v>19</v>
      </c>
      <c r="E841" t="s">
        <v>4913</v>
      </c>
      <c r="F841" t="s">
        <v>8941</v>
      </c>
      <c r="G841">
        <f>IF(K841="Pick-up","PICKUPS",IF(K841="Staff drop-off","STAFF_DROPOFF",IF(K841="Replacements","REPLACEMENT",IF(K841="Central Stores Dispatch","CENTRAL STORES DISPATCH",IFNA(IFNA(VLOOKUP(F841,'Raw Platform Nov 4-6 2025'!C:C,1,FALSE),VLOOKUP(F841,'Raw Platform Nov 4-6 2025'!D:D,1,FALSE)),IFNA(VLOOKUP(F841,'Glovo Raw Nov 4-6 2025'!B:B,1,FALSE),"Not Matched"))))))</f>
      </c>
      <c r="H841">
        <f>COUNTIF(F:F,F841)</f>
      </c>
      <c r="I841" t="s">
        <v>8942</v>
      </c>
      <c r="J841" t="s">
        <v>5289</v>
      </c>
      <c r="K841" t="s">
        <v>4927</v>
      </c>
      <c r="L841" t="s">
        <v>7729</v>
      </c>
      <c r="M841" t="s">
        <v>6120</v>
      </c>
      <c r="N841" t="s">
        <v>5292</v>
      </c>
      <c r="O841" t="s">
        <v>113</v>
      </c>
      <c r="P841" t="s">
        <v>7024</v>
      </c>
      <c r="Q841">
        <v>0</v>
      </c>
      <c r="R841" t="s">
        <v>5118</v>
      </c>
      <c r="S841" t="s">
        <v>5293</v>
      </c>
      <c r="T841" t="s">
        <v>4923</v>
      </c>
      <c r="U841" t="s">
        <v>4924</v>
      </c>
      <c r="V841" t="s">
        <v>8943</v>
      </c>
      <c r="W841" t="s">
        <v>3667</v>
      </c>
      <c r="X841">
        <v>185.1</v>
      </c>
    </row>
    <row r="842" spans="1:24" x14ac:dyDescent="0.25">
      <c r="A842" t="s">
        <v>6063</v>
      </c>
      <c r="B842" t="s">
        <v>8908</v>
      </c>
      <c r="C842" t="s">
        <v>8909</v>
      </c>
      <c r="D842" t="s">
        <v>19</v>
      </c>
      <c r="E842" t="s">
        <v>4913</v>
      </c>
      <c r="F842" t="s">
        <v>8944</v>
      </c>
      <c r="G842">
        <f>IF(K842="Pick-up","PICKUPS",IF(K842="Staff drop-off","STAFF_DROPOFF",IF(K842="Replacements","REPLACEMENT",IF(K842="Central Stores Dispatch","CENTRAL STORES DISPATCH",IFNA(IFNA(VLOOKUP(F842,'Raw Platform Nov 4-6 2025'!C:C,1,FALSE),VLOOKUP(F842,'Raw Platform Nov 4-6 2025'!D:D,1,FALSE)),IFNA(VLOOKUP(F842,'Glovo Raw Nov 4-6 2025'!B:B,1,FALSE),"Not Matched"))))))</f>
      </c>
      <c r="H842">
        <f>COUNTIF(F:F,F842)</f>
      </c>
      <c r="I842" t="s">
        <v>8945</v>
      </c>
      <c r="J842" t="s">
        <v>5289</v>
      </c>
      <c r="K842" t="s">
        <v>4927</v>
      </c>
      <c r="L842" t="s">
        <v>7729</v>
      </c>
      <c r="M842" t="s">
        <v>6120</v>
      </c>
      <c r="N842" t="s">
        <v>5292</v>
      </c>
      <c r="O842" t="s">
        <v>113</v>
      </c>
      <c r="P842" t="s">
        <v>7024</v>
      </c>
      <c r="Q842">
        <v>0</v>
      </c>
      <c r="R842" t="s">
        <v>5118</v>
      </c>
      <c r="S842" t="s">
        <v>5293</v>
      </c>
      <c r="T842" t="s">
        <v>4923</v>
      </c>
      <c r="U842" t="s">
        <v>4924</v>
      </c>
      <c r="V842" t="s">
        <v>8946</v>
      </c>
      <c r="W842" t="s">
        <v>3667</v>
      </c>
      <c r="X842">
        <v>185.1</v>
      </c>
    </row>
    <row r="843" spans="1:24" x14ac:dyDescent="0.25">
      <c r="A843" t="s">
        <v>6063</v>
      </c>
      <c r="B843" t="s">
        <v>8908</v>
      </c>
      <c r="C843" t="s">
        <v>8909</v>
      </c>
      <c r="D843" t="s">
        <v>19</v>
      </c>
      <c r="E843" t="s">
        <v>4913</v>
      </c>
      <c r="F843" t="s">
        <v>2033</v>
      </c>
      <c r="G843">
        <f>IF(K843="Pick-up","PICKUPS",IF(K843="Staff drop-off","STAFF_DROPOFF",IF(K843="Replacements","REPLACEMENT",IF(K843="Central Stores Dispatch","CENTRAL STORES DISPATCH",IFNA(IFNA(VLOOKUP(F843,'Raw Platform Nov 4-6 2025'!C:C,1,FALSE),VLOOKUP(F843,'Raw Platform Nov 4-6 2025'!D:D,1,FALSE)),IFNA(VLOOKUP(F843,'Glovo Raw Nov 4-6 2025'!B:B,1,FALSE),"Not Matched"))))))</f>
      </c>
      <c r="H843">
        <f>COUNTIF(F:F,F843)</f>
      </c>
      <c r="I843" t="s">
        <v>8947</v>
      </c>
      <c r="J843" t="s">
        <v>4915</v>
      </c>
      <c r="K843" t="s">
        <v>4927</v>
      </c>
      <c r="L843" t="s">
        <v>8948</v>
      </c>
      <c r="M843" t="s">
        <v>8949</v>
      </c>
      <c r="N843" t="s">
        <v>8375</v>
      </c>
      <c r="O843" t="s">
        <v>9</v>
      </c>
      <c r="P843" t="s">
        <v>7586</v>
      </c>
      <c r="Q843">
        <v>0</v>
      </c>
      <c r="R843" t="s">
        <v>5118</v>
      </c>
      <c r="S843" t="s">
        <v>12</v>
      </c>
      <c r="T843" t="s">
        <v>4923</v>
      </c>
      <c r="U843" t="s">
        <v>4924</v>
      </c>
      <c r="V843" t="s">
        <v>8950</v>
      </c>
      <c r="W843" t="s">
        <v>3667</v>
      </c>
      <c r="X843">
        <v>233.4</v>
      </c>
    </row>
    <row r="844" spans="1:24" x14ac:dyDescent="0.25">
      <c r="A844" t="s">
        <v>6063</v>
      </c>
      <c r="B844" t="s">
        <v>8908</v>
      </c>
      <c r="C844" t="s">
        <v>8909</v>
      </c>
      <c r="D844" t="s">
        <v>19</v>
      </c>
      <c r="E844" t="s">
        <v>4913</v>
      </c>
      <c r="F844" t="s">
        <v>8951</v>
      </c>
      <c r="G844">
        <f>IF(K844="Pick-up","PICKUPS",IF(K844="Staff drop-off","STAFF_DROPOFF",IF(K844="Replacements","REPLACEMENT",IF(K844="Central Stores Dispatch","CENTRAL STORES DISPATCH",IFNA(IFNA(VLOOKUP(F844,'Raw Platform Nov 4-6 2025'!C:C,1,FALSE),VLOOKUP(F844,'Raw Platform Nov 4-6 2025'!D:D,1,FALSE)),IFNA(VLOOKUP(F844,'Glovo Raw Nov 4-6 2025'!B:B,1,FALSE),"Not Matched"))))))</f>
      </c>
      <c r="H844">
        <f>COUNTIF(F:F,F844)</f>
      </c>
      <c r="I844" t="s">
        <v>8952</v>
      </c>
      <c r="J844" t="s">
        <v>5289</v>
      </c>
      <c r="K844" t="s">
        <v>4927</v>
      </c>
      <c r="L844" t="s">
        <v>7729</v>
      </c>
      <c r="M844" t="s">
        <v>6120</v>
      </c>
      <c r="N844" t="s">
        <v>6458</v>
      </c>
      <c r="O844" t="s">
        <v>113</v>
      </c>
      <c r="P844" t="s">
        <v>5271</v>
      </c>
      <c r="Q844">
        <v>0</v>
      </c>
      <c r="R844" t="s">
        <v>5118</v>
      </c>
      <c r="S844" t="s">
        <v>5293</v>
      </c>
      <c r="T844" t="s">
        <v>4923</v>
      </c>
      <c r="U844" t="s">
        <v>4924</v>
      </c>
      <c r="V844" t="s">
        <v>8953</v>
      </c>
      <c r="W844" t="s">
        <v>3667</v>
      </c>
      <c r="X844">
        <v>182.8</v>
      </c>
    </row>
    <row r="845" spans="1:24" x14ac:dyDescent="0.25">
      <c r="A845" t="s">
        <v>6063</v>
      </c>
      <c r="B845" t="s">
        <v>8908</v>
      </c>
      <c r="C845" t="s">
        <v>8909</v>
      </c>
      <c r="D845" t="s">
        <v>19</v>
      </c>
      <c r="E845" t="s">
        <v>4913</v>
      </c>
      <c r="F845" t="s">
        <v>2193</v>
      </c>
      <c r="G845">
        <f>IF(K845="Pick-up","PICKUPS",IF(K845="Staff drop-off","STAFF_DROPOFF",IF(K845="Replacements","REPLACEMENT",IF(K845="Central Stores Dispatch","CENTRAL STORES DISPATCH",IFNA(IFNA(VLOOKUP(F845,'Raw Platform Nov 4-6 2025'!C:C,1,FALSE),VLOOKUP(F845,'Raw Platform Nov 4-6 2025'!D:D,1,FALSE)),IFNA(VLOOKUP(F845,'Glovo Raw Nov 4-6 2025'!B:B,1,FALSE),"Not Matched"))))))</f>
      </c>
      <c r="H845">
        <f>COUNTIF(F:F,F845)</f>
      </c>
      <c r="I845" t="s">
        <v>8954</v>
      </c>
      <c r="J845" t="s">
        <v>4915</v>
      </c>
      <c r="K845" t="s">
        <v>4927</v>
      </c>
      <c r="L845" t="s">
        <v>8955</v>
      </c>
      <c r="M845" t="s">
        <v>8956</v>
      </c>
      <c r="N845" t="s">
        <v>8957</v>
      </c>
      <c r="O845" t="s">
        <v>16</v>
      </c>
      <c r="P845" t="s">
        <v>6802</v>
      </c>
      <c r="Q845">
        <v>0</v>
      </c>
      <c r="R845" t="s">
        <v>5118</v>
      </c>
      <c r="S845" t="s">
        <v>45</v>
      </c>
      <c r="T845" t="s">
        <v>4923</v>
      </c>
      <c r="U845" t="s">
        <v>4924</v>
      </c>
      <c r="V845" t="s">
        <v>8958</v>
      </c>
      <c r="W845" t="s">
        <v>3667</v>
      </c>
      <c r="X845">
        <v>219.6</v>
      </c>
    </row>
    <row r="846" spans="1:24" x14ac:dyDescent="0.25">
      <c r="A846" t="s">
        <v>6063</v>
      </c>
      <c r="B846" t="s">
        <v>8908</v>
      </c>
      <c r="C846" t="s">
        <v>8909</v>
      </c>
      <c r="D846" t="s">
        <v>191</v>
      </c>
      <c r="E846" t="s">
        <v>4913</v>
      </c>
      <c r="F846" t="s">
        <v>2393</v>
      </c>
      <c r="G846">
        <f>IF(K846="Pick-up","PICKUPS",IF(K846="Staff drop-off","STAFF_DROPOFF",IF(K846="Replacements","REPLACEMENT",IF(K846="Central Stores Dispatch","CENTRAL STORES DISPATCH",IFNA(IFNA(VLOOKUP(F846,'Raw Platform Nov 4-6 2025'!C:C,1,FALSE),VLOOKUP(F846,'Raw Platform Nov 4-6 2025'!D:D,1,FALSE)),IFNA(VLOOKUP(F846,'Glovo Raw Nov 4-6 2025'!B:B,1,FALSE),"Not Matched"))))))</f>
      </c>
      <c r="H846">
        <f>COUNTIF(F:F,F846)</f>
      </c>
      <c r="I846" t="s">
        <v>8959</v>
      </c>
      <c r="J846" t="s">
        <v>4915</v>
      </c>
      <c r="K846" t="s">
        <v>4927</v>
      </c>
      <c r="L846" t="s">
        <v>8960</v>
      </c>
      <c r="M846" t="s">
        <v>8961</v>
      </c>
      <c r="N846" t="s">
        <v>8962</v>
      </c>
      <c r="O846" t="s">
        <v>16</v>
      </c>
      <c r="P846" t="s">
        <v>5328</v>
      </c>
      <c r="Q846">
        <v>0</v>
      </c>
      <c r="R846" t="s">
        <v>5118</v>
      </c>
      <c r="S846" t="s">
        <v>641</v>
      </c>
      <c r="T846" t="s">
        <v>4923</v>
      </c>
      <c r="U846" t="s">
        <v>4924</v>
      </c>
      <c r="V846" t="s">
        <v>8963</v>
      </c>
      <c r="W846" t="s">
        <v>3667</v>
      </c>
      <c r="X846">
        <v>205.8</v>
      </c>
    </row>
    <row r="847" spans="1:24" x14ac:dyDescent="0.25">
      <c r="A847" t="s">
        <v>6063</v>
      </c>
      <c r="B847" t="s">
        <v>8908</v>
      </c>
      <c r="C847" t="s">
        <v>8909</v>
      </c>
      <c r="D847" t="s">
        <v>19</v>
      </c>
      <c r="E847" t="s">
        <v>4913</v>
      </c>
      <c r="F847" t="s">
        <v>8964</v>
      </c>
      <c r="G847">
        <f>IF(K847="Pick-up","PICKUPS",IF(K847="Staff drop-off","STAFF_DROPOFF",IF(K847="Replacements","REPLACEMENT",IF(K847="Central Stores Dispatch","CENTRAL STORES DISPATCH",IFNA(IFNA(VLOOKUP(F847,'Raw Platform Nov 4-6 2025'!C:C,1,FALSE),VLOOKUP(F847,'Raw Platform Nov 4-6 2025'!D:D,1,FALSE)),IFNA(VLOOKUP(F847,'Glovo Raw Nov 4-6 2025'!B:B,1,FALSE),"Not Matched"))))))</f>
      </c>
      <c r="H847">
        <f>COUNTIF(F:F,F847)</f>
      </c>
      <c r="I847" t="s">
        <v>8965</v>
      </c>
      <c r="J847" t="s">
        <v>4915</v>
      </c>
      <c r="K847" t="s">
        <v>4927</v>
      </c>
      <c r="L847" t="s">
        <v>8966</v>
      </c>
      <c r="M847" t="s">
        <v>6120</v>
      </c>
      <c r="N847" t="s">
        <v>8967</v>
      </c>
      <c r="O847" t="s">
        <v>53</v>
      </c>
      <c r="P847" t="s">
        <v>5247</v>
      </c>
      <c r="Q847">
        <v>0</v>
      </c>
      <c r="R847" t="s">
        <v>5118</v>
      </c>
      <c r="S847" t="s">
        <v>12</v>
      </c>
      <c r="T847" t="s">
        <v>4923</v>
      </c>
      <c r="U847" t="s">
        <v>4924</v>
      </c>
      <c r="V847" t="s">
        <v>8968</v>
      </c>
      <c r="W847" t="s">
        <v>3667</v>
      </c>
      <c r="X847">
        <v>148.3</v>
      </c>
    </row>
    <row r="848" spans="1:24" x14ac:dyDescent="0.25">
      <c r="A848" t="s">
        <v>6063</v>
      </c>
      <c r="B848" t="s">
        <v>8908</v>
      </c>
      <c r="C848" t="s">
        <v>8909</v>
      </c>
      <c r="D848" t="s">
        <v>19</v>
      </c>
      <c r="E848" t="s">
        <v>4913</v>
      </c>
      <c r="F848" t="s">
        <v>3147</v>
      </c>
      <c r="G848">
        <f>IF(K848="Pick-up","PICKUPS",IF(K848="Staff drop-off","STAFF_DROPOFF",IF(K848="Replacements","REPLACEMENT",IF(K848="Central Stores Dispatch","CENTRAL STORES DISPATCH",IFNA(IFNA(VLOOKUP(F848,'Raw Platform Nov 4-6 2025'!C:C,1,FALSE),VLOOKUP(F848,'Raw Platform Nov 4-6 2025'!D:D,1,FALSE)),IFNA(VLOOKUP(F848,'Glovo Raw Nov 4-6 2025'!B:B,1,FALSE),"Not Matched"))))))</f>
      </c>
      <c r="H848">
        <f>COUNTIF(F:F,F848)</f>
      </c>
      <c r="I848" t="s">
        <v>8969</v>
      </c>
      <c r="J848" t="s">
        <v>4915</v>
      </c>
      <c r="K848" t="s">
        <v>4927</v>
      </c>
      <c r="L848" t="s">
        <v>8970</v>
      </c>
      <c r="M848" t="s">
        <v>6120</v>
      </c>
      <c r="N848" t="s">
        <v>8971</v>
      </c>
      <c r="O848" t="s">
        <v>9</v>
      </c>
      <c r="P848" t="s">
        <v>4962</v>
      </c>
      <c r="Q848">
        <v>0</v>
      </c>
      <c r="R848" t="s">
        <v>5118</v>
      </c>
      <c r="S848" t="s">
        <v>35</v>
      </c>
      <c r="T848" t="s">
        <v>4923</v>
      </c>
      <c r="U848" t="s">
        <v>4924</v>
      </c>
      <c r="V848" t="s">
        <v>8972</v>
      </c>
      <c r="W848" t="s">
        <v>3667</v>
      </c>
      <c r="X848">
        <v>180.5</v>
      </c>
    </row>
    <row r="849" spans="1:24" x14ac:dyDescent="0.25">
      <c r="A849" t="s">
        <v>6063</v>
      </c>
      <c r="B849" t="s">
        <v>8908</v>
      </c>
      <c r="C849" t="s">
        <v>8909</v>
      </c>
      <c r="D849" t="s">
        <v>19</v>
      </c>
      <c r="E849" t="s">
        <v>4913</v>
      </c>
      <c r="F849" t="s">
        <v>2579</v>
      </c>
      <c r="G849">
        <f>IF(K849="Pick-up","PICKUPS",IF(K849="Staff drop-off","STAFF_DROPOFF",IF(K849="Replacements","REPLACEMENT",IF(K849="Central Stores Dispatch","CENTRAL STORES DISPATCH",IFNA(IFNA(VLOOKUP(F849,'Raw Platform Nov 4-6 2025'!C:C,1,FALSE),VLOOKUP(F849,'Raw Platform Nov 4-6 2025'!D:D,1,FALSE)),IFNA(VLOOKUP(F849,'Glovo Raw Nov 4-6 2025'!B:B,1,FALSE),"Not Matched"))))))</f>
      </c>
      <c r="H849">
        <f>COUNTIF(F:F,F849)</f>
      </c>
      <c r="I849" t="s">
        <v>8973</v>
      </c>
      <c r="J849" t="s">
        <v>4915</v>
      </c>
      <c r="K849" t="s">
        <v>4927</v>
      </c>
      <c r="L849" t="s">
        <v>8974</v>
      </c>
      <c r="M849" t="s">
        <v>6120</v>
      </c>
      <c r="N849" t="s">
        <v>8975</v>
      </c>
      <c r="O849" t="s">
        <v>5937</v>
      </c>
      <c r="P849" t="s">
        <v>6985</v>
      </c>
      <c r="Q849">
        <v>0</v>
      </c>
      <c r="R849" t="s">
        <v>5118</v>
      </c>
      <c r="S849" t="s">
        <v>12</v>
      </c>
      <c r="T849" t="s">
        <v>4923</v>
      </c>
      <c r="U849" t="s">
        <v>4924</v>
      </c>
      <c r="V849" t="s">
        <v>8976</v>
      </c>
      <c r="W849" t="s">
        <v>3667</v>
      </c>
      <c r="X849">
        <v>332.3</v>
      </c>
    </row>
    <row r="850" spans="1:24" x14ac:dyDescent="0.25">
      <c r="A850" t="s">
        <v>6063</v>
      </c>
      <c r="B850" t="s">
        <v>8908</v>
      </c>
      <c r="C850" t="s">
        <v>8909</v>
      </c>
      <c r="D850" t="s">
        <v>191</v>
      </c>
      <c r="E850" t="s">
        <v>4913</v>
      </c>
      <c r="F850" t="s">
        <v>3176</v>
      </c>
      <c r="G850">
        <f>IF(K850="Pick-up","PICKUPS",IF(K850="Staff drop-off","STAFF_DROPOFF",IF(K850="Replacements","REPLACEMENT",IF(K850="Central Stores Dispatch","CENTRAL STORES DISPATCH",IFNA(IFNA(VLOOKUP(F850,'Raw Platform Nov 4-6 2025'!C:C,1,FALSE),VLOOKUP(F850,'Raw Platform Nov 4-6 2025'!D:D,1,FALSE)),IFNA(VLOOKUP(F850,'Glovo Raw Nov 4-6 2025'!B:B,1,FALSE),"Not Matched"))))))</f>
      </c>
      <c r="H850">
        <f>COUNTIF(F:F,F850)</f>
      </c>
      <c r="I850" t="s">
        <v>8977</v>
      </c>
      <c r="J850" t="s">
        <v>63</v>
      </c>
      <c r="K850" t="s">
        <v>4916</v>
      </c>
      <c r="L850" t="s">
        <v>8978</v>
      </c>
      <c r="M850" t="s">
        <v>8979</v>
      </c>
      <c r="N850" t="s">
        <v>7215</v>
      </c>
      <c r="O850" t="s">
        <v>32</v>
      </c>
      <c r="P850" t="s">
        <v>8980</v>
      </c>
      <c r="Q850">
        <v>978</v>
      </c>
      <c r="R850" t="s">
        <v>5118</v>
      </c>
      <c r="S850" t="s">
        <v>641</v>
      </c>
      <c r="T850" t="s">
        <v>4923</v>
      </c>
      <c r="U850" t="s">
        <v>4924</v>
      </c>
      <c r="V850" t="s">
        <v>8981</v>
      </c>
      <c r="W850" t="s">
        <v>3667</v>
      </c>
      <c r="X850">
        <v>316.2</v>
      </c>
    </row>
    <row r="851" spans="1:24" x14ac:dyDescent="0.25">
      <c r="A851" t="s">
        <v>5130</v>
      </c>
      <c r="B851" t="s">
        <v>8982</v>
      </c>
      <c r="C851" t="s">
        <v>8983</v>
      </c>
      <c r="D851" t="s">
        <v>24</v>
      </c>
      <c r="E851" t="s">
        <v>4913</v>
      </c>
      <c r="F851" t="s">
        <v>8984</v>
      </c>
      <c r="G851">
        <f>IF(K851="Pick-up","PICKUPS",IF(K851="Staff drop-off","STAFF_DROPOFF",IF(K851="Replacements","REPLACEMENT",IF(K851="Central Stores Dispatch","CENTRAL STORES DISPATCH",IFNA(IFNA(VLOOKUP(F851,'Raw Platform Nov 4-6 2025'!C:C,1,FALSE),VLOOKUP(F851,'Raw Platform Nov 4-6 2025'!D:D,1,FALSE)),IFNA(VLOOKUP(F851,'Glovo Raw Nov 4-6 2025'!B:B,1,FALSE),"Not Matched"))))))</f>
      </c>
      <c r="H851">
        <f>COUNTIF(F:F,F851)</f>
      </c>
      <c r="I851" t="s">
        <v>8985</v>
      </c>
      <c r="J851" t="s">
        <v>5289</v>
      </c>
      <c r="K851" t="s">
        <v>4927</v>
      </c>
      <c r="L851" t="s">
        <v>8986</v>
      </c>
      <c r="M851" t="s">
        <v>6194</v>
      </c>
      <c r="N851" t="s">
        <v>8987</v>
      </c>
      <c r="O851" t="s">
        <v>5013</v>
      </c>
      <c r="P851" t="s">
        <v>5810</v>
      </c>
      <c r="Q851">
        <v>0</v>
      </c>
      <c r="R851" t="s">
        <v>4922</v>
      </c>
      <c r="S851" t="s">
        <v>116</v>
      </c>
      <c r="T851" t="s">
        <v>4923</v>
      </c>
      <c r="U851" t="s">
        <v>4924</v>
      </c>
      <c r="V851" t="s">
        <v>8988</v>
      </c>
      <c r="W851" t="s">
        <v>3667</v>
      </c>
      <c r="X851">
        <v>100</v>
      </c>
    </row>
    <row r="852" spans="1:24" x14ac:dyDescent="0.25">
      <c r="A852" t="s">
        <v>5130</v>
      </c>
      <c r="B852" t="s">
        <v>8982</v>
      </c>
      <c r="C852" t="s">
        <v>8983</v>
      </c>
      <c r="D852" t="s">
        <v>24</v>
      </c>
      <c r="E852" t="s">
        <v>4913</v>
      </c>
      <c r="F852" t="s">
        <v>8989</v>
      </c>
      <c r="G852">
        <f>IF(K852="Pick-up","PICKUPS",IF(K852="Staff drop-off","STAFF_DROPOFF",IF(K852="Replacements","REPLACEMENT",IF(K852="Central Stores Dispatch","CENTRAL STORES DISPATCH",IFNA(IFNA(VLOOKUP(F852,'Raw Platform Nov 4-6 2025'!C:C,1,FALSE),VLOOKUP(F852,'Raw Platform Nov 4-6 2025'!D:D,1,FALSE)),IFNA(VLOOKUP(F852,'Glovo Raw Nov 4-6 2025'!B:B,1,FALSE),"Not Matched"))))))</f>
      </c>
      <c r="H852">
        <f>COUNTIF(F:F,F852)</f>
      </c>
      <c r="I852" t="s">
        <v>8990</v>
      </c>
      <c r="J852" t="s">
        <v>5289</v>
      </c>
      <c r="K852" t="s">
        <v>4927</v>
      </c>
      <c r="L852" t="s">
        <v>8991</v>
      </c>
      <c r="M852" t="s">
        <v>6194</v>
      </c>
      <c r="N852" t="s">
        <v>5386</v>
      </c>
      <c r="O852" t="s">
        <v>73</v>
      </c>
      <c r="P852" t="s">
        <v>5387</v>
      </c>
      <c r="Q852">
        <v>0</v>
      </c>
      <c r="R852" t="s">
        <v>4922</v>
      </c>
      <c r="S852" t="s">
        <v>116</v>
      </c>
      <c r="T852" t="s">
        <v>4923</v>
      </c>
      <c r="U852" t="s">
        <v>4924</v>
      </c>
      <c r="V852" t="s">
        <v>8992</v>
      </c>
      <c r="W852" t="s">
        <v>3667</v>
      </c>
      <c r="X852">
        <v>152.9</v>
      </c>
    </row>
    <row r="853" spans="1:24" x14ac:dyDescent="0.25">
      <c r="A853" t="s">
        <v>4932</v>
      </c>
      <c r="B853" t="s">
        <v>8982</v>
      </c>
      <c r="C853" t="s">
        <v>8983</v>
      </c>
      <c r="D853" t="s">
        <v>13</v>
      </c>
      <c r="E853" t="s">
        <v>4913</v>
      </c>
      <c r="F853" t="s">
        <v>1342</v>
      </c>
      <c r="G853">
        <f>IF(K853="Pick-up","PICKUPS",IF(K853="Staff drop-off","STAFF_DROPOFF",IF(K853="Replacements","REPLACEMENT",IF(K853="Central Stores Dispatch","CENTRAL STORES DISPATCH",IFNA(IFNA(VLOOKUP(F853,'Raw Platform Nov 4-6 2025'!C:C,1,FALSE),VLOOKUP(F853,'Raw Platform Nov 4-6 2025'!D:D,1,FALSE)),IFNA(VLOOKUP(F853,'Glovo Raw Nov 4-6 2025'!B:B,1,FALSE),"Not Matched"))))))</f>
      </c>
      <c r="H853">
        <f>COUNTIF(F:F,F853)</f>
      </c>
      <c r="I853" t="s">
        <v>8993</v>
      </c>
      <c r="J853" t="s">
        <v>4915</v>
      </c>
      <c r="K853" t="s">
        <v>4927</v>
      </c>
      <c r="L853" t="s">
        <v>8994</v>
      </c>
      <c r="M853" t="s">
        <v>8995</v>
      </c>
      <c r="N853" t="s">
        <v>8996</v>
      </c>
      <c r="O853" t="s">
        <v>2009</v>
      </c>
      <c r="P853" t="s">
        <v>5541</v>
      </c>
      <c r="Q853">
        <v>0</v>
      </c>
      <c r="R853" t="s">
        <v>4922</v>
      </c>
      <c r="S853" t="s">
        <v>29</v>
      </c>
      <c r="T853" t="s">
        <v>4923</v>
      </c>
      <c r="U853" t="s">
        <v>4924</v>
      </c>
      <c r="V853" t="s">
        <v>8997</v>
      </c>
      <c r="W853" t="s">
        <v>3667</v>
      </c>
      <c r="X853">
        <v>100</v>
      </c>
    </row>
    <row r="854" spans="1:24" x14ac:dyDescent="0.25">
      <c r="A854" t="s">
        <v>5130</v>
      </c>
      <c r="B854" t="s">
        <v>8982</v>
      </c>
      <c r="C854" t="s">
        <v>8983</v>
      </c>
      <c r="D854" t="s">
        <v>24</v>
      </c>
      <c r="E854" t="s">
        <v>4913</v>
      </c>
      <c r="F854" t="s">
        <v>680</v>
      </c>
      <c r="G854">
        <f>IF(K854="Pick-up","PICKUPS",IF(K854="Staff drop-off","STAFF_DROPOFF",IF(K854="Replacements","REPLACEMENT",IF(K854="Central Stores Dispatch","CENTRAL STORES DISPATCH",IFNA(IFNA(VLOOKUP(F854,'Raw Platform Nov 4-6 2025'!C:C,1,FALSE),VLOOKUP(F854,'Raw Platform Nov 4-6 2025'!D:D,1,FALSE)),IFNA(VLOOKUP(F854,'Glovo Raw Nov 4-6 2025'!B:B,1,FALSE),"Not Matched"))))))</f>
      </c>
      <c r="H854">
        <f>COUNTIF(F:F,F854)</f>
      </c>
      <c r="I854" t="s">
        <v>8998</v>
      </c>
      <c r="J854" t="s">
        <v>5341</v>
      </c>
      <c r="K854" t="s">
        <v>4916</v>
      </c>
      <c r="L854" t="s">
        <v>8999</v>
      </c>
      <c r="M854" t="s">
        <v>9000</v>
      </c>
      <c r="N854" t="s">
        <v>9001</v>
      </c>
      <c r="O854" t="s">
        <v>4956</v>
      </c>
      <c r="P854" t="s">
        <v>4930</v>
      </c>
      <c r="Q854">
        <v>2260</v>
      </c>
      <c r="R854" t="s">
        <v>4922</v>
      </c>
      <c r="S854" t="s">
        <v>5136</v>
      </c>
      <c r="T854" t="s">
        <v>4923</v>
      </c>
      <c r="U854" t="s">
        <v>4924</v>
      </c>
      <c r="V854" t="s">
        <v>9002</v>
      </c>
      <c r="W854" t="s">
        <v>3667</v>
      </c>
      <c r="X854">
        <v>100</v>
      </c>
    </row>
    <row r="855" spans="1:24" x14ac:dyDescent="0.25">
      <c r="A855" t="s">
        <v>4910</v>
      </c>
      <c r="B855" t="s">
        <v>8982</v>
      </c>
      <c r="C855" t="s">
        <v>8983</v>
      </c>
      <c r="D855" t="s">
        <v>13</v>
      </c>
      <c r="E855" t="s">
        <v>4913</v>
      </c>
      <c r="F855" t="s">
        <v>624</v>
      </c>
      <c r="G855">
        <f>IF(K855="Pick-up","PICKUPS",IF(K855="Staff drop-off","STAFF_DROPOFF",IF(K855="Replacements","REPLACEMENT",IF(K855="Central Stores Dispatch","CENTRAL STORES DISPATCH",IFNA(IFNA(VLOOKUP(F855,'Raw Platform Nov 4-6 2025'!C:C,1,FALSE),VLOOKUP(F855,'Raw Platform Nov 4-6 2025'!D:D,1,FALSE)),IFNA(VLOOKUP(F855,'Glovo Raw Nov 4-6 2025'!B:B,1,FALSE),"Not Matched"))))))</f>
      </c>
      <c r="H855">
        <f>COUNTIF(F:F,F855)</f>
      </c>
      <c r="I855" t="s">
        <v>9003</v>
      </c>
      <c r="J855" t="s">
        <v>4915</v>
      </c>
      <c r="K855" t="s">
        <v>4927</v>
      </c>
      <c r="L855" t="s">
        <v>9004</v>
      </c>
      <c r="M855" t="s">
        <v>9005</v>
      </c>
      <c r="N855" t="s">
        <v>5055</v>
      </c>
      <c r="O855" t="s">
        <v>4956</v>
      </c>
      <c r="P855" t="s">
        <v>5056</v>
      </c>
      <c r="Q855">
        <v>0</v>
      </c>
      <c r="R855" t="s">
        <v>4922</v>
      </c>
      <c r="S855" t="s">
        <v>12</v>
      </c>
      <c r="T855" t="s">
        <v>4923</v>
      </c>
      <c r="U855" t="s">
        <v>4924</v>
      </c>
      <c r="V855" t="s">
        <v>9006</v>
      </c>
      <c r="W855" t="s">
        <v>3667</v>
      </c>
      <c r="X855">
        <v>100</v>
      </c>
    </row>
    <row r="856" spans="1:24" x14ac:dyDescent="0.25">
      <c r="A856" t="s">
        <v>4932</v>
      </c>
      <c r="B856" t="s">
        <v>8982</v>
      </c>
      <c r="C856" t="s">
        <v>8983</v>
      </c>
      <c r="D856" t="s">
        <v>13</v>
      </c>
      <c r="E856" t="s">
        <v>4913</v>
      </c>
      <c r="F856" t="s">
        <v>104</v>
      </c>
      <c r="G856">
        <f>IF(K856="Pick-up","PICKUPS",IF(K856="Staff drop-off","STAFF_DROPOFF",IF(K856="Replacements","REPLACEMENT",IF(K856="Central Stores Dispatch","CENTRAL STORES DISPATCH",IFNA(IFNA(VLOOKUP(F856,'Raw Platform Nov 4-6 2025'!C:C,1,FALSE),VLOOKUP(F856,'Raw Platform Nov 4-6 2025'!D:D,1,FALSE)),IFNA(VLOOKUP(F856,'Glovo Raw Nov 4-6 2025'!B:B,1,FALSE),"Not Matched"))))))</f>
      </c>
      <c r="H856">
        <f>COUNTIF(F:F,F856)</f>
      </c>
      <c r="I856" t="s">
        <v>9007</v>
      </c>
      <c r="J856" t="s">
        <v>4915</v>
      </c>
      <c r="K856" t="s">
        <v>4927</v>
      </c>
      <c r="L856" t="s">
        <v>9008</v>
      </c>
      <c r="M856" t="s">
        <v>9009</v>
      </c>
      <c r="N856" t="s">
        <v>5012</v>
      </c>
      <c r="O856" t="s">
        <v>4990</v>
      </c>
      <c r="P856" t="s">
        <v>5013</v>
      </c>
      <c r="Q856">
        <v>0</v>
      </c>
      <c r="R856" t="s">
        <v>4922</v>
      </c>
      <c r="S856" t="s">
        <v>29</v>
      </c>
      <c r="T856" t="s">
        <v>4923</v>
      </c>
      <c r="U856" t="s">
        <v>4924</v>
      </c>
      <c r="V856" t="s">
        <v>9010</v>
      </c>
      <c r="W856" t="s">
        <v>3667</v>
      </c>
      <c r="X856">
        <v>100</v>
      </c>
    </row>
    <row r="857" spans="1:24" x14ac:dyDescent="0.25">
      <c r="A857" t="s">
        <v>5130</v>
      </c>
      <c r="B857" t="s">
        <v>8982</v>
      </c>
      <c r="C857" t="s">
        <v>8983</v>
      </c>
      <c r="D857" t="s">
        <v>24</v>
      </c>
      <c r="E857" t="s">
        <v>4913</v>
      </c>
      <c r="F857" t="s">
        <v>3872</v>
      </c>
      <c r="G857">
        <f>IF(K857="Pick-up","PICKUPS",IF(K857="Staff drop-off","STAFF_DROPOFF",IF(K857="Replacements","REPLACEMENT",IF(K857="Central Stores Dispatch","CENTRAL STORES DISPATCH",IFNA(IFNA(VLOOKUP(F857,'Raw Platform Nov 4-6 2025'!C:C,1,FALSE),VLOOKUP(F857,'Raw Platform Nov 4-6 2025'!D:D,1,FALSE)),IFNA(VLOOKUP(F857,'Glovo Raw Nov 4-6 2025'!B:B,1,FALSE),"Not Matched"))))))</f>
      </c>
      <c r="H857">
        <f>COUNTIF(F:F,F857)</f>
      </c>
      <c r="I857" t="s">
        <v>7069</v>
      </c>
      <c r="J857" t="s">
        <v>63</v>
      </c>
      <c r="K857" t="s">
        <v>4927</v>
      </c>
      <c r="L857" t="s">
        <v>9011</v>
      </c>
      <c r="M857" t="s">
        <v>5217</v>
      </c>
      <c r="N857" t="s">
        <v>9012</v>
      </c>
      <c r="O857" t="s">
        <v>53</v>
      </c>
      <c r="P857" t="s">
        <v>4984</v>
      </c>
      <c r="Q857">
        <v>0</v>
      </c>
      <c r="R857" t="s">
        <v>4922</v>
      </c>
      <c r="S857" t="s">
        <v>5136</v>
      </c>
      <c r="T857" t="s">
        <v>4923</v>
      </c>
      <c r="U857" t="s">
        <v>4924</v>
      </c>
      <c r="V857" t="s">
        <v>9013</v>
      </c>
      <c r="W857" t="s">
        <v>3667</v>
      </c>
      <c r="X857">
        <v>100</v>
      </c>
    </row>
    <row r="858" spans="1:24" x14ac:dyDescent="0.25">
      <c r="A858" t="s">
        <v>4932</v>
      </c>
      <c r="B858" t="s">
        <v>8982</v>
      </c>
      <c r="C858" t="s">
        <v>8983</v>
      </c>
      <c r="D858" t="s">
        <v>13</v>
      </c>
      <c r="E858" t="s">
        <v>4913</v>
      </c>
      <c r="F858" t="s">
        <v>198</v>
      </c>
      <c r="G858">
        <f>IF(K858="Pick-up","PICKUPS",IF(K858="Staff drop-off","STAFF_DROPOFF",IF(K858="Replacements","REPLACEMENT",IF(K858="Central Stores Dispatch","CENTRAL STORES DISPATCH",IFNA(IFNA(VLOOKUP(F858,'Raw Platform Nov 4-6 2025'!C:C,1,FALSE),VLOOKUP(F858,'Raw Platform Nov 4-6 2025'!D:D,1,FALSE)),IFNA(VLOOKUP(F858,'Glovo Raw Nov 4-6 2025'!B:B,1,FALSE),"Not Matched"))))))</f>
      </c>
      <c r="H858">
        <f>COUNTIF(F:F,F858)</f>
      </c>
      <c r="I858" t="s">
        <v>9014</v>
      </c>
      <c r="J858" t="s">
        <v>4915</v>
      </c>
      <c r="K858" t="s">
        <v>4927</v>
      </c>
      <c r="L858" t="s">
        <v>9015</v>
      </c>
      <c r="M858" t="s">
        <v>9016</v>
      </c>
      <c r="N858" t="s">
        <v>5055</v>
      </c>
      <c r="O858" t="s">
        <v>4956</v>
      </c>
      <c r="P858" t="s">
        <v>5056</v>
      </c>
      <c r="Q858">
        <v>0</v>
      </c>
      <c r="R858" t="s">
        <v>4922</v>
      </c>
      <c r="S858" t="s">
        <v>29</v>
      </c>
      <c r="T858" t="s">
        <v>4923</v>
      </c>
      <c r="U858" t="s">
        <v>4924</v>
      </c>
      <c r="V858" t="s">
        <v>9017</v>
      </c>
      <c r="W858" t="s">
        <v>3667</v>
      </c>
      <c r="X858">
        <v>100</v>
      </c>
    </row>
    <row r="859" spans="1:24" x14ac:dyDescent="0.25">
      <c r="A859" t="s">
        <v>4932</v>
      </c>
      <c r="B859" t="s">
        <v>8982</v>
      </c>
      <c r="C859" t="s">
        <v>8983</v>
      </c>
      <c r="D859" t="s">
        <v>13</v>
      </c>
      <c r="E859" t="s">
        <v>4913</v>
      </c>
      <c r="F859" t="s">
        <v>297</v>
      </c>
      <c r="G859">
        <f>IF(K859="Pick-up","PICKUPS",IF(K859="Staff drop-off","STAFF_DROPOFF",IF(K859="Replacements","REPLACEMENT",IF(K859="Central Stores Dispatch","CENTRAL STORES DISPATCH",IFNA(IFNA(VLOOKUP(F859,'Raw Platform Nov 4-6 2025'!C:C,1,FALSE),VLOOKUP(F859,'Raw Platform Nov 4-6 2025'!D:D,1,FALSE)),IFNA(VLOOKUP(F859,'Glovo Raw Nov 4-6 2025'!B:B,1,FALSE),"Not Matched"))))))</f>
      </c>
      <c r="H859">
        <f>COUNTIF(F:F,F859)</f>
      </c>
      <c r="I859" t="s">
        <v>9018</v>
      </c>
      <c r="J859" t="s">
        <v>4915</v>
      </c>
      <c r="K859" t="s">
        <v>4927</v>
      </c>
      <c r="L859" t="s">
        <v>9019</v>
      </c>
      <c r="M859" t="s">
        <v>9020</v>
      </c>
      <c r="N859" t="s">
        <v>9021</v>
      </c>
      <c r="O859" t="s">
        <v>47</v>
      </c>
      <c r="P859" t="s">
        <v>5541</v>
      </c>
      <c r="Q859">
        <v>0</v>
      </c>
      <c r="R859" t="s">
        <v>4922</v>
      </c>
      <c r="S859" t="s">
        <v>29</v>
      </c>
      <c r="T859" t="s">
        <v>4923</v>
      </c>
      <c r="U859" t="s">
        <v>4924</v>
      </c>
      <c r="V859" t="s">
        <v>9022</v>
      </c>
      <c r="W859" t="s">
        <v>3667</v>
      </c>
      <c r="X859">
        <v>100</v>
      </c>
    </row>
    <row r="860" spans="1:24" x14ac:dyDescent="0.25">
      <c r="A860" t="s">
        <v>4932</v>
      </c>
      <c r="B860" t="s">
        <v>8982</v>
      </c>
      <c r="C860" t="s">
        <v>8983</v>
      </c>
      <c r="D860" t="s">
        <v>13</v>
      </c>
      <c r="E860" t="s">
        <v>4913</v>
      </c>
      <c r="F860" t="s">
        <v>356</v>
      </c>
      <c r="G860">
        <f>IF(K860="Pick-up","PICKUPS",IF(K860="Staff drop-off","STAFF_DROPOFF",IF(K860="Replacements","REPLACEMENT",IF(K860="Central Stores Dispatch","CENTRAL STORES DISPATCH",IFNA(IFNA(VLOOKUP(F860,'Raw Platform Nov 4-6 2025'!C:C,1,FALSE),VLOOKUP(F860,'Raw Platform Nov 4-6 2025'!D:D,1,FALSE)),IFNA(VLOOKUP(F860,'Glovo Raw Nov 4-6 2025'!B:B,1,FALSE),"Not Matched"))))))</f>
      </c>
      <c r="H860">
        <f>COUNTIF(F:F,F860)</f>
      </c>
      <c r="I860" t="s">
        <v>9023</v>
      </c>
      <c r="J860" t="s">
        <v>4915</v>
      </c>
      <c r="K860" t="s">
        <v>4927</v>
      </c>
      <c r="L860" t="s">
        <v>9024</v>
      </c>
      <c r="M860" t="s">
        <v>9025</v>
      </c>
      <c r="N860" t="s">
        <v>9026</v>
      </c>
      <c r="O860" t="s">
        <v>2009</v>
      </c>
      <c r="P860" t="s">
        <v>5019</v>
      </c>
      <c r="Q860">
        <v>0</v>
      </c>
      <c r="R860" t="s">
        <v>4922</v>
      </c>
      <c r="S860" t="s">
        <v>29</v>
      </c>
      <c r="T860" t="s">
        <v>4923</v>
      </c>
      <c r="U860" t="s">
        <v>4924</v>
      </c>
      <c r="V860" t="s">
        <v>9027</v>
      </c>
      <c r="W860" t="s">
        <v>3667</v>
      </c>
      <c r="X860">
        <v>100</v>
      </c>
    </row>
    <row r="861" spans="1:24" x14ac:dyDescent="0.25">
      <c r="A861" t="s">
        <v>5130</v>
      </c>
      <c r="B861" t="s">
        <v>8982</v>
      </c>
      <c r="C861" t="s">
        <v>8983</v>
      </c>
      <c r="D861" t="s">
        <v>24</v>
      </c>
      <c r="E861" t="s">
        <v>4913</v>
      </c>
      <c r="F861" t="s">
        <v>430</v>
      </c>
      <c r="G861">
        <f>IF(K861="Pick-up","PICKUPS",IF(K861="Staff drop-off","STAFF_DROPOFF",IF(K861="Replacements","REPLACEMENT",IF(K861="Central Stores Dispatch","CENTRAL STORES DISPATCH",IFNA(IFNA(VLOOKUP(F861,'Raw Platform Nov 4-6 2025'!C:C,1,FALSE),VLOOKUP(F861,'Raw Platform Nov 4-6 2025'!D:D,1,FALSE)),IFNA(VLOOKUP(F861,'Glovo Raw Nov 4-6 2025'!B:B,1,FALSE),"Not Matched"))))))</f>
      </c>
      <c r="H861">
        <f>COUNTIF(F:F,F861)</f>
      </c>
      <c r="I861" t="s">
        <v>9028</v>
      </c>
      <c r="J861" t="s">
        <v>4915</v>
      </c>
      <c r="K861" t="s">
        <v>4927</v>
      </c>
      <c r="L861" t="s">
        <v>9029</v>
      </c>
      <c r="M861" t="s">
        <v>9030</v>
      </c>
      <c r="N861" t="s">
        <v>9031</v>
      </c>
      <c r="O861" t="s">
        <v>123</v>
      </c>
      <c r="P861" t="s">
        <v>7776</v>
      </c>
      <c r="Q861">
        <v>0</v>
      </c>
      <c r="R861" t="s">
        <v>4922</v>
      </c>
      <c r="S861" t="s">
        <v>5136</v>
      </c>
      <c r="T861" t="s">
        <v>4923</v>
      </c>
      <c r="U861" t="s">
        <v>4924</v>
      </c>
      <c r="V861" t="s">
        <v>9032</v>
      </c>
      <c r="W861" t="s">
        <v>3667</v>
      </c>
      <c r="X861">
        <v>113.8</v>
      </c>
    </row>
    <row r="862" spans="1:24" x14ac:dyDescent="0.25">
      <c r="A862" t="s">
        <v>5130</v>
      </c>
      <c r="B862" t="s">
        <v>8982</v>
      </c>
      <c r="C862" t="s">
        <v>8983</v>
      </c>
      <c r="D862" t="s">
        <v>24</v>
      </c>
      <c r="E862" t="s">
        <v>4913</v>
      </c>
      <c r="F862" t="s">
        <v>1240</v>
      </c>
      <c r="G862">
        <f>IF(K862="Pick-up","PICKUPS",IF(K862="Staff drop-off","STAFF_DROPOFF",IF(K862="Replacements","REPLACEMENT",IF(K862="Central Stores Dispatch","CENTRAL STORES DISPATCH",IFNA(IFNA(VLOOKUP(F862,'Raw Platform Nov 4-6 2025'!C:C,1,FALSE),VLOOKUP(F862,'Raw Platform Nov 4-6 2025'!D:D,1,FALSE)),IFNA(VLOOKUP(F862,'Glovo Raw Nov 4-6 2025'!B:B,1,FALSE),"Not Matched"))))))</f>
      </c>
      <c r="H862">
        <f>COUNTIF(F:F,F862)</f>
      </c>
      <c r="I862" t="s">
        <v>9033</v>
      </c>
      <c r="J862" t="s">
        <v>5341</v>
      </c>
      <c r="K862" t="s">
        <v>4927</v>
      </c>
      <c r="L862" t="s">
        <v>9034</v>
      </c>
      <c r="M862" t="s">
        <v>9035</v>
      </c>
      <c r="N862" t="s">
        <v>9036</v>
      </c>
      <c r="O862" t="s">
        <v>2009</v>
      </c>
      <c r="P862" t="s">
        <v>6235</v>
      </c>
      <c r="Q862">
        <v>0</v>
      </c>
      <c r="R862" t="s">
        <v>4922</v>
      </c>
      <c r="S862" t="s">
        <v>5136</v>
      </c>
      <c r="T862" t="s">
        <v>4923</v>
      </c>
      <c r="U862" t="s">
        <v>4924</v>
      </c>
      <c r="V862" t="s">
        <v>9037</v>
      </c>
      <c r="W862" t="s">
        <v>3667</v>
      </c>
      <c r="X862">
        <v>104.6</v>
      </c>
    </row>
    <row r="863" spans="1:24" x14ac:dyDescent="0.25">
      <c r="A863" t="s">
        <v>5231</v>
      </c>
      <c r="B863" t="s">
        <v>8982</v>
      </c>
      <c r="C863" t="s">
        <v>8983</v>
      </c>
      <c r="D863" t="s">
        <v>191</v>
      </c>
      <c r="E863" t="s">
        <v>4913</v>
      </c>
      <c r="F863" t="s">
        <v>461</v>
      </c>
      <c r="G863">
        <f>IF(K863="Pick-up","PICKUPS",IF(K863="Staff drop-off","STAFF_DROPOFF",IF(K863="Replacements","REPLACEMENT",IF(K863="Central Stores Dispatch","CENTRAL STORES DISPATCH",IFNA(IFNA(VLOOKUP(F863,'Raw Platform Nov 4-6 2025'!C:C,1,FALSE),VLOOKUP(F863,'Raw Platform Nov 4-6 2025'!D:D,1,FALSE)),IFNA(VLOOKUP(F863,'Glovo Raw Nov 4-6 2025'!B:B,1,FALSE),"Not Matched"))))))</f>
      </c>
      <c r="H863">
        <f>COUNTIF(F:F,F863)</f>
      </c>
      <c r="I863" t="s">
        <v>9038</v>
      </c>
      <c r="J863" t="s">
        <v>63</v>
      </c>
      <c r="K863" t="s">
        <v>4927</v>
      </c>
      <c r="L863" t="s">
        <v>9039</v>
      </c>
      <c r="M863" t="s">
        <v>9040</v>
      </c>
      <c r="N863" t="s">
        <v>9041</v>
      </c>
      <c r="O863" t="s">
        <v>4962</v>
      </c>
      <c r="P863" t="s">
        <v>4963</v>
      </c>
      <c r="Q863">
        <v>0</v>
      </c>
      <c r="R863" t="s">
        <v>4922</v>
      </c>
      <c r="S863" t="s">
        <v>5184</v>
      </c>
      <c r="T863" t="s">
        <v>4923</v>
      </c>
      <c r="U863" t="s">
        <v>4924</v>
      </c>
      <c r="V863" t="s">
        <v>9042</v>
      </c>
      <c r="W863" t="s">
        <v>3667</v>
      </c>
      <c r="X863">
        <v>100</v>
      </c>
    </row>
    <row r="864" spans="1:24" x14ac:dyDescent="0.25">
      <c r="A864" t="s">
        <v>5130</v>
      </c>
      <c r="B864" t="s">
        <v>8982</v>
      </c>
      <c r="C864" t="s">
        <v>8983</v>
      </c>
      <c r="D864" t="s">
        <v>24</v>
      </c>
      <c r="E864" t="s">
        <v>4913</v>
      </c>
      <c r="F864" t="s">
        <v>1326</v>
      </c>
      <c r="G864">
        <f>IF(K864="Pick-up","PICKUPS",IF(K864="Staff drop-off","STAFF_DROPOFF",IF(K864="Replacements","REPLACEMENT",IF(K864="Central Stores Dispatch","CENTRAL STORES DISPATCH",IFNA(IFNA(VLOOKUP(F864,'Raw Platform Nov 4-6 2025'!C:C,1,FALSE),VLOOKUP(F864,'Raw Platform Nov 4-6 2025'!D:D,1,FALSE)),IFNA(VLOOKUP(F864,'Glovo Raw Nov 4-6 2025'!B:B,1,FALSE),"Not Matched"))))))</f>
      </c>
      <c r="H864">
        <f>COUNTIF(F:F,F864)</f>
      </c>
      <c r="I864" t="s">
        <v>9043</v>
      </c>
      <c r="J864" t="s">
        <v>4915</v>
      </c>
      <c r="K864" t="s">
        <v>4916</v>
      </c>
      <c r="L864" t="s">
        <v>9044</v>
      </c>
      <c r="M864" t="s">
        <v>9045</v>
      </c>
      <c r="N864" t="s">
        <v>9046</v>
      </c>
      <c r="O864" t="s">
        <v>4949</v>
      </c>
      <c r="P864" t="s">
        <v>5013</v>
      </c>
      <c r="Q864">
        <v>992</v>
      </c>
      <c r="R864" t="s">
        <v>4922</v>
      </c>
      <c r="S864" t="s">
        <v>172</v>
      </c>
      <c r="T864" t="s">
        <v>4923</v>
      </c>
      <c r="U864" t="s">
        <v>4924</v>
      </c>
      <c r="V864" t="s">
        <v>9047</v>
      </c>
      <c r="W864" t="s">
        <v>3667</v>
      </c>
      <c r="X864">
        <v>100</v>
      </c>
    </row>
    <row r="865" spans="1:24" x14ac:dyDescent="0.25">
      <c r="A865" t="s">
        <v>4932</v>
      </c>
      <c r="B865" t="s">
        <v>8982</v>
      </c>
      <c r="C865" t="s">
        <v>8983</v>
      </c>
      <c r="D865" t="s">
        <v>13</v>
      </c>
      <c r="E865" t="s">
        <v>4913</v>
      </c>
      <c r="F865" t="s">
        <v>1121</v>
      </c>
      <c r="G865">
        <f>IF(K865="Pick-up","PICKUPS",IF(K865="Staff drop-off","STAFF_DROPOFF",IF(K865="Replacements","REPLACEMENT",IF(K865="Central Stores Dispatch","CENTRAL STORES DISPATCH",IFNA(IFNA(VLOOKUP(F865,'Raw Platform Nov 4-6 2025'!C:C,1,FALSE),VLOOKUP(F865,'Raw Platform Nov 4-6 2025'!D:D,1,FALSE)),IFNA(VLOOKUP(F865,'Glovo Raw Nov 4-6 2025'!B:B,1,FALSE),"Not Matched"))))))</f>
      </c>
      <c r="H865">
        <f>COUNTIF(F:F,F865)</f>
      </c>
      <c r="I865" t="s">
        <v>9048</v>
      </c>
      <c r="J865" t="s">
        <v>4915</v>
      </c>
      <c r="K865" t="s">
        <v>4927</v>
      </c>
      <c r="L865" t="s">
        <v>9049</v>
      </c>
      <c r="M865" t="s">
        <v>9050</v>
      </c>
      <c r="N865" t="s">
        <v>9051</v>
      </c>
      <c r="O865" t="s">
        <v>4949</v>
      </c>
      <c r="P865" t="s">
        <v>4920</v>
      </c>
      <c r="Q865">
        <v>0</v>
      </c>
      <c r="R865" t="s">
        <v>4922</v>
      </c>
      <c r="S865" t="s">
        <v>29</v>
      </c>
      <c r="T865" t="s">
        <v>4923</v>
      </c>
      <c r="U865" t="s">
        <v>4924</v>
      </c>
      <c r="V865" t="s">
        <v>9052</v>
      </c>
      <c r="W865" t="s">
        <v>3667</v>
      </c>
      <c r="X865">
        <v>100</v>
      </c>
    </row>
    <row r="866" spans="1:24" x14ac:dyDescent="0.25">
      <c r="A866" t="s">
        <v>5130</v>
      </c>
      <c r="B866" t="s">
        <v>8982</v>
      </c>
      <c r="C866" t="s">
        <v>8983</v>
      </c>
      <c r="D866" t="s">
        <v>24</v>
      </c>
      <c r="E866" t="s">
        <v>4913</v>
      </c>
      <c r="F866" t="s">
        <v>1156</v>
      </c>
      <c r="G866">
        <f>IF(K866="Pick-up","PICKUPS",IF(K866="Staff drop-off","STAFF_DROPOFF",IF(K866="Replacements","REPLACEMENT",IF(K866="Central Stores Dispatch","CENTRAL STORES DISPATCH",IFNA(IFNA(VLOOKUP(F866,'Raw Platform Nov 4-6 2025'!C:C,1,FALSE),VLOOKUP(F866,'Raw Platform Nov 4-6 2025'!D:D,1,FALSE)),IFNA(VLOOKUP(F866,'Glovo Raw Nov 4-6 2025'!B:B,1,FALSE),"Not Matched"))))))</f>
      </c>
      <c r="H866">
        <f>COUNTIF(F:F,F866)</f>
      </c>
      <c r="I866" t="s">
        <v>9053</v>
      </c>
      <c r="J866" t="s">
        <v>4915</v>
      </c>
      <c r="K866" t="s">
        <v>4927</v>
      </c>
      <c r="L866" t="s">
        <v>9054</v>
      </c>
      <c r="M866" t="s">
        <v>9055</v>
      </c>
      <c r="N866" t="s">
        <v>9056</v>
      </c>
      <c r="O866" t="s">
        <v>4990</v>
      </c>
      <c r="P866" t="s">
        <v>4937</v>
      </c>
      <c r="Q866">
        <v>0</v>
      </c>
      <c r="R866" t="s">
        <v>4922</v>
      </c>
      <c r="S866" t="s">
        <v>116</v>
      </c>
      <c r="T866" t="s">
        <v>4923</v>
      </c>
      <c r="U866" t="s">
        <v>4924</v>
      </c>
      <c r="V866" t="s">
        <v>9057</v>
      </c>
      <c r="W866" t="s">
        <v>3667</v>
      </c>
      <c r="X866">
        <v>100</v>
      </c>
    </row>
    <row r="867" spans="1:24" x14ac:dyDescent="0.25">
      <c r="A867" t="s">
        <v>5130</v>
      </c>
      <c r="B867" t="s">
        <v>8982</v>
      </c>
      <c r="C867" t="s">
        <v>8983</v>
      </c>
      <c r="D867" t="s">
        <v>24</v>
      </c>
      <c r="E867" t="s">
        <v>4913</v>
      </c>
      <c r="F867" t="s">
        <v>583</v>
      </c>
      <c r="G867">
        <f>IF(K867="Pick-up","PICKUPS",IF(K867="Staff drop-off","STAFF_DROPOFF",IF(K867="Replacements","REPLACEMENT",IF(K867="Central Stores Dispatch","CENTRAL STORES DISPATCH",IFNA(IFNA(VLOOKUP(F867,'Raw Platform Nov 4-6 2025'!C:C,1,FALSE),VLOOKUP(F867,'Raw Platform Nov 4-6 2025'!D:D,1,FALSE)),IFNA(VLOOKUP(F867,'Glovo Raw Nov 4-6 2025'!B:B,1,FALSE),"Not Matched"))))))</f>
      </c>
      <c r="H867">
        <f>COUNTIF(F:F,F867)</f>
      </c>
      <c r="I867" t="s">
        <v>9058</v>
      </c>
      <c r="J867" t="s">
        <v>4915</v>
      </c>
      <c r="K867" t="s">
        <v>4927</v>
      </c>
      <c r="L867" t="s">
        <v>9059</v>
      </c>
      <c r="M867" t="s">
        <v>7546</v>
      </c>
      <c r="N867" t="s">
        <v>5972</v>
      </c>
      <c r="O867" t="s">
        <v>123</v>
      </c>
      <c r="P867" t="s">
        <v>5285</v>
      </c>
      <c r="Q867">
        <v>0</v>
      </c>
      <c r="R867" t="s">
        <v>4922</v>
      </c>
      <c r="S867" t="s">
        <v>5136</v>
      </c>
      <c r="T867" t="s">
        <v>4923</v>
      </c>
      <c r="U867" t="s">
        <v>4924</v>
      </c>
      <c r="V867" t="s">
        <v>9060</v>
      </c>
      <c r="W867" t="s">
        <v>3667</v>
      </c>
      <c r="X867">
        <v>175.9</v>
      </c>
    </row>
    <row r="868" spans="1:24" x14ac:dyDescent="0.25">
      <c r="A868" t="s">
        <v>5130</v>
      </c>
      <c r="B868" t="s">
        <v>8982</v>
      </c>
      <c r="C868" t="s">
        <v>8983</v>
      </c>
      <c r="D868" t="s">
        <v>24</v>
      </c>
      <c r="E868" t="s">
        <v>4913</v>
      </c>
      <c r="F868" t="s">
        <v>9061</v>
      </c>
      <c r="G868">
        <f>IF(K868="Pick-up","PICKUPS",IF(K868="Staff drop-off","STAFF_DROPOFF",IF(K868="Replacements","REPLACEMENT",IF(K868="Central Stores Dispatch","CENTRAL STORES DISPATCH",IFNA(IFNA(VLOOKUP(F868,'Raw Platform Nov 4-6 2025'!C:C,1,FALSE),VLOOKUP(F868,'Raw Platform Nov 4-6 2025'!D:D,1,FALSE)),IFNA(VLOOKUP(F868,'Glovo Raw Nov 4-6 2025'!B:B,1,FALSE),"Not Matched"))))))</f>
      </c>
      <c r="H868">
        <f>COUNTIF(F:F,F868)</f>
      </c>
      <c r="I868" t="s">
        <v>9062</v>
      </c>
      <c r="J868" t="s">
        <v>5289</v>
      </c>
      <c r="K868" t="s">
        <v>4927</v>
      </c>
      <c r="L868" t="s">
        <v>9063</v>
      </c>
      <c r="M868" t="s">
        <v>6194</v>
      </c>
      <c r="N868" t="s">
        <v>8987</v>
      </c>
      <c r="O868" t="s">
        <v>5013</v>
      </c>
      <c r="P868" t="s">
        <v>5810</v>
      </c>
      <c r="Q868">
        <v>0</v>
      </c>
      <c r="R868" t="s">
        <v>4922</v>
      </c>
      <c r="S868" t="s">
        <v>5293</v>
      </c>
      <c r="T868" t="s">
        <v>4923</v>
      </c>
      <c r="U868" t="s">
        <v>4924</v>
      </c>
      <c r="V868" t="s">
        <v>9064</v>
      </c>
      <c r="W868" t="s">
        <v>3667</v>
      </c>
      <c r="X868">
        <v>100</v>
      </c>
    </row>
    <row r="869" spans="1:24" x14ac:dyDescent="0.25">
      <c r="A869" t="s">
        <v>5130</v>
      </c>
      <c r="B869" t="s">
        <v>8982</v>
      </c>
      <c r="C869" t="s">
        <v>8983</v>
      </c>
      <c r="D869" t="s">
        <v>24</v>
      </c>
      <c r="E869" t="s">
        <v>5034</v>
      </c>
      <c r="F869" t="s">
        <v>9065</v>
      </c>
      <c r="G869">
        <f>IF(K869="Pick-up","PICKUPS",IF(K869="Staff drop-off","STAFF_DROPOFF",IF(K869="Replacements","REPLACEMENT",IF(K869="Central Stores Dispatch","CENTRAL STORES DISPATCH",IFNA(IFNA(VLOOKUP(F869,'Raw Platform Nov 4-6 2025'!C:C,1,FALSE),VLOOKUP(F869,'Raw Platform Nov 4-6 2025'!D:D,1,FALSE)),IFNA(VLOOKUP(F869,'Glovo Raw Nov 4-6 2025'!B:B,1,FALSE),"Not Matched"))))))</f>
      </c>
      <c r="H869">
        <f>COUNTIF(F:F,F869)</f>
      </c>
      <c r="I869" t="s">
        <v>9066</v>
      </c>
      <c r="J869" t="s">
        <v>5289</v>
      </c>
      <c r="K869" t="s">
        <v>4927</v>
      </c>
      <c r="L869" t="s">
        <v>9067</v>
      </c>
      <c r="M869" t="s">
        <v>6194</v>
      </c>
      <c r="N869" t="s">
        <v>7483</v>
      </c>
      <c r="O869" t="s">
        <v>4990</v>
      </c>
      <c r="P869" t="s">
        <v>5578</v>
      </c>
      <c r="Q869">
        <v>0</v>
      </c>
      <c r="R869" t="s">
        <v>4922</v>
      </c>
      <c r="S869" t="s">
        <v>5293</v>
      </c>
      <c r="T869" t="s">
        <v>4923</v>
      </c>
      <c r="U869" t="s">
        <v>4923</v>
      </c>
      <c r="V869" t="s">
        <v>9068</v>
      </c>
      <c r="W869" t="s">
        <v>3667</v>
      </c>
      <c r="X869">
        <v>0</v>
      </c>
    </row>
    <row r="870" spans="1:24" x14ac:dyDescent="0.25">
      <c r="A870" t="s">
        <v>5130</v>
      </c>
      <c r="B870" t="s">
        <v>8982</v>
      </c>
      <c r="C870" t="s">
        <v>8983</v>
      </c>
      <c r="D870" t="s">
        <v>24</v>
      </c>
      <c r="E870" t="s">
        <v>4913</v>
      </c>
      <c r="F870" t="s">
        <v>9065</v>
      </c>
      <c r="G870">
        <f>IF(K870="Pick-up","PICKUPS",IF(K870="Staff drop-off","STAFF_DROPOFF",IF(K870="Replacements","REPLACEMENT",IF(K870="Central Stores Dispatch","CENTRAL STORES DISPATCH",IFNA(IFNA(VLOOKUP(F870,'Raw Platform Nov 4-6 2025'!C:C,1,FALSE),VLOOKUP(F870,'Raw Platform Nov 4-6 2025'!D:D,1,FALSE)),IFNA(VLOOKUP(F870,'Glovo Raw Nov 4-6 2025'!B:B,1,FALSE),"Not Matched"))))))</f>
      </c>
      <c r="H870">
        <f>COUNTIF(F:F,F870)</f>
      </c>
      <c r="I870" t="s">
        <v>9066</v>
      </c>
      <c r="J870" t="s">
        <v>5289</v>
      </c>
      <c r="K870" t="s">
        <v>4927</v>
      </c>
      <c r="L870" t="s">
        <v>9067</v>
      </c>
      <c r="M870" t="s">
        <v>6194</v>
      </c>
      <c r="N870" t="s">
        <v>7483</v>
      </c>
      <c r="O870" t="s">
        <v>4990</v>
      </c>
      <c r="P870" t="s">
        <v>5578</v>
      </c>
      <c r="Q870">
        <v>0</v>
      </c>
      <c r="R870" t="s">
        <v>4922</v>
      </c>
      <c r="S870" t="s">
        <v>5293</v>
      </c>
      <c r="T870" t="s">
        <v>4923</v>
      </c>
      <c r="U870" t="s">
        <v>4924</v>
      </c>
      <c r="V870" t="s">
        <v>9069</v>
      </c>
      <c r="W870" t="s">
        <v>3667</v>
      </c>
      <c r="X870">
        <v>100</v>
      </c>
    </row>
    <row r="871" spans="1:24" x14ac:dyDescent="0.25">
      <c r="A871" t="s">
        <v>5231</v>
      </c>
      <c r="B871" t="s">
        <v>8982</v>
      </c>
      <c r="C871" t="s">
        <v>8983</v>
      </c>
      <c r="D871" t="s">
        <v>191</v>
      </c>
      <c r="E871" t="s">
        <v>4913</v>
      </c>
      <c r="F871" t="s">
        <v>2171</v>
      </c>
      <c r="G871">
        <f>IF(K871="Pick-up","PICKUPS",IF(K871="Staff drop-off","STAFF_DROPOFF",IF(K871="Replacements","REPLACEMENT",IF(K871="Central Stores Dispatch","CENTRAL STORES DISPATCH",IFNA(IFNA(VLOOKUP(F871,'Raw Platform Nov 4-6 2025'!C:C,1,FALSE),VLOOKUP(F871,'Raw Platform Nov 4-6 2025'!D:D,1,FALSE)),IFNA(VLOOKUP(F871,'Glovo Raw Nov 4-6 2025'!B:B,1,FALSE),"Not Matched"))))))</f>
      </c>
      <c r="H871">
        <f>COUNTIF(F:F,F871)</f>
      </c>
      <c r="I871" t="s">
        <v>9070</v>
      </c>
      <c r="J871" t="s">
        <v>4915</v>
      </c>
      <c r="K871" t="s">
        <v>4927</v>
      </c>
      <c r="L871" t="s">
        <v>9071</v>
      </c>
      <c r="M871" t="s">
        <v>5941</v>
      </c>
      <c r="N871" t="s">
        <v>4973</v>
      </c>
      <c r="O871" t="s">
        <v>123</v>
      </c>
      <c r="P871" t="s">
        <v>4974</v>
      </c>
      <c r="Q871">
        <v>0</v>
      </c>
      <c r="R871" t="s">
        <v>4922</v>
      </c>
      <c r="S871" t="s">
        <v>5184</v>
      </c>
      <c r="T871" t="s">
        <v>4923</v>
      </c>
      <c r="U871" t="s">
        <v>4924</v>
      </c>
      <c r="V871" t="s">
        <v>9072</v>
      </c>
      <c r="W871" t="s">
        <v>3667</v>
      </c>
      <c r="X871">
        <v>178.2</v>
      </c>
    </row>
    <row r="872" spans="1:24" x14ac:dyDescent="0.25">
      <c r="A872" t="s">
        <v>5130</v>
      </c>
      <c r="B872" t="s">
        <v>8982</v>
      </c>
      <c r="C872" t="s">
        <v>8983</v>
      </c>
      <c r="D872" t="s">
        <v>24</v>
      </c>
      <c r="E872" t="s">
        <v>4913</v>
      </c>
      <c r="F872" t="s">
        <v>2232</v>
      </c>
      <c r="G872">
        <f>IF(K872="Pick-up","PICKUPS",IF(K872="Staff drop-off","STAFF_DROPOFF",IF(K872="Replacements","REPLACEMENT",IF(K872="Central Stores Dispatch","CENTRAL STORES DISPATCH",IFNA(IFNA(VLOOKUP(F872,'Raw Platform Nov 4-6 2025'!C:C,1,FALSE),VLOOKUP(F872,'Raw Platform Nov 4-6 2025'!D:D,1,FALSE)),IFNA(VLOOKUP(F872,'Glovo Raw Nov 4-6 2025'!B:B,1,FALSE),"Not Matched"))))))</f>
      </c>
      <c r="H872">
        <f>COUNTIF(F:F,F872)</f>
      </c>
      <c r="I872" t="s">
        <v>9073</v>
      </c>
      <c r="J872" t="s">
        <v>5341</v>
      </c>
      <c r="K872" t="s">
        <v>4927</v>
      </c>
      <c r="L872" t="s">
        <v>5348</v>
      </c>
      <c r="M872" t="s">
        <v>5349</v>
      </c>
      <c r="N872" t="s">
        <v>5386</v>
      </c>
      <c r="O872" t="s">
        <v>73</v>
      </c>
      <c r="P872" t="s">
        <v>5387</v>
      </c>
      <c r="Q872">
        <v>0</v>
      </c>
      <c r="R872" t="s">
        <v>4922</v>
      </c>
      <c r="S872" t="s">
        <v>35</v>
      </c>
      <c r="T872" t="s">
        <v>4923</v>
      </c>
      <c r="U872" t="s">
        <v>4924</v>
      </c>
      <c r="V872" t="s">
        <v>9074</v>
      </c>
      <c r="W872" t="s">
        <v>3667</v>
      </c>
      <c r="X872">
        <v>152.9</v>
      </c>
    </row>
    <row r="873" spans="1:24" x14ac:dyDescent="0.25">
      <c r="A873" t="s">
        <v>4932</v>
      </c>
      <c r="B873" t="s">
        <v>8982</v>
      </c>
      <c r="C873" t="s">
        <v>8983</v>
      </c>
      <c r="D873" t="s">
        <v>13</v>
      </c>
      <c r="E873" t="s">
        <v>4913</v>
      </c>
      <c r="F873" t="s">
        <v>1654</v>
      </c>
      <c r="G873">
        <f>IF(K873="Pick-up","PICKUPS",IF(K873="Staff drop-off","STAFF_DROPOFF",IF(K873="Replacements","REPLACEMENT",IF(K873="Central Stores Dispatch","CENTRAL STORES DISPATCH",IFNA(IFNA(VLOOKUP(F873,'Raw Platform Nov 4-6 2025'!C:C,1,FALSE),VLOOKUP(F873,'Raw Platform Nov 4-6 2025'!D:D,1,FALSE)),IFNA(VLOOKUP(F873,'Glovo Raw Nov 4-6 2025'!B:B,1,FALSE),"Not Matched"))))))</f>
      </c>
      <c r="H873">
        <f>COUNTIF(F:F,F873)</f>
      </c>
      <c r="I873" t="s">
        <v>9075</v>
      </c>
      <c r="J873" t="s">
        <v>4915</v>
      </c>
      <c r="K873" t="s">
        <v>4927</v>
      </c>
      <c r="L873" t="s">
        <v>9076</v>
      </c>
      <c r="M873" t="s">
        <v>7409</v>
      </c>
      <c r="N873" t="s">
        <v>5012</v>
      </c>
      <c r="O873" t="s">
        <v>4990</v>
      </c>
      <c r="P873" t="s">
        <v>5013</v>
      </c>
      <c r="Q873">
        <v>0</v>
      </c>
      <c r="R873" t="s">
        <v>4922</v>
      </c>
      <c r="S873" t="s">
        <v>29</v>
      </c>
      <c r="T873" t="s">
        <v>4923</v>
      </c>
      <c r="U873" t="s">
        <v>4924</v>
      </c>
      <c r="V873" t="s">
        <v>9077</v>
      </c>
      <c r="W873" t="s">
        <v>3667</v>
      </c>
      <c r="X873">
        <v>100</v>
      </c>
    </row>
    <row r="874" spans="1:24" x14ac:dyDescent="0.25">
      <c r="A874" t="s">
        <v>4932</v>
      </c>
      <c r="B874" t="s">
        <v>8982</v>
      </c>
      <c r="C874" t="s">
        <v>8983</v>
      </c>
      <c r="D874" t="s">
        <v>13</v>
      </c>
      <c r="E874" t="s">
        <v>4913</v>
      </c>
      <c r="F874" t="s">
        <v>1754</v>
      </c>
      <c r="G874">
        <f>IF(K874="Pick-up","PICKUPS",IF(K874="Staff drop-off","STAFF_DROPOFF",IF(K874="Replacements","REPLACEMENT",IF(K874="Central Stores Dispatch","CENTRAL STORES DISPATCH",IFNA(IFNA(VLOOKUP(F874,'Raw Platform Nov 4-6 2025'!C:C,1,FALSE),VLOOKUP(F874,'Raw Platform Nov 4-6 2025'!D:D,1,FALSE)),IFNA(VLOOKUP(F874,'Glovo Raw Nov 4-6 2025'!B:B,1,FALSE),"Not Matched"))))))</f>
      </c>
      <c r="H874">
        <f>COUNTIF(F:F,F874)</f>
      </c>
      <c r="I874" t="s">
        <v>9078</v>
      </c>
      <c r="J874" t="s">
        <v>4915</v>
      </c>
      <c r="K874" t="s">
        <v>4927</v>
      </c>
      <c r="L874" t="s">
        <v>9079</v>
      </c>
      <c r="M874" t="s">
        <v>9080</v>
      </c>
      <c r="N874" t="s">
        <v>5012</v>
      </c>
      <c r="O874" t="s">
        <v>4990</v>
      </c>
      <c r="P874" t="s">
        <v>5013</v>
      </c>
      <c r="Q874">
        <v>0</v>
      </c>
      <c r="R874" t="s">
        <v>4922</v>
      </c>
      <c r="S874" t="s">
        <v>29</v>
      </c>
      <c r="T874" t="s">
        <v>4923</v>
      </c>
      <c r="U874" t="s">
        <v>4924</v>
      </c>
      <c r="V874" t="s">
        <v>9081</v>
      </c>
      <c r="W874" t="s">
        <v>3667</v>
      </c>
      <c r="X874">
        <v>100</v>
      </c>
    </row>
    <row r="875" spans="1:24" x14ac:dyDescent="0.25">
      <c r="A875" t="s">
        <v>4932</v>
      </c>
      <c r="B875" t="s">
        <v>8982</v>
      </c>
      <c r="C875" t="s">
        <v>8983</v>
      </c>
      <c r="D875" t="s">
        <v>13</v>
      </c>
      <c r="E875" t="s">
        <v>4913</v>
      </c>
      <c r="F875" t="s">
        <v>1901</v>
      </c>
      <c r="G875">
        <f>IF(K875="Pick-up","PICKUPS",IF(K875="Staff drop-off","STAFF_DROPOFF",IF(K875="Replacements","REPLACEMENT",IF(K875="Central Stores Dispatch","CENTRAL STORES DISPATCH",IFNA(IFNA(VLOOKUP(F875,'Raw Platform Nov 4-6 2025'!C:C,1,FALSE),VLOOKUP(F875,'Raw Platform Nov 4-6 2025'!D:D,1,FALSE)),IFNA(VLOOKUP(F875,'Glovo Raw Nov 4-6 2025'!B:B,1,FALSE),"Not Matched"))))))</f>
      </c>
      <c r="H875">
        <f>COUNTIF(F:F,F875)</f>
      </c>
      <c r="I875" t="s">
        <v>9082</v>
      </c>
      <c r="J875" t="s">
        <v>4915</v>
      </c>
      <c r="K875" t="s">
        <v>4927</v>
      </c>
      <c r="L875" t="s">
        <v>9083</v>
      </c>
      <c r="M875" t="s">
        <v>9084</v>
      </c>
      <c r="N875" t="s">
        <v>9085</v>
      </c>
      <c r="O875" t="s">
        <v>47</v>
      </c>
      <c r="P875" t="s">
        <v>5953</v>
      </c>
      <c r="Q875">
        <v>0</v>
      </c>
      <c r="R875" t="s">
        <v>4922</v>
      </c>
      <c r="S875" t="s">
        <v>29</v>
      </c>
      <c r="T875" t="s">
        <v>4923</v>
      </c>
      <c r="U875" t="s">
        <v>4924</v>
      </c>
      <c r="V875" t="s">
        <v>9086</v>
      </c>
      <c r="W875" t="s">
        <v>3667</v>
      </c>
      <c r="X875">
        <v>118.4</v>
      </c>
    </row>
    <row r="876" spans="1:24" x14ac:dyDescent="0.25">
      <c r="A876" t="s">
        <v>5130</v>
      </c>
      <c r="B876" t="s">
        <v>8982</v>
      </c>
      <c r="C876" t="s">
        <v>8983</v>
      </c>
      <c r="D876" t="s">
        <v>191</v>
      </c>
      <c r="E876" t="s">
        <v>4913</v>
      </c>
      <c r="F876" t="s">
        <v>2368</v>
      </c>
      <c r="G876">
        <f>IF(K876="Pick-up","PICKUPS",IF(K876="Staff drop-off","STAFF_DROPOFF",IF(K876="Replacements","REPLACEMENT",IF(K876="Central Stores Dispatch","CENTRAL STORES DISPATCH",IFNA(IFNA(VLOOKUP(F876,'Raw Platform Nov 4-6 2025'!C:C,1,FALSE),VLOOKUP(F876,'Raw Platform Nov 4-6 2025'!D:D,1,FALSE)),IFNA(VLOOKUP(F876,'Glovo Raw Nov 4-6 2025'!B:B,1,FALSE),"Not Matched"))))))</f>
      </c>
      <c r="H876">
        <f>COUNTIF(F:F,F876)</f>
      </c>
      <c r="I876" t="s">
        <v>9087</v>
      </c>
      <c r="J876" t="s">
        <v>4915</v>
      </c>
      <c r="K876" t="s">
        <v>4927</v>
      </c>
      <c r="L876" t="s">
        <v>9088</v>
      </c>
      <c r="M876" t="s">
        <v>9089</v>
      </c>
      <c r="N876" t="s">
        <v>9090</v>
      </c>
      <c r="O876" t="s">
        <v>73</v>
      </c>
      <c r="P876" t="s">
        <v>6158</v>
      </c>
      <c r="Q876">
        <v>0</v>
      </c>
      <c r="R876" t="s">
        <v>4922</v>
      </c>
      <c r="S876" t="s">
        <v>5699</v>
      </c>
      <c r="T876" t="s">
        <v>4923</v>
      </c>
      <c r="U876" t="s">
        <v>4924</v>
      </c>
      <c r="V876" t="s">
        <v>9091</v>
      </c>
      <c r="W876" t="s">
        <v>3667</v>
      </c>
      <c r="X876">
        <v>136.8</v>
      </c>
    </row>
    <row r="877" spans="1:24" x14ac:dyDescent="0.25">
      <c r="A877" t="s">
        <v>5130</v>
      </c>
      <c r="B877" t="s">
        <v>8982</v>
      </c>
      <c r="C877" t="s">
        <v>8983</v>
      </c>
      <c r="D877" t="s">
        <v>24</v>
      </c>
      <c r="E877" t="s">
        <v>4913</v>
      </c>
      <c r="F877" t="s">
        <v>1638</v>
      </c>
      <c r="G877">
        <f>IF(K877="Pick-up","PICKUPS",IF(K877="Staff drop-off","STAFF_DROPOFF",IF(K877="Replacements","REPLACEMENT",IF(K877="Central Stores Dispatch","CENTRAL STORES DISPATCH",IFNA(IFNA(VLOOKUP(F877,'Raw Platform Nov 4-6 2025'!C:C,1,FALSE),VLOOKUP(F877,'Raw Platform Nov 4-6 2025'!D:D,1,FALSE)),IFNA(VLOOKUP(F877,'Glovo Raw Nov 4-6 2025'!B:B,1,FALSE),"Not Matched"))))))</f>
      </c>
      <c r="H877">
        <f>COUNTIF(F:F,F877)</f>
      </c>
      <c r="I877" t="s">
        <v>9092</v>
      </c>
      <c r="J877" t="s">
        <v>4915</v>
      </c>
      <c r="K877" t="s">
        <v>4927</v>
      </c>
      <c r="L877" t="s">
        <v>9093</v>
      </c>
      <c r="M877" t="s">
        <v>9094</v>
      </c>
      <c r="N877" t="s">
        <v>8471</v>
      </c>
      <c r="O877" t="s">
        <v>53</v>
      </c>
      <c r="P877" t="s">
        <v>5001</v>
      </c>
      <c r="Q877">
        <v>0</v>
      </c>
      <c r="R877" t="s">
        <v>4922</v>
      </c>
      <c r="S877" t="s">
        <v>35</v>
      </c>
      <c r="T877" t="s">
        <v>4923</v>
      </c>
      <c r="U877" t="s">
        <v>4924</v>
      </c>
      <c r="V877" t="s">
        <v>9095</v>
      </c>
      <c r="W877" t="s">
        <v>3667</v>
      </c>
      <c r="X877">
        <v>120.7</v>
      </c>
    </row>
    <row r="878" spans="1:24" x14ac:dyDescent="0.25">
      <c r="A878" t="s">
        <v>5130</v>
      </c>
      <c r="B878" t="s">
        <v>8982</v>
      </c>
      <c r="C878" t="s">
        <v>8983</v>
      </c>
      <c r="D878" t="s">
        <v>24</v>
      </c>
      <c r="E878" t="s">
        <v>4913</v>
      </c>
      <c r="F878" t="s">
        <v>1771</v>
      </c>
      <c r="G878">
        <f>IF(K878="Pick-up","PICKUPS",IF(K878="Staff drop-off","STAFF_DROPOFF",IF(K878="Replacements","REPLACEMENT",IF(K878="Central Stores Dispatch","CENTRAL STORES DISPATCH",IFNA(IFNA(VLOOKUP(F878,'Raw Platform Nov 4-6 2025'!C:C,1,FALSE),VLOOKUP(F878,'Raw Platform Nov 4-6 2025'!D:D,1,FALSE)),IFNA(VLOOKUP(F878,'Glovo Raw Nov 4-6 2025'!B:B,1,FALSE),"Not Matched"))))))</f>
      </c>
      <c r="H878">
        <f>COUNTIF(F:F,F878)</f>
      </c>
      <c r="I878" t="s">
        <v>9096</v>
      </c>
      <c r="J878" t="s">
        <v>4915</v>
      </c>
      <c r="K878" t="s">
        <v>4927</v>
      </c>
      <c r="L878" t="s">
        <v>9097</v>
      </c>
      <c r="M878" t="s">
        <v>9098</v>
      </c>
      <c r="N878" t="s">
        <v>9099</v>
      </c>
      <c r="O878" t="s">
        <v>4962</v>
      </c>
      <c r="P878" t="s">
        <v>5578</v>
      </c>
      <c r="Q878">
        <v>0</v>
      </c>
      <c r="R878" t="s">
        <v>4922</v>
      </c>
      <c r="S878" t="s">
        <v>116</v>
      </c>
      <c r="T878" t="s">
        <v>4923</v>
      </c>
      <c r="U878" t="s">
        <v>4924</v>
      </c>
      <c r="V878" t="s">
        <v>9100</v>
      </c>
      <c r="W878" t="s">
        <v>3667</v>
      </c>
      <c r="X878">
        <v>100</v>
      </c>
    </row>
    <row r="879" spans="1:24" x14ac:dyDescent="0.25">
      <c r="A879" t="s">
        <v>4932</v>
      </c>
      <c r="B879" t="s">
        <v>8982</v>
      </c>
      <c r="C879" t="s">
        <v>8983</v>
      </c>
      <c r="D879" t="s">
        <v>13</v>
      </c>
      <c r="E879" t="s">
        <v>4913</v>
      </c>
      <c r="F879" t="s">
        <v>2412</v>
      </c>
      <c r="G879">
        <f>IF(K879="Pick-up","PICKUPS",IF(K879="Staff drop-off","STAFF_DROPOFF",IF(K879="Replacements","REPLACEMENT",IF(K879="Central Stores Dispatch","CENTRAL STORES DISPATCH",IFNA(IFNA(VLOOKUP(F879,'Raw Platform Nov 4-6 2025'!C:C,1,FALSE),VLOOKUP(F879,'Raw Platform Nov 4-6 2025'!D:D,1,FALSE)),IFNA(VLOOKUP(F879,'Glovo Raw Nov 4-6 2025'!B:B,1,FALSE),"Not Matched"))))))</f>
      </c>
      <c r="H879">
        <f>COUNTIF(F:F,F879)</f>
      </c>
      <c r="I879" t="s">
        <v>9101</v>
      </c>
      <c r="J879" t="s">
        <v>4915</v>
      </c>
      <c r="K879" t="s">
        <v>4927</v>
      </c>
      <c r="L879" t="s">
        <v>9102</v>
      </c>
      <c r="M879" t="s">
        <v>9103</v>
      </c>
      <c r="N879" t="s">
        <v>9104</v>
      </c>
      <c r="O879" t="s">
        <v>123</v>
      </c>
      <c r="P879" t="s">
        <v>4956</v>
      </c>
      <c r="Q879">
        <v>0</v>
      </c>
      <c r="R879" t="s">
        <v>4922</v>
      </c>
      <c r="S879" t="s">
        <v>29</v>
      </c>
      <c r="T879" t="s">
        <v>4923</v>
      </c>
      <c r="U879" t="s">
        <v>4924</v>
      </c>
      <c r="V879" t="s">
        <v>9105</v>
      </c>
      <c r="W879" t="s">
        <v>3667</v>
      </c>
      <c r="X879">
        <v>134.5</v>
      </c>
    </row>
    <row r="880" spans="1:24" x14ac:dyDescent="0.25">
      <c r="A880" t="s">
        <v>4932</v>
      </c>
      <c r="B880" t="s">
        <v>8982</v>
      </c>
      <c r="C880" t="s">
        <v>8983</v>
      </c>
      <c r="D880" t="s">
        <v>13</v>
      </c>
      <c r="E880" t="s">
        <v>4913</v>
      </c>
      <c r="F880" t="s">
        <v>1905</v>
      </c>
      <c r="G880">
        <f>IF(K880="Pick-up","PICKUPS",IF(K880="Staff drop-off","STAFF_DROPOFF",IF(K880="Replacements","REPLACEMENT",IF(K880="Central Stores Dispatch","CENTRAL STORES DISPATCH",IFNA(IFNA(VLOOKUP(F880,'Raw Platform Nov 4-6 2025'!C:C,1,FALSE),VLOOKUP(F880,'Raw Platform Nov 4-6 2025'!D:D,1,FALSE)),IFNA(VLOOKUP(F880,'Glovo Raw Nov 4-6 2025'!B:B,1,FALSE),"Not Matched"))))))</f>
      </c>
      <c r="H880">
        <f>COUNTIF(F:F,F880)</f>
      </c>
      <c r="I880" t="s">
        <v>9106</v>
      </c>
      <c r="J880" t="s">
        <v>4915</v>
      </c>
      <c r="K880" t="s">
        <v>4927</v>
      </c>
      <c r="L880" t="s">
        <v>9107</v>
      </c>
      <c r="M880" t="s">
        <v>9108</v>
      </c>
      <c r="N880" t="s">
        <v>4978</v>
      </c>
      <c r="O880" t="s">
        <v>4962</v>
      </c>
      <c r="P880" t="s">
        <v>4950</v>
      </c>
      <c r="Q880">
        <v>0</v>
      </c>
      <c r="R880" t="s">
        <v>4922</v>
      </c>
      <c r="S880" t="s">
        <v>29</v>
      </c>
      <c r="T880" t="s">
        <v>4923</v>
      </c>
      <c r="U880" t="s">
        <v>4924</v>
      </c>
      <c r="V880" t="s">
        <v>9109</v>
      </c>
      <c r="W880" t="s">
        <v>3667</v>
      </c>
      <c r="X880">
        <v>100</v>
      </c>
    </row>
    <row r="881" spans="1:24" x14ac:dyDescent="0.25">
      <c r="A881" t="s">
        <v>4910</v>
      </c>
      <c r="B881" t="s">
        <v>8982</v>
      </c>
      <c r="C881" t="s">
        <v>8983</v>
      </c>
      <c r="D881" t="s">
        <v>13</v>
      </c>
      <c r="E881" t="s">
        <v>4913</v>
      </c>
      <c r="F881" t="s">
        <v>3122</v>
      </c>
      <c r="G881">
        <f>IF(K881="Pick-up","PICKUPS",IF(K881="Staff drop-off","STAFF_DROPOFF",IF(K881="Replacements","REPLACEMENT",IF(K881="Central Stores Dispatch","CENTRAL STORES DISPATCH",IFNA(IFNA(VLOOKUP(F881,'Raw Platform Nov 4-6 2025'!C:C,1,FALSE),VLOOKUP(F881,'Raw Platform Nov 4-6 2025'!D:D,1,FALSE)),IFNA(VLOOKUP(F881,'Glovo Raw Nov 4-6 2025'!B:B,1,FALSE),"Not Matched"))))))</f>
      </c>
      <c r="H881">
        <f>COUNTIF(F:F,F881)</f>
      </c>
      <c r="I881" t="s">
        <v>9110</v>
      </c>
      <c r="J881" t="s">
        <v>63</v>
      </c>
      <c r="K881" t="s">
        <v>4927</v>
      </c>
      <c r="L881" t="s">
        <v>9111</v>
      </c>
      <c r="M881" t="s">
        <v>9112</v>
      </c>
      <c r="N881" t="s">
        <v>9113</v>
      </c>
      <c r="O881" t="s">
        <v>4990</v>
      </c>
      <c r="P881" t="s">
        <v>5613</v>
      </c>
      <c r="Q881">
        <v>0</v>
      </c>
      <c r="R881" t="s">
        <v>4922</v>
      </c>
      <c r="S881" t="s">
        <v>12</v>
      </c>
      <c r="T881" t="s">
        <v>4923</v>
      </c>
      <c r="U881" t="s">
        <v>4924</v>
      </c>
      <c r="V881" t="s">
        <v>9114</v>
      </c>
      <c r="W881" t="s">
        <v>3667</v>
      </c>
      <c r="X881">
        <v>100</v>
      </c>
    </row>
    <row r="882" spans="1:24" x14ac:dyDescent="0.25">
      <c r="A882" t="s">
        <v>4932</v>
      </c>
      <c r="B882" t="s">
        <v>8982</v>
      </c>
      <c r="C882" t="s">
        <v>8983</v>
      </c>
      <c r="D882" t="s">
        <v>13</v>
      </c>
      <c r="E882" t="s">
        <v>4913</v>
      </c>
      <c r="F882" t="s">
        <v>9115</v>
      </c>
      <c r="G882">
        <f>IF(K882="Pick-up","PICKUPS",IF(K882="Staff drop-off","STAFF_DROPOFF",IF(K882="Replacements","REPLACEMENT",IF(K882="Central Stores Dispatch","CENTRAL STORES DISPATCH",IFNA(IFNA(VLOOKUP(F882,'Raw Platform Nov 4-6 2025'!C:C,1,FALSE),VLOOKUP(F882,'Raw Platform Nov 4-6 2025'!D:D,1,FALSE)),IFNA(VLOOKUP(F882,'Glovo Raw Nov 4-6 2025'!B:B,1,FALSE),"Not Matched"))))))</f>
      </c>
      <c r="H882">
        <f>COUNTIF(F:F,F882)</f>
      </c>
      <c r="I882" t="s">
        <v>9116</v>
      </c>
      <c r="J882" t="s">
        <v>4915</v>
      </c>
      <c r="K882" t="s">
        <v>4927</v>
      </c>
      <c r="L882" t="s">
        <v>9117</v>
      </c>
      <c r="M882" t="s">
        <v>9118</v>
      </c>
      <c r="N882" t="s">
        <v>9119</v>
      </c>
      <c r="O882" t="s">
        <v>47</v>
      </c>
      <c r="P882" t="s">
        <v>5019</v>
      </c>
      <c r="Q882">
        <v>0</v>
      </c>
      <c r="R882" t="s">
        <v>4922</v>
      </c>
      <c r="S882" t="s">
        <v>29</v>
      </c>
      <c r="T882" t="s">
        <v>4923</v>
      </c>
      <c r="U882" t="s">
        <v>4924</v>
      </c>
      <c r="V882" t="s">
        <v>9120</v>
      </c>
      <c r="W882" t="s">
        <v>3667</v>
      </c>
      <c r="X882">
        <v>100</v>
      </c>
    </row>
    <row r="883" spans="1:24" x14ac:dyDescent="0.25">
      <c r="A883" t="s">
        <v>5130</v>
      </c>
      <c r="B883" t="s">
        <v>8982</v>
      </c>
      <c r="C883" t="s">
        <v>8983</v>
      </c>
      <c r="D883" t="s">
        <v>24</v>
      </c>
      <c r="E883" t="s">
        <v>4913</v>
      </c>
      <c r="F883" t="s">
        <v>3237</v>
      </c>
      <c r="G883">
        <f>IF(K883="Pick-up","PICKUPS",IF(K883="Staff drop-off","STAFF_DROPOFF",IF(K883="Replacements","REPLACEMENT",IF(K883="Central Stores Dispatch","CENTRAL STORES DISPATCH",IFNA(IFNA(VLOOKUP(F883,'Raw Platform Nov 4-6 2025'!C:C,1,FALSE),VLOOKUP(F883,'Raw Platform Nov 4-6 2025'!D:D,1,FALSE)),IFNA(VLOOKUP(F883,'Glovo Raw Nov 4-6 2025'!B:B,1,FALSE),"Not Matched"))))))</f>
      </c>
      <c r="H883">
        <f>COUNTIF(F:F,F883)</f>
      </c>
      <c r="I883" t="s">
        <v>9121</v>
      </c>
      <c r="J883" t="s">
        <v>4915</v>
      </c>
      <c r="K883" t="s">
        <v>4927</v>
      </c>
      <c r="L883" t="s">
        <v>9122</v>
      </c>
      <c r="M883" t="s">
        <v>9123</v>
      </c>
      <c r="N883" t="s">
        <v>5072</v>
      </c>
      <c r="O883" t="s">
        <v>4956</v>
      </c>
      <c r="P883" t="s">
        <v>4963</v>
      </c>
      <c r="Q883">
        <v>0</v>
      </c>
      <c r="R883" t="s">
        <v>4922</v>
      </c>
      <c r="S883" t="s">
        <v>35</v>
      </c>
      <c r="T883" t="s">
        <v>4923</v>
      </c>
      <c r="U883" t="s">
        <v>4924</v>
      </c>
      <c r="V883" t="s">
        <v>9124</v>
      </c>
      <c r="W883" t="s">
        <v>3667</v>
      </c>
      <c r="X883">
        <v>100</v>
      </c>
    </row>
    <row r="884" spans="1:24" x14ac:dyDescent="0.25">
      <c r="A884" t="s">
        <v>4932</v>
      </c>
      <c r="B884" t="s">
        <v>8982</v>
      </c>
      <c r="C884" t="s">
        <v>8983</v>
      </c>
      <c r="D884" t="s">
        <v>13</v>
      </c>
      <c r="E884" t="s">
        <v>4913</v>
      </c>
      <c r="F884" t="s">
        <v>9125</v>
      </c>
      <c r="G884">
        <f>IF(K884="Pick-up","PICKUPS",IF(K884="Staff drop-off","STAFF_DROPOFF",IF(K884="Replacements","REPLACEMENT",IF(K884="Central Stores Dispatch","CENTRAL STORES DISPATCH",IFNA(IFNA(VLOOKUP(F884,'Raw Platform Nov 4-6 2025'!C:C,1,FALSE),VLOOKUP(F884,'Raw Platform Nov 4-6 2025'!D:D,1,FALSE)),IFNA(VLOOKUP(F884,'Glovo Raw Nov 4-6 2025'!B:B,1,FALSE),"Not Matched"))))))</f>
      </c>
      <c r="H884">
        <f>COUNTIF(F:F,F884)</f>
      </c>
      <c r="I884" t="s">
        <v>9126</v>
      </c>
      <c r="J884" t="s">
        <v>5289</v>
      </c>
      <c r="K884" t="s">
        <v>4927</v>
      </c>
      <c r="L884" t="s">
        <v>5290</v>
      </c>
      <c r="M884" t="s">
        <v>5291</v>
      </c>
      <c r="N884" t="s">
        <v>5292</v>
      </c>
      <c r="O884" t="s">
        <v>3676</v>
      </c>
      <c r="P884" t="s">
        <v>3676</v>
      </c>
      <c r="Q884">
        <v>0</v>
      </c>
      <c r="R884" t="s">
        <v>4922</v>
      </c>
      <c r="S884" t="s">
        <v>29</v>
      </c>
      <c r="T884" t="s">
        <v>4923</v>
      </c>
      <c r="U884" t="s">
        <v>4924</v>
      </c>
      <c r="V884" t="s">
        <v>9127</v>
      </c>
      <c r="W884" t="s">
        <v>3667</v>
      </c>
      <c r="X884">
        <v>100</v>
      </c>
    </row>
    <row r="885" spans="1:24" x14ac:dyDescent="0.25">
      <c r="A885" t="s">
        <v>4932</v>
      </c>
      <c r="B885" t="s">
        <v>8982</v>
      </c>
      <c r="C885" t="s">
        <v>8983</v>
      </c>
      <c r="D885" t="s">
        <v>13</v>
      </c>
      <c r="E885" t="s">
        <v>4913</v>
      </c>
      <c r="F885" t="s">
        <v>9128</v>
      </c>
      <c r="G885">
        <f>IF(K885="Pick-up","PICKUPS",IF(K885="Staff drop-off","STAFF_DROPOFF",IF(K885="Replacements","REPLACEMENT",IF(K885="Central Stores Dispatch","CENTRAL STORES DISPATCH",IFNA(IFNA(VLOOKUP(F885,'Raw Platform Nov 4-6 2025'!C:C,1,FALSE),VLOOKUP(F885,'Raw Platform Nov 4-6 2025'!D:D,1,FALSE)),IFNA(VLOOKUP(F885,'Glovo Raw Nov 4-6 2025'!B:B,1,FALSE),"Not Matched"))))))</f>
      </c>
      <c r="H885">
        <f>COUNTIF(F:F,F885)</f>
      </c>
      <c r="I885" t="s">
        <v>9129</v>
      </c>
      <c r="J885" t="s">
        <v>5289</v>
      </c>
      <c r="K885" t="s">
        <v>4927</v>
      </c>
      <c r="L885" t="s">
        <v>5290</v>
      </c>
      <c r="M885" t="s">
        <v>5291</v>
      </c>
      <c r="N885" t="s">
        <v>5292</v>
      </c>
      <c r="O885" t="s">
        <v>3676</v>
      </c>
      <c r="P885" t="s">
        <v>3676</v>
      </c>
      <c r="Q885">
        <v>0</v>
      </c>
      <c r="R885" t="s">
        <v>4922</v>
      </c>
      <c r="S885" t="s">
        <v>29</v>
      </c>
      <c r="T885" t="s">
        <v>4923</v>
      </c>
      <c r="U885" t="s">
        <v>4924</v>
      </c>
      <c r="V885" t="s">
        <v>9130</v>
      </c>
      <c r="W885" t="s">
        <v>3667</v>
      </c>
      <c r="X885">
        <v>100</v>
      </c>
    </row>
    <row r="886" spans="1:24" x14ac:dyDescent="0.25">
      <c r="A886" t="s">
        <v>4932</v>
      </c>
      <c r="B886" t="s">
        <v>8982</v>
      </c>
      <c r="C886" t="s">
        <v>8983</v>
      </c>
      <c r="D886" t="s">
        <v>13</v>
      </c>
      <c r="E886" t="s">
        <v>4913</v>
      </c>
      <c r="F886" t="s">
        <v>9131</v>
      </c>
      <c r="G886">
        <f>IF(K886="Pick-up","PICKUPS",IF(K886="Staff drop-off","STAFF_DROPOFF",IF(K886="Replacements","REPLACEMENT",IF(K886="Central Stores Dispatch","CENTRAL STORES DISPATCH",IFNA(IFNA(VLOOKUP(F886,'Raw Platform Nov 4-6 2025'!C:C,1,FALSE),VLOOKUP(F886,'Raw Platform Nov 4-6 2025'!D:D,1,FALSE)),IFNA(VLOOKUP(F886,'Glovo Raw Nov 4-6 2025'!B:B,1,FALSE),"Not Matched"))))))</f>
      </c>
      <c r="H886">
        <f>COUNTIF(F:F,F886)</f>
      </c>
      <c r="I886" t="s">
        <v>9132</v>
      </c>
      <c r="J886" t="s">
        <v>5289</v>
      </c>
      <c r="K886" t="s">
        <v>4927</v>
      </c>
      <c r="L886" t="s">
        <v>5290</v>
      </c>
      <c r="M886" t="s">
        <v>5291</v>
      </c>
      <c r="N886" t="s">
        <v>5292</v>
      </c>
      <c r="O886" t="s">
        <v>3676</v>
      </c>
      <c r="P886" t="s">
        <v>3676</v>
      </c>
      <c r="Q886">
        <v>0</v>
      </c>
      <c r="R886" t="s">
        <v>4922</v>
      </c>
      <c r="S886" t="s">
        <v>29</v>
      </c>
      <c r="T886" t="s">
        <v>4923</v>
      </c>
      <c r="U886" t="s">
        <v>4924</v>
      </c>
      <c r="V886" t="s">
        <v>9133</v>
      </c>
      <c r="W886" t="s">
        <v>3667</v>
      </c>
      <c r="X886">
        <v>100</v>
      </c>
    </row>
    <row r="887" spans="1:24" x14ac:dyDescent="0.25">
      <c r="A887" t="s">
        <v>4910</v>
      </c>
      <c r="B887" t="s">
        <v>8982</v>
      </c>
      <c r="C887" t="s">
        <v>8983</v>
      </c>
      <c r="D887" t="s">
        <v>13</v>
      </c>
      <c r="E887" t="s">
        <v>4913</v>
      </c>
      <c r="F887" t="s">
        <v>3247</v>
      </c>
      <c r="G887">
        <f>IF(K887="Pick-up","PICKUPS",IF(K887="Staff drop-off","STAFF_DROPOFF",IF(K887="Replacements","REPLACEMENT",IF(K887="Central Stores Dispatch","CENTRAL STORES DISPATCH",IFNA(IFNA(VLOOKUP(F887,'Raw Platform Nov 4-6 2025'!C:C,1,FALSE),VLOOKUP(F887,'Raw Platform Nov 4-6 2025'!D:D,1,FALSE)),IFNA(VLOOKUP(F887,'Glovo Raw Nov 4-6 2025'!B:B,1,FALSE),"Not Matched"))))))</f>
      </c>
      <c r="H887">
        <f>COUNTIF(F:F,F887)</f>
      </c>
      <c r="I887" t="s">
        <v>8339</v>
      </c>
      <c r="J887" t="s">
        <v>4915</v>
      </c>
      <c r="K887" t="s">
        <v>4927</v>
      </c>
      <c r="L887" t="s">
        <v>9134</v>
      </c>
      <c r="M887" t="s">
        <v>9135</v>
      </c>
      <c r="N887" t="s">
        <v>9136</v>
      </c>
      <c r="O887" t="s">
        <v>4962</v>
      </c>
      <c r="P887" t="s">
        <v>4963</v>
      </c>
      <c r="Q887">
        <v>0</v>
      </c>
      <c r="R887" t="s">
        <v>4922</v>
      </c>
      <c r="S887" t="s">
        <v>12</v>
      </c>
      <c r="T887" t="s">
        <v>4923</v>
      </c>
      <c r="U887" t="s">
        <v>4924</v>
      </c>
      <c r="V887" t="s">
        <v>9137</v>
      </c>
      <c r="W887" t="s">
        <v>3667</v>
      </c>
      <c r="X887">
        <v>100</v>
      </c>
    </row>
    <row r="888" spans="1:24" x14ac:dyDescent="0.25">
      <c r="A888" t="s">
        <v>4932</v>
      </c>
      <c r="B888" t="s">
        <v>8982</v>
      </c>
      <c r="C888" t="s">
        <v>8983</v>
      </c>
      <c r="D888" t="s">
        <v>13</v>
      </c>
      <c r="E888" t="s">
        <v>4913</v>
      </c>
      <c r="F888" t="s">
        <v>2953</v>
      </c>
      <c r="G888">
        <f>IF(K888="Pick-up","PICKUPS",IF(K888="Staff drop-off","STAFF_DROPOFF",IF(K888="Replacements","REPLACEMENT",IF(K888="Central Stores Dispatch","CENTRAL STORES DISPATCH",IFNA(IFNA(VLOOKUP(F888,'Raw Platform Nov 4-6 2025'!C:C,1,FALSE),VLOOKUP(F888,'Raw Platform Nov 4-6 2025'!D:D,1,FALSE)),IFNA(VLOOKUP(F888,'Glovo Raw Nov 4-6 2025'!B:B,1,FALSE),"Not Matched"))))))</f>
      </c>
      <c r="H888">
        <f>COUNTIF(F:F,F888)</f>
      </c>
      <c r="I888" t="s">
        <v>9138</v>
      </c>
      <c r="J888" t="s">
        <v>63</v>
      </c>
      <c r="K888" t="s">
        <v>4927</v>
      </c>
      <c r="L888" t="s">
        <v>9139</v>
      </c>
      <c r="M888" t="s">
        <v>9140</v>
      </c>
      <c r="N888" t="s">
        <v>9141</v>
      </c>
      <c r="O888" t="s">
        <v>47</v>
      </c>
      <c r="P888" t="s">
        <v>5045</v>
      </c>
      <c r="Q888">
        <v>0</v>
      </c>
      <c r="R888" t="s">
        <v>4922</v>
      </c>
      <c r="S888" t="s">
        <v>29</v>
      </c>
      <c r="T888" t="s">
        <v>4923</v>
      </c>
      <c r="U888" t="s">
        <v>4924</v>
      </c>
      <c r="V888" t="s">
        <v>9142</v>
      </c>
      <c r="W888" t="s">
        <v>3667</v>
      </c>
      <c r="X888">
        <v>102.3</v>
      </c>
    </row>
    <row r="889" spans="1:24" x14ac:dyDescent="0.25">
      <c r="A889" t="s">
        <v>5231</v>
      </c>
      <c r="B889" t="s">
        <v>8982</v>
      </c>
      <c r="C889" t="s">
        <v>8983</v>
      </c>
      <c r="D889" t="s">
        <v>3667</v>
      </c>
      <c r="E889" t="s">
        <v>4913</v>
      </c>
      <c r="F889" t="s">
        <v>9143</v>
      </c>
      <c r="G889">
        <f>IF(K889="Pick-up","PICKUPS",IF(K889="Staff drop-off","STAFF_DROPOFF",IF(K889="Replacements","REPLACEMENT",IF(K889="Central Stores Dispatch","CENTRAL STORES DISPATCH",IFNA(IFNA(VLOOKUP(F889,'Raw Platform Nov 4-6 2025'!C:C,1,FALSE),VLOOKUP(F889,'Raw Platform Nov 4-6 2025'!D:D,1,FALSE)),IFNA(VLOOKUP(F889,'Glovo Raw Nov 4-6 2025'!B:B,1,FALSE),"Not Matched"))))))</f>
      </c>
      <c r="H889">
        <f>COUNTIF(F:F,F889)</f>
      </c>
      <c r="I889" t="s">
        <v>9144</v>
      </c>
      <c r="J889" t="s">
        <v>5028</v>
      </c>
      <c r="K889" t="s">
        <v>4927</v>
      </c>
      <c r="L889" t="s">
        <v>8423</v>
      </c>
      <c r="M889" t="s">
        <v>8419</v>
      </c>
      <c r="N889" t="s">
        <v>8420</v>
      </c>
      <c r="O889" t="s">
        <v>4920</v>
      </c>
      <c r="P889" t="s">
        <v>5430</v>
      </c>
      <c r="Q889">
        <v>0</v>
      </c>
      <c r="R889" t="s">
        <v>4922</v>
      </c>
      <c r="S889" t="s">
        <v>3667</v>
      </c>
      <c r="T889" t="s">
        <v>4923</v>
      </c>
      <c r="U889" t="s">
        <v>4924</v>
      </c>
      <c r="V889" t="s">
        <v>9145</v>
      </c>
      <c r="W889" t="s">
        <v>3667</v>
      </c>
      <c r="X889">
        <v>100</v>
      </c>
    </row>
    <row r="890" spans="1:24" x14ac:dyDescent="0.25">
      <c r="A890" t="s">
        <v>5130</v>
      </c>
      <c r="B890" t="s">
        <v>8982</v>
      </c>
      <c r="C890" t="s">
        <v>8983</v>
      </c>
      <c r="D890" t="s">
        <v>24</v>
      </c>
      <c r="E890" t="s">
        <v>4913</v>
      </c>
      <c r="F890" t="s">
        <v>3226</v>
      </c>
      <c r="G890">
        <f>IF(K890="Pick-up","PICKUPS",IF(K890="Staff drop-off","STAFF_DROPOFF",IF(K890="Replacements","REPLACEMENT",IF(K890="Central Stores Dispatch","CENTRAL STORES DISPATCH",IFNA(IFNA(VLOOKUP(F890,'Raw Platform Nov 4-6 2025'!C:C,1,FALSE),VLOOKUP(F890,'Raw Platform Nov 4-6 2025'!D:D,1,FALSE)),IFNA(VLOOKUP(F890,'Glovo Raw Nov 4-6 2025'!B:B,1,FALSE),"Not Matched"))))))</f>
      </c>
      <c r="H890">
        <f>COUNTIF(F:F,F890)</f>
      </c>
      <c r="I890" t="s">
        <v>9146</v>
      </c>
      <c r="J890" t="s">
        <v>4915</v>
      </c>
      <c r="K890" t="s">
        <v>4927</v>
      </c>
      <c r="L890" t="s">
        <v>9147</v>
      </c>
      <c r="M890" t="s">
        <v>9148</v>
      </c>
      <c r="N890" t="s">
        <v>5055</v>
      </c>
      <c r="O890" t="s">
        <v>4949</v>
      </c>
      <c r="P890" t="s">
        <v>5013</v>
      </c>
      <c r="Q890">
        <v>0</v>
      </c>
      <c r="R890" t="s">
        <v>4922</v>
      </c>
      <c r="S890" t="s">
        <v>5136</v>
      </c>
      <c r="T890" t="s">
        <v>4923</v>
      </c>
      <c r="U890" t="s">
        <v>4924</v>
      </c>
      <c r="V890" t="s">
        <v>9149</v>
      </c>
      <c r="W890" t="s">
        <v>3667</v>
      </c>
      <c r="X890">
        <v>100</v>
      </c>
    </row>
    <row r="891" spans="1:24" x14ac:dyDescent="0.25">
      <c r="A891" t="s">
        <v>5130</v>
      </c>
      <c r="B891" t="s">
        <v>8982</v>
      </c>
      <c r="C891" t="s">
        <v>8983</v>
      </c>
      <c r="D891" t="s">
        <v>24</v>
      </c>
      <c r="E891" t="s">
        <v>4913</v>
      </c>
      <c r="F891" t="s">
        <v>2665</v>
      </c>
      <c r="G891">
        <f>IF(K891="Pick-up","PICKUPS",IF(K891="Staff drop-off","STAFF_DROPOFF",IF(K891="Replacements","REPLACEMENT",IF(K891="Central Stores Dispatch","CENTRAL STORES DISPATCH",IFNA(IFNA(VLOOKUP(F891,'Raw Platform Nov 4-6 2025'!C:C,1,FALSE),VLOOKUP(F891,'Raw Platform Nov 4-6 2025'!D:D,1,FALSE)),IFNA(VLOOKUP(F891,'Glovo Raw Nov 4-6 2025'!B:B,1,FALSE),"Not Matched"))))))</f>
      </c>
      <c r="H891">
        <f>COUNTIF(F:F,F891)</f>
      </c>
      <c r="I891" t="s">
        <v>9150</v>
      </c>
      <c r="J891" t="s">
        <v>4915</v>
      </c>
      <c r="K891" t="s">
        <v>4927</v>
      </c>
      <c r="L891" t="s">
        <v>9151</v>
      </c>
      <c r="M891" t="s">
        <v>9152</v>
      </c>
      <c r="N891" t="s">
        <v>9153</v>
      </c>
      <c r="O891" t="s">
        <v>4962</v>
      </c>
      <c r="P891" t="s">
        <v>5019</v>
      </c>
      <c r="Q891">
        <v>0</v>
      </c>
      <c r="R891" t="s">
        <v>4922</v>
      </c>
      <c r="S891" t="s">
        <v>5136</v>
      </c>
      <c r="T891" t="s">
        <v>4923</v>
      </c>
      <c r="U891" t="s">
        <v>4924</v>
      </c>
      <c r="V891" t="s">
        <v>9154</v>
      </c>
      <c r="W891" t="s">
        <v>3667</v>
      </c>
      <c r="X891">
        <v>100</v>
      </c>
    </row>
    <row r="892" spans="1:24" x14ac:dyDescent="0.25">
      <c r="A892" t="s">
        <v>5130</v>
      </c>
      <c r="B892" t="s">
        <v>8982</v>
      </c>
      <c r="C892" t="s">
        <v>8983</v>
      </c>
      <c r="D892" t="s">
        <v>24</v>
      </c>
      <c r="E892" t="s">
        <v>5034</v>
      </c>
      <c r="F892" t="s">
        <v>2727</v>
      </c>
      <c r="G892">
        <f>IF(K892="Pick-up","PICKUPS",IF(K892="Staff drop-off","STAFF_DROPOFF",IF(K892="Replacements","REPLACEMENT",IF(K892="Central Stores Dispatch","CENTRAL STORES DISPATCH",IFNA(IFNA(VLOOKUP(F892,'Raw Platform Nov 4-6 2025'!C:C,1,FALSE),VLOOKUP(F892,'Raw Platform Nov 4-6 2025'!D:D,1,FALSE)),IFNA(VLOOKUP(F892,'Glovo Raw Nov 4-6 2025'!B:B,1,FALSE),"Not Matched"))))))</f>
      </c>
      <c r="H892">
        <f>COUNTIF(F:F,F892)</f>
      </c>
      <c r="I892" t="s">
        <v>9155</v>
      </c>
      <c r="J892" t="s">
        <v>4915</v>
      </c>
      <c r="K892" t="s">
        <v>4916</v>
      </c>
      <c r="L892" t="s">
        <v>9156</v>
      </c>
      <c r="M892" t="s">
        <v>9157</v>
      </c>
      <c r="N892" t="s">
        <v>9158</v>
      </c>
      <c r="O892" t="s">
        <v>100</v>
      </c>
      <c r="P892" t="s">
        <v>6241</v>
      </c>
      <c r="Q892">
        <v>792</v>
      </c>
      <c r="R892" t="s">
        <v>4922</v>
      </c>
      <c r="S892" t="s">
        <v>35</v>
      </c>
      <c r="T892" t="s">
        <v>4923</v>
      </c>
      <c r="U892" t="s">
        <v>4923</v>
      </c>
      <c r="V892" t="s">
        <v>9159</v>
      </c>
      <c r="W892" t="s">
        <v>3667</v>
      </c>
      <c r="X892">
        <v>0</v>
      </c>
    </row>
    <row r="893" spans="1:24" x14ac:dyDescent="0.25">
      <c r="A893" t="s">
        <v>5130</v>
      </c>
      <c r="B893" t="s">
        <v>8982</v>
      </c>
      <c r="C893" t="s">
        <v>8983</v>
      </c>
      <c r="D893" t="s">
        <v>24</v>
      </c>
      <c r="E893" t="s">
        <v>4913</v>
      </c>
      <c r="F893" t="s">
        <v>2727</v>
      </c>
      <c r="G893">
        <f>IF(K893="Pick-up","PICKUPS",IF(K893="Staff drop-off","STAFF_DROPOFF",IF(K893="Replacements","REPLACEMENT",IF(K893="Central Stores Dispatch","CENTRAL STORES DISPATCH",IFNA(IFNA(VLOOKUP(F893,'Raw Platform Nov 4-6 2025'!C:C,1,FALSE),VLOOKUP(F893,'Raw Platform Nov 4-6 2025'!D:D,1,FALSE)),IFNA(VLOOKUP(F893,'Glovo Raw Nov 4-6 2025'!B:B,1,FALSE),"Not Matched"))))))</f>
      </c>
      <c r="H893">
        <f>COUNTIF(F:F,F893)</f>
      </c>
      <c r="I893" t="s">
        <v>9155</v>
      </c>
      <c r="J893" t="s">
        <v>4915</v>
      </c>
      <c r="K893" t="s">
        <v>4916</v>
      </c>
      <c r="L893" t="s">
        <v>9156</v>
      </c>
      <c r="M893" t="s">
        <v>9157</v>
      </c>
      <c r="N893" t="s">
        <v>9158</v>
      </c>
      <c r="O893" t="s">
        <v>100</v>
      </c>
      <c r="P893" t="s">
        <v>6241</v>
      </c>
      <c r="Q893">
        <v>792</v>
      </c>
      <c r="R893" t="s">
        <v>4922</v>
      </c>
      <c r="S893" t="s">
        <v>35</v>
      </c>
      <c r="T893" t="s">
        <v>4923</v>
      </c>
      <c r="U893" t="s">
        <v>4924</v>
      </c>
      <c r="V893" t="s">
        <v>9160</v>
      </c>
      <c r="W893" t="s">
        <v>3667</v>
      </c>
      <c r="X893">
        <v>228.8</v>
      </c>
    </row>
    <row r="894" spans="1:24" x14ac:dyDescent="0.25">
      <c r="A894" t="s">
        <v>5130</v>
      </c>
      <c r="B894" t="s">
        <v>8982</v>
      </c>
      <c r="C894" t="s">
        <v>8983</v>
      </c>
      <c r="D894" t="s">
        <v>191</v>
      </c>
      <c r="E894" t="s">
        <v>4913</v>
      </c>
      <c r="F894" t="s">
        <v>3210</v>
      </c>
      <c r="G894">
        <f>IF(K894="Pick-up","PICKUPS",IF(K894="Staff drop-off","STAFF_DROPOFF",IF(K894="Replacements","REPLACEMENT",IF(K894="Central Stores Dispatch","CENTRAL STORES DISPATCH",IFNA(IFNA(VLOOKUP(F894,'Raw Platform Nov 4-6 2025'!C:C,1,FALSE),VLOOKUP(F894,'Raw Platform Nov 4-6 2025'!D:D,1,FALSE)),IFNA(VLOOKUP(F894,'Glovo Raw Nov 4-6 2025'!B:B,1,FALSE),"Not Matched"))))))</f>
      </c>
      <c r="H894">
        <f>COUNTIF(F:F,F894)</f>
      </c>
      <c r="I894" t="s">
        <v>9161</v>
      </c>
      <c r="J894" t="s">
        <v>63</v>
      </c>
      <c r="K894" t="s">
        <v>4916</v>
      </c>
      <c r="L894" t="s">
        <v>9162</v>
      </c>
      <c r="M894" t="s">
        <v>9163</v>
      </c>
      <c r="N894" t="s">
        <v>9164</v>
      </c>
      <c r="O894" t="s">
        <v>4949</v>
      </c>
      <c r="P894" t="s">
        <v>4969</v>
      </c>
      <c r="Q894">
        <v>1099</v>
      </c>
      <c r="R894" t="s">
        <v>4922</v>
      </c>
      <c r="S894" t="s">
        <v>5699</v>
      </c>
      <c r="T894" t="s">
        <v>4923</v>
      </c>
      <c r="U894" t="s">
        <v>4924</v>
      </c>
      <c r="V894" t="s">
        <v>9165</v>
      </c>
      <c r="W894" t="s">
        <v>3667</v>
      </c>
      <c r="X894">
        <v>100</v>
      </c>
    </row>
    <row r="895" spans="1:24" x14ac:dyDescent="0.25">
      <c r="A895" t="s">
        <v>5130</v>
      </c>
      <c r="B895" t="s">
        <v>8982</v>
      </c>
      <c r="C895" t="s">
        <v>8983</v>
      </c>
      <c r="D895" t="s">
        <v>24</v>
      </c>
      <c r="E895" t="s">
        <v>4913</v>
      </c>
      <c r="F895" t="s">
        <v>9166</v>
      </c>
      <c r="G895">
        <f>IF(K895="Pick-up","PICKUPS",IF(K895="Staff drop-off","STAFF_DROPOFF",IF(K895="Replacements","REPLACEMENT",IF(K895="Central Stores Dispatch","CENTRAL STORES DISPATCH",IFNA(IFNA(VLOOKUP(F895,'Raw Platform Nov 4-6 2025'!C:C,1,FALSE),VLOOKUP(F895,'Raw Platform Nov 4-6 2025'!D:D,1,FALSE)),IFNA(VLOOKUP(F895,'Glovo Raw Nov 4-6 2025'!B:B,1,FALSE),"Not Matched"))))))</f>
      </c>
      <c r="H895">
        <f>COUNTIF(F:F,F895)</f>
      </c>
      <c r="I895" t="s">
        <v>9167</v>
      </c>
      <c r="J895" t="s">
        <v>5318</v>
      </c>
      <c r="K895" t="s">
        <v>4927</v>
      </c>
      <c r="L895" t="s">
        <v>5319</v>
      </c>
      <c r="M895" t="s">
        <v>5320</v>
      </c>
      <c r="N895" t="s">
        <v>7154</v>
      </c>
      <c r="O895" t="s">
        <v>4920</v>
      </c>
      <c r="P895" t="s">
        <v>5430</v>
      </c>
      <c r="Q895">
        <v>0</v>
      </c>
      <c r="R895" t="s">
        <v>4922</v>
      </c>
      <c r="S895" t="s">
        <v>5293</v>
      </c>
      <c r="T895" t="s">
        <v>4923</v>
      </c>
      <c r="U895" t="s">
        <v>4924</v>
      </c>
      <c r="V895" t="s">
        <v>9168</v>
      </c>
      <c r="W895" t="s">
        <v>3667</v>
      </c>
      <c r="X895">
        <v>100</v>
      </c>
    </row>
    <row r="896" spans="1:24" x14ac:dyDescent="0.25">
      <c r="A896" t="s">
        <v>5130</v>
      </c>
      <c r="B896" t="s">
        <v>8982</v>
      </c>
      <c r="C896" t="s">
        <v>8983</v>
      </c>
      <c r="D896" t="s">
        <v>24</v>
      </c>
      <c r="E896" t="s">
        <v>4913</v>
      </c>
      <c r="F896" t="s">
        <v>3316</v>
      </c>
      <c r="G896">
        <f>IF(K896="Pick-up","PICKUPS",IF(K896="Staff drop-off","STAFF_DROPOFF",IF(K896="Replacements","REPLACEMENT",IF(K896="Central Stores Dispatch","CENTRAL STORES DISPATCH",IFNA(IFNA(VLOOKUP(F896,'Raw Platform Nov 4-6 2025'!C:C,1,FALSE),VLOOKUP(F896,'Raw Platform Nov 4-6 2025'!D:D,1,FALSE)),IFNA(VLOOKUP(F896,'Glovo Raw Nov 4-6 2025'!B:B,1,FALSE),"Not Matched"))))))</f>
      </c>
      <c r="H896">
        <f>COUNTIF(F:F,F896)</f>
      </c>
      <c r="I896" t="s">
        <v>9169</v>
      </c>
      <c r="J896" t="s">
        <v>5341</v>
      </c>
      <c r="K896" t="s">
        <v>4916</v>
      </c>
      <c r="L896" t="s">
        <v>5634</v>
      </c>
      <c r="M896" t="s">
        <v>9170</v>
      </c>
      <c r="N896" t="s">
        <v>9171</v>
      </c>
      <c r="O896" t="s">
        <v>26</v>
      </c>
      <c r="P896" t="s">
        <v>4949</v>
      </c>
      <c r="Q896">
        <v>1850</v>
      </c>
      <c r="R896" t="s">
        <v>4922</v>
      </c>
      <c r="S896" t="s">
        <v>116</v>
      </c>
      <c r="T896" t="s">
        <v>4923</v>
      </c>
      <c r="U896" t="s">
        <v>4924</v>
      </c>
      <c r="V896" t="s">
        <v>9172</v>
      </c>
      <c r="W896" t="s">
        <v>3667</v>
      </c>
      <c r="X896">
        <v>157.5</v>
      </c>
    </row>
    <row r="897" spans="1:24" x14ac:dyDescent="0.25">
      <c r="A897" t="s">
        <v>4932</v>
      </c>
      <c r="B897" t="s">
        <v>8982</v>
      </c>
      <c r="C897" t="s">
        <v>8983</v>
      </c>
      <c r="D897" t="s">
        <v>13</v>
      </c>
      <c r="E897" t="s">
        <v>4913</v>
      </c>
      <c r="F897" t="s">
        <v>9173</v>
      </c>
      <c r="G897">
        <f>IF(K897="Pick-up","PICKUPS",IF(K897="Staff drop-off","STAFF_DROPOFF",IF(K897="Replacements","REPLACEMENT",IF(K897="Central Stores Dispatch","CENTRAL STORES DISPATCH",IFNA(IFNA(VLOOKUP(F897,'Raw Platform Nov 4-6 2025'!C:C,1,FALSE),VLOOKUP(F897,'Raw Platform Nov 4-6 2025'!D:D,1,FALSE)),IFNA(VLOOKUP(F897,'Glovo Raw Nov 4-6 2025'!B:B,1,FALSE),"Not Matched"))))))</f>
      </c>
      <c r="H897">
        <f>COUNTIF(F:F,F897)</f>
      </c>
      <c r="I897" t="s">
        <v>9174</v>
      </c>
      <c r="J897" t="s">
        <v>5289</v>
      </c>
      <c r="K897" t="s">
        <v>4927</v>
      </c>
      <c r="L897" t="s">
        <v>5290</v>
      </c>
      <c r="M897" t="s">
        <v>5291</v>
      </c>
      <c r="N897" t="s">
        <v>5292</v>
      </c>
      <c r="O897" t="s">
        <v>3676</v>
      </c>
      <c r="P897" t="s">
        <v>3676</v>
      </c>
      <c r="Q897">
        <v>0</v>
      </c>
      <c r="R897" t="s">
        <v>4922</v>
      </c>
      <c r="S897" t="s">
        <v>29</v>
      </c>
      <c r="T897" t="s">
        <v>4923</v>
      </c>
      <c r="U897" t="s">
        <v>4924</v>
      </c>
      <c r="V897" t="s">
        <v>9175</v>
      </c>
      <c r="W897" t="s">
        <v>3667</v>
      </c>
      <c r="X897">
        <v>100</v>
      </c>
    </row>
    <row r="898" spans="1:24" x14ac:dyDescent="0.25">
      <c r="A898" t="s">
        <v>4932</v>
      </c>
      <c r="B898" t="s">
        <v>8982</v>
      </c>
      <c r="C898" t="s">
        <v>8983</v>
      </c>
      <c r="D898" t="s">
        <v>13</v>
      </c>
      <c r="E898" t="s">
        <v>4913</v>
      </c>
      <c r="F898" t="s">
        <v>9176</v>
      </c>
      <c r="G898">
        <f>IF(K898="Pick-up","PICKUPS",IF(K898="Staff drop-off","STAFF_DROPOFF",IF(K898="Replacements","REPLACEMENT",IF(K898="Central Stores Dispatch","CENTRAL STORES DISPATCH",IFNA(IFNA(VLOOKUP(F898,'Raw Platform Nov 4-6 2025'!C:C,1,FALSE),VLOOKUP(F898,'Raw Platform Nov 4-6 2025'!D:D,1,FALSE)),IFNA(VLOOKUP(F898,'Glovo Raw Nov 4-6 2025'!B:B,1,FALSE),"Not Matched"))))))</f>
      </c>
      <c r="H898">
        <f>COUNTIF(F:F,F898)</f>
      </c>
      <c r="I898" t="s">
        <v>9177</v>
      </c>
      <c r="J898" t="s">
        <v>5289</v>
      </c>
      <c r="K898" t="s">
        <v>4927</v>
      </c>
      <c r="L898" t="s">
        <v>5290</v>
      </c>
      <c r="M898" t="s">
        <v>5291</v>
      </c>
      <c r="N898" t="s">
        <v>5292</v>
      </c>
      <c r="O898" t="s">
        <v>3676</v>
      </c>
      <c r="P898" t="s">
        <v>3676</v>
      </c>
      <c r="Q898">
        <v>0</v>
      </c>
      <c r="R898" t="s">
        <v>4922</v>
      </c>
      <c r="S898" t="s">
        <v>29</v>
      </c>
      <c r="T898" t="s">
        <v>4923</v>
      </c>
      <c r="U898" t="s">
        <v>4924</v>
      </c>
      <c r="V898" t="s">
        <v>9178</v>
      </c>
      <c r="W898" t="s">
        <v>3667</v>
      </c>
      <c r="X898">
        <v>100</v>
      </c>
    </row>
    <row r="899" spans="1:24" x14ac:dyDescent="0.25">
      <c r="A899" t="s">
        <v>4932</v>
      </c>
      <c r="B899" t="s">
        <v>9179</v>
      </c>
      <c r="C899" t="s">
        <v>9180</v>
      </c>
      <c r="D899" t="s">
        <v>13</v>
      </c>
      <c r="E899" t="s">
        <v>4913</v>
      </c>
      <c r="F899" t="s">
        <v>737</v>
      </c>
      <c r="G899">
        <f>IF(K899="Pick-up","PICKUPS",IF(K899="Staff drop-off","STAFF_DROPOFF",IF(K899="Replacements","REPLACEMENT",IF(K899="Central Stores Dispatch","CENTRAL STORES DISPATCH",IFNA(IFNA(VLOOKUP(F899,'Raw Platform Nov 4-6 2025'!C:C,1,FALSE),VLOOKUP(F899,'Raw Platform Nov 4-6 2025'!D:D,1,FALSE)),IFNA(VLOOKUP(F899,'Glovo Raw Nov 4-6 2025'!B:B,1,FALSE),"Not Matched"))))))</f>
      </c>
      <c r="H899">
        <f>COUNTIF(F:F,F899)</f>
      </c>
      <c r="I899" t="s">
        <v>9181</v>
      </c>
      <c r="J899" t="s">
        <v>4915</v>
      </c>
      <c r="K899" t="s">
        <v>4927</v>
      </c>
      <c r="L899" t="s">
        <v>9182</v>
      </c>
      <c r="M899" t="s">
        <v>9183</v>
      </c>
      <c r="N899" t="s">
        <v>9136</v>
      </c>
      <c r="O899" t="s">
        <v>4962</v>
      </c>
      <c r="P899" t="s">
        <v>4963</v>
      </c>
      <c r="Q899">
        <v>0</v>
      </c>
      <c r="R899" t="s">
        <v>5118</v>
      </c>
      <c r="S899" t="s">
        <v>29</v>
      </c>
      <c r="T899" t="s">
        <v>4923</v>
      </c>
      <c r="U899" t="s">
        <v>4924</v>
      </c>
      <c r="V899" t="s">
        <v>9184</v>
      </c>
      <c r="W899" t="s">
        <v>3667</v>
      </c>
      <c r="X899">
        <v>100</v>
      </c>
    </row>
    <row r="900" spans="1:24" x14ac:dyDescent="0.25">
      <c r="A900" t="s">
        <v>4910</v>
      </c>
      <c r="B900" t="s">
        <v>9179</v>
      </c>
      <c r="C900" t="s">
        <v>9180</v>
      </c>
      <c r="D900" t="s">
        <v>13</v>
      </c>
      <c r="E900" t="s">
        <v>4913</v>
      </c>
      <c r="F900" t="s">
        <v>943</v>
      </c>
      <c r="G900">
        <f>IF(K900="Pick-up","PICKUPS",IF(K900="Staff drop-off","STAFF_DROPOFF",IF(K900="Replacements","REPLACEMENT",IF(K900="Central Stores Dispatch","CENTRAL STORES DISPATCH",IFNA(IFNA(VLOOKUP(F900,'Raw Platform Nov 4-6 2025'!C:C,1,FALSE),VLOOKUP(F900,'Raw Platform Nov 4-6 2025'!D:D,1,FALSE)),IFNA(VLOOKUP(F900,'Glovo Raw Nov 4-6 2025'!B:B,1,FALSE),"Not Matched"))))))</f>
      </c>
      <c r="H900">
        <f>COUNTIF(F:F,F900)</f>
      </c>
      <c r="I900" t="s">
        <v>9185</v>
      </c>
      <c r="J900" t="s">
        <v>5341</v>
      </c>
      <c r="K900" t="s">
        <v>4927</v>
      </c>
      <c r="L900" t="s">
        <v>8343</v>
      </c>
      <c r="M900" t="s">
        <v>9186</v>
      </c>
      <c r="N900" t="s">
        <v>9187</v>
      </c>
      <c r="O900" t="s">
        <v>73</v>
      </c>
      <c r="P900" t="s">
        <v>5387</v>
      </c>
      <c r="Q900">
        <v>0</v>
      </c>
      <c r="R900" t="s">
        <v>5118</v>
      </c>
      <c r="S900" t="s">
        <v>12</v>
      </c>
      <c r="T900" t="s">
        <v>4923</v>
      </c>
      <c r="U900" t="s">
        <v>4924</v>
      </c>
      <c r="V900" t="s">
        <v>9188</v>
      </c>
      <c r="W900" t="s">
        <v>3667</v>
      </c>
      <c r="X900">
        <v>152.9</v>
      </c>
    </row>
    <row r="901" spans="1:24" x14ac:dyDescent="0.25">
      <c r="A901" t="s">
        <v>4910</v>
      </c>
      <c r="B901" t="s">
        <v>9179</v>
      </c>
      <c r="C901" t="s">
        <v>9180</v>
      </c>
      <c r="D901" t="s">
        <v>13</v>
      </c>
      <c r="E901" t="s">
        <v>4913</v>
      </c>
      <c r="F901" t="s">
        <v>1021</v>
      </c>
      <c r="G901">
        <f>IF(K901="Pick-up","PICKUPS",IF(K901="Staff drop-off","STAFF_DROPOFF",IF(K901="Replacements","REPLACEMENT",IF(K901="Central Stores Dispatch","CENTRAL STORES DISPATCH",IFNA(IFNA(VLOOKUP(F901,'Raw Platform Nov 4-6 2025'!C:C,1,FALSE),VLOOKUP(F901,'Raw Platform Nov 4-6 2025'!D:D,1,FALSE)),IFNA(VLOOKUP(F901,'Glovo Raw Nov 4-6 2025'!B:B,1,FALSE),"Not Matched"))))))</f>
      </c>
      <c r="H901">
        <f>COUNTIF(F:F,F901)</f>
      </c>
      <c r="I901" t="s">
        <v>9189</v>
      </c>
      <c r="J901" t="s">
        <v>5341</v>
      </c>
      <c r="K901" t="s">
        <v>4927</v>
      </c>
      <c r="L901" t="s">
        <v>9190</v>
      </c>
      <c r="M901" t="s">
        <v>9191</v>
      </c>
      <c r="N901" t="s">
        <v>5091</v>
      </c>
      <c r="O901" t="s">
        <v>26</v>
      </c>
      <c r="P901" t="s">
        <v>4949</v>
      </c>
      <c r="Q901">
        <v>0</v>
      </c>
      <c r="R901" t="s">
        <v>5118</v>
      </c>
      <c r="S901" t="s">
        <v>12</v>
      </c>
      <c r="T901" t="s">
        <v>4923</v>
      </c>
      <c r="U901" t="s">
        <v>4924</v>
      </c>
      <c r="V901" t="s">
        <v>9192</v>
      </c>
      <c r="W901" t="s">
        <v>3667</v>
      </c>
      <c r="X901">
        <v>157.5</v>
      </c>
    </row>
    <row r="902" spans="1:24" x14ac:dyDescent="0.25">
      <c r="A902" t="s">
        <v>4932</v>
      </c>
      <c r="B902" t="s">
        <v>9179</v>
      </c>
      <c r="C902" t="s">
        <v>9180</v>
      </c>
      <c r="D902" t="s">
        <v>13</v>
      </c>
      <c r="E902" t="s">
        <v>4913</v>
      </c>
      <c r="F902" t="s">
        <v>809</v>
      </c>
      <c r="G902">
        <f>IF(K902="Pick-up","PICKUPS",IF(K902="Staff drop-off","STAFF_DROPOFF",IF(K902="Replacements","REPLACEMENT",IF(K902="Central Stores Dispatch","CENTRAL STORES DISPATCH",IFNA(IFNA(VLOOKUP(F902,'Raw Platform Nov 4-6 2025'!C:C,1,FALSE),VLOOKUP(F902,'Raw Platform Nov 4-6 2025'!D:D,1,FALSE)),IFNA(VLOOKUP(F902,'Glovo Raw Nov 4-6 2025'!B:B,1,FALSE),"Not Matched"))))))</f>
      </c>
      <c r="H902">
        <f>COUNTIF(F:F,F902)</f>
      </c>
      <c r="I902" t="s">
        <v>9193</v>
      </c>
      <c r="J902" t="s">
        <v>63</v>
      </c>
      <c r="K902" t="s">
        <v>4927</v>
      </c>
      <c r="L902" t="s">
        <v>9194</v>
      </c>
      <c r="M902" t="s">
        <v>9195</v>
      </c>
      <c r="N902" t="s">
        <v>9196</v>
      </c>
      <c r="O902" t="s">
        <v>47</v>
      </c>
      <c r="P902" t="s">
        <v>5795</v>
      </c>
      <c r="Q902">
        <v>0</v>
      </c>
      <c r="R902" t="s">
        <v>5118</v>
      </c>
      <c r="S902" t="s">
        <v>29</v>
      </c>
      <c r="T902" t="s">
        <v>4923</v>
      </c>
      <c r="U902" t="s">
        <v>4924</v>
      </c>
      <c r="V902" t="s">
        <v>9197</v>
      </c>
      <c r="W902" t="s">
        <v>3667</v>
      </c>
      <c r="X902">
        <v>150.6</v>
      </c>
    </row>
    <row r="903" spans="1:24" x14ac:dyDescent="0.25">
      <c r="A903" t="s">
        <v>4932</v>
      </c>
      <c r="B903" t="s">
        <v>9179</v>
      </c>
      <c r="C903" t="s">
        <v>9180</v>
      </c>
      <c r="D903" t="s">
        <v>13</v>
      </c>
      <c r="E903" t="s">
        <v>4913</v>
      </c>
      <c r="F903" t="s">
        <v>789</v>
      </c>
      <c r="G903">
        <f>IF(K903="Pick-up","PICKUPS",IF(K903="Staff drop-off","STAFF_DROPOFF",IF(K903="Replacements","REPLACEMENT",IF(K903="Central Stores Dispatch","CENTRAL STORES DISPATCH",IFNA(IFNA(VLOOKUP(F903,'Raw Platform Nov 4-6 2025'!C:C,1,FALSE),VLOOKUP(F903,'Raw Platform Nov 4-6 2025'!D:D,1,FALSE)),IFNA(VLOOKUP(F903,'Glovo Raw Nov 4-6 2025'!B:B,1,FALSE),"Not Matched"))))))</f>
      </c>
      <c r="H903">
        <f>COUNTIF(F:F,F903)</f>
      </c>
      <c r="I903" t="s">
        <v>9198</v>
      </c>
      <c r="J903" t="s">
        <v>4915</v>
      </c>
      <c r="K903" t="s">
        <v>4927</v>
      </c>
      <c r="L903" t="s">
        <v>9199</v>
      </c>
      <c r="M903" t="s">
        <v>9200</v>
      </c>
      <c r="N903" t="s">
        <v>9201</v>
      </c>
      <c r="O903" t="s">
        <v>183</v>
      </c>
      <c r="P903" t="s">
        <v>5410</v>
      </c>
      <c r="Q903">
        <v>0</v>
      </c>
      <c r="R903" t="s">
        <v>5118</v>
      </c>
      <c r="S903" t="s">
        <v>29</v>
      </c>
      <c r="T903" t="s">
        <v>4923</v>
      </c>
      <c r="U903" t="s">
        <v>4924</v>
      </c>
      <c r="V903" t="s">
        <v>9202</v>
      </c>
      <c r="W903" t="s">
        <v>3667</v>
      </c>
      <c r="X903">
        <v>277.1</v>
      </c>
    </row>
    <row r="904" spans="1:24" x14ac:dyDescent="0.25">
      <c r="A904" t="s">
        <v>4910</v>
      </c>
      <c r="B904" t="s">
        <v>9179</v>
      </c>
      <c r="C904" t="s">
        <v>9180</v>
      </c>
      <c r="D904" t="s">
        <v>13</v>
      </c>
      <c r="E904" t="s">
        <v>4913</v>
      </c>
      <c r="F904" t="s">
        <v>558</v>
      </c>
      <c r="G904">
        <f>IF(K904="Pick-up","PICKUPS",IF(K904="Staff drop-off","STAFF_DROPOFF",IF(K904="Replacements","REPLACEMENT",IF(K904="Central Stores Dispatch","CENTRAL STORES DISPATCH",IFNA(IFNA(VLOOKUP(F904,'Raw Platform Nov 4-6 2025'!C:C,1,FALSE),VLOOKUP(F904,'Raw Platform Nov 4-6 2025'!D:D,1,FALSE)),IFNA(VLOOKUP(F904,'Glovo Raw Nov 4-6 2025'!B:B,1,FALSE),"Not Matched"))))))</f>
      </c>
      <c r="H904">
        <f>COUNTIF(F:F,F904)</f>
      </c>
      <c r="I904" t="s">
        <v>9203</v>
      </c>
      <c r="J904" t="s">
        <v>63</v>
      </c>
      <c r="K904" t="s">
        <v>4927</v>
      </c>
      <c r="L904" t="s">
        <v>9204</v>
      </c>
      <c r="M904" t="s">
        <v>9205</v>
      </c>
      <c r="N904" t="s">
        <v>9206</v>
      </c>
      <c r="O904" t="s">
        <v>47</v>
      </c>
      <c r="P904" t="s">
        <v>4984</v>
      </c>
      <c r="Q904">
        <v>0</v>
      </c>
      <c r="R904" t="s">
        <v>5118</v>
      </c>
      <c r="S904" t="s">
        <v>12</v>
      </c>
      <c r="T904" t="s">
        <v>4923</v>
      </c>
      <c r="U904" t="s">
        <v>4924</v>
      </c>
      <c r="V904" t="s">
        <v>9207</v>
      </c>
      <c r="W904" t="s">
        <v>3667</v>
      </c>
      <c r="X904">
        <v>100</v>
      </c>
    </row>
    <row r="905" spans="1:24" x14ac:dyDescent="0.25">
      <c r="A905" t="s">
        <v>4910</v>
      </c>
      <c r="B905" t="s">
        <v>9179</v>
      </c>
      <c r="C905" t="s">
        <v>9180</v>
      </c>
      <c r="D905" t="s">
        <v>13</v>
      </c>
      <c r="E905" t="s">
        <v>4913</v>
      </c>
      <c r="F905" t="s">
        <v>1085</v>
      </c>
      <c r="G905">
        <f>IF(K905="Pick-up","PICKUPS",IF(K905="Staff drop-off","STAFF_DROPOFF",IF(K905="Replacements","REPLACEMENT",IF(K905="Central Stores Dispatch","CENTRAL STORES DISPATCH",IFNA(IFNA(VLOOKUP(F905,'Raw Platform Nov 4-6 2025'!C:C,1,FALSE),VLOOKUP(F905,'Raw Platform Nov 4-6 2025'!D:D,1,FALSE)),IFNA(VLOOKUP(F905,'Glovo Raw Nov 4-6 2025'!B:B,1,FALSE),"Not Matched"))))))</f>
      </c>
      <c r="H905">
        <f>COUNTIF(F:F,F905)</f>
      </c>
      <c r="I905" t="s">
        <v>9208</v>
      </c>
      <c r="J905" t="s">
        <v>4915</v>
      </c>
      <c r="K905" t="s">
        <v>4927</v>
      </c>
      <c r="L905" t="s">
        <v>9209</v>
      </c>
      <c r="M905" t="s">
        <v>4918</v>
      </c>
      <c r="N905" t="s">
        <v>5050</v>
      </c>
      <c r="O905" t="s">
        <v>47</v>
      </c>
      <c r="P905" t="s">
        <v>4984</v>
      </c>
      <c r="Q905">
        <v>0</v>
      </c>
      <c r="R905" t="s">
        <v>5118</v>
      </c>
      <c r="S905" t="s">
        <v>12</v>
      </c>
      <c r="T905" t="s">
        <v>4923</v>
      </c>
      <c r="U905" t="s">
        <v>4924</v>
      </c>
      <c r="V905" t="s">
        <v>9210</v>
      </c>
      <c r="W905" t="s">
        <v>3667</v>
      </c>
      <c r="X905">
        <v>100</v>
      </c>
    </row>
    <row r="906" spans="1:24" x14ac:dyDescent="0.25">
      <c r="A906" t="s">
        <v>4932</v>
      </c>
      <c r="B906" t="s">
        <v>9179</v>
      </c>
      <c r="C906" t="s">
        <v>9180</v>
      </c>
      <c r="D906" t="s">
        <v>13</v>
      </c>
      <c r="E906" t="s">
        <v>4913</v>
      </c>
      <c r="F906" t="s">
        <v>708</v>
      </c>
      <c r="G906">
        <f>IF(K906="Pick-up","PICKUPS",IF(K906="Staff drop-off","STAFF_DROPOFF",IF(K906="Replacements","REPLACEMENT",IF(K906="Central Stores Dispatch","CENTRAL STORES DISPATCH",IFNA(IFNA(VLOOKUP(F906,'Raw Platform Nov 4-6 2025'!C:C,1,FALSE),VLOOKUP(F906,'Raw Platform Nov 4-6 2025'!D:D,1,FALSE)),IFNA(VLOOKUP(F906,'Glovo Raw Nov 4-6 2025'!B:B,1,FALSE),"Not Matched"))))))</f>
      </c>
      <c r="H906">
        <f>COUNTIF(F:F,F906)</f>
      </c>
      <c r="I906" t="s">
        <v>9211</v>
      </c>
      <c r="J906" t="s">
        <v>4915</v>
      </c>
      <c r="K906" t="s">
        <v>4916</v>
      </c>
      <c r="L906" t="s">
        <v>9212</v>
      </c>
      <c r="M906" t="s">
        <v>9213</v>
      </c>
      <c r="N906" t="s">
        <v>9214</v>
      </c>
      <c r="O906" t="s">
        <v>7232</v>
      </c>
      <c r="P906" t="s">
        <v>6299</v>
      </c>
      <c r="Q906">
        <v>696</v>
      </c>
      <c r="R906" t="s">
        <v>5118</v>
      </c>
      <c r="S906" t="s">
        <v>29</v>
      </c>
      <c r="T906" t="s">
        <v>4923</v>
      </c>
      <c r="U906" t="s">
        <v>4924</v>
      </c>
      <c r="V906" t="s">
        <v>9215</v>
      </c>
      <c r="W906" t="s">
        <v>3667</v>
      </c>
      <c r="X906">
        <v>408.2</v>
      </c>
    </row>
    <row r="907" spans="1:24" x14ac:dyDescent="0.25">
      <c r="A907" t="s">
        <v>4932</v>
      </c>
      <c r="B907" t="s">
        <v>9179</v>
      </c>
      <c r="C907" t="s">
        <v>9180</v>
      </c>
      <c r="D907" t="s">
        <v>13</v>
      </c>
      <c r="E907" t="s">
        <v>4913</v>
      </c>
      <c r="F907" t="s">
        <v>927</v>
      </c>
      <c r="G907">
        <f>IF(K907="Pick-up","PICKUPS",IF(K907="Staff drop-off","STAFF_DROPOFF",IF(K907="Replacements","REPLACEMENT",IF(K907="Central Stores Dispatch","CENTRAL STORES DISPATCH",IFNA(IFNA(VLOOKUP(F907,'Raw Platform Nov 4-6 2025'!C:C,1,FALSE),VLOOKUP(F907,'Raw Platform Nov 4-6 2025'!D:D,1,FALSE)),IFNA(VLOOKUP(F907,'Glovo Raw Nov 4-6 2025'!B:B,1,FALSE),"Not Matched"))))))</f>
      </c>
      <c r="H907">
        <f>COUNTIF(F:F,F907)</f>
      </c>
      <c r="I907" t="s">
        <v>9216</v>
      </c>
      <c r="J907" t="s">
        <v>63</v>
      </c>
      <c r="K907" t="s">
        <v>4927</v>
      </c>
      <c r="L907" t="s">
        <v>9217</v>
      </c>
      <c r="M907" t="s">
        <v>9218</v>
      </c>
      <c r="N907" t="s">
        <v>7703</v>
      </c>
      <c r="O907" t="s">
        <v>6086</v>
      </c>
      <c r="P907" t="s">
        <v>7663</v>
      </c>
      <c r="Q907">
        <v>0</v>
      </c>
      <c r="R907" t="s">
        <v>5118</v>
      </c>
      <c r="S907" t="s">
        <v>29</v>
      </c>
      <c r="T907" t="s">
        <v>4923</v>
      </c>
      <c r="U907" t="s">
        <v>4924</v>
      </c>
      <c r="V907" t="s">
        <v>9219</v>
      </c>
      <c r="W907" t="s">
        <v>3667</v>
      </c>
      <c r="X907">
        <v>350.7</v>
      </c>
    </row>
    <row r="908" spans="1:24" x14ac:dyDescent="0.25">
      <c r="A908" t="s">
        <v>4910</v>
      </c>
      <c r="B908" t="s">
        <v>9179</v>
      </c>
      <c r="C908" t="s">
        <v>9180</v>
      </c>
      <c r="D908" t="s">
        <v>13</v>
      </c>
      <c r="E908" t="s">
        <v>4913</v>
      </c>
      <c r="F908" t="s">
        <v>1441</v>
      </c>
      <c r="G908">
        <f>IF(K908="Pick-up","PICKUPS",IF(K908="Staff drop-off","STAFF_DROPOFF",IF(K908="Replacements","REPLACEMENT",IF(K908="Central Stores Dispatch","CENTRAL STORES DISPATCH",IFNA(IFNA(VLOOKUP(F908,'Raw Platform Nov 4-6 2025'!C:C,1,FALSE),VLOOKUP(F908,'Raw Platform Nov 4-6 2025'!D:D,1,FALSE)),IFNA(VLOOKUP(F908,'Glovo Raw Nov 4-6 2025'!B:B,1,FALSE),"Not Matched"))))))</f>
      </c>
      <c r="H908">
        <f>COUNTIF(F:F,F908)</f>
      </c>
      <c r="I908" t="s">
        <v>9220</v>
      </c>
      <c r="J908" t="s">
        <v>4915</v>
      </c>
      <c r="K908" t="s">
        <v>4927</v>
      </c>
      <c r="L908" t="s">
        <v>9221</v>
      </c>
      <c r="M908" t="s">
        <v>9222</v>
      </c>
      <c r="N908" t="s">
        <v>8240</v>
      </c>
      <c r="O908" t="s">
        <v>16</v>
      </c>
      <c r="P908" t="s">
        <v>5672</v>
      </c>
      <c r="Q908">
        <v>0</v>
      </c>
      <c r="R908" t="s">
        <v>5118</v>
      </c>
      <c r="S908" t="s">
        <v>12</v>
      </c>
      <c r="T908" t="s">
        <v>4923</v>
      </c>
      <c r="U908" t="s">
        <v>4924</v>
      </c>
      <c r="V908" t="s">
        <v>9223</v>
      </c>
      <c r="W908" t="s">
        <v>3667</v>
      </c>
      <c r="X908">
        <v>244.9</v>
      </c>
    </row>
    <row r="909" spans="1:24" x14ac:dyDescent="0.25">
      <c r="A909" t="s">
        <v>4932</v>
      </c>
      <c r="B909" t="s">
        <v>9179</v>
      </c>
      <c r="C909" t="s">
        <v>9180</v>
      </c>
      <c r="D909" t="s">
        <v>13</v>
      </c>
      <c r="E909" t="s">
        <v>4913</v>
      </c>
      <c r="F909" t="s">
        <v>1506</v>
      </c>
      <c r="G909">
        <f>IF(K909="Pick-up","PICKUPS",IF(K909="Staff drop-off","STAFF_DROPOFF",IF(K909="Replacements","REPLACEMENT",IF(K909="Central Stores Dispatch","CENTRAL STORES DISPATCH",IFNA(IFNA(VLOOKUP(F909,'Raw Platform Nov 4-6 2025'!C:C,1,FALSE),VLOOKUP(F909,'Raw Platform Nov 4-6 2025'!D:D,1,FALSE)),IFNA(VLOOKUP(F909,'Glovo Raw Nov 4-6 2025'!B:B,1,FALSE),"Not Matched"))))))</f>
      </c>
      <c r="H909">
        <f>COUNTIF(F:F,F909)</f>
      </c>
      <c r="I909" t="s">
        <v>9224</v>
      </c>
      <c r="J909" t="s">
        <v>63</v>
      </c>
      <c r="K909" t="s">
        <v>4927</v>
      </c>
      <c r="L909" t="s">
        <v>9225</v>
      </c>
      <c r="M909" t="s">
        <v>9226</v>
      </c>
      <c r="N909" t="s">
        <v>7359</v>
      </c>
      <c r="O909" t="s">
        <v>77</v>
      </c>
      <c r="P909" t="s">
        <v>5516</v>
      </c>
      <c r="Q909">
        <v>0</v>
      </c>
      <c r="R909" t="s">
        <v>5118</v>
      </c>
      <c r="S909" t="s">
        <v>29</v>
      </c>
      <c r="T909" t="s">
        <v>4923</v>
      </c>
      <c r="U909" t="s">
        <v>4924</v>
      </c>
      <c r="V909" t="s">
        <v>9227</v>
      </c>
      <c r="W909" t="s">
        <v>3667</v>
      </c>
      <c r="X909">
        <v>169</v>
      </c>
    </row>
    <row r="910" spans="1:24" x14ac:dyDescent="0.25">
      <c r="A910" t="s">
        <v>4932</v>
      </c>
      <c r="B910" t="s">
        <v>9179</v>
      </c>
      <c r="C910" t="s">
        <v>9180</v>
      </c>
      <c r="D910" t="s">
        <v>13</v>
      </c>
      <c r="E910" t="s">
        <v>4913</v>
      </c>
      <c r="F910" t="s">
        <v>1995</v>
      </c>
      <c r="G910">
        <f>IF(K910="Pick-up","PICKUPS",IF(K910="Staff drop-off","STAFF_DROPOFF",IF(K910="Replacements","REPLACEMENT",IF(K910="Central Stores Dispatch","CENTRAL STORES DISPATCH",IFNA(IFNA(VLOOKUP(F910,'Raw Platform Nov 4-6 2025'!C:C,1,FALSE),VLOOKUP(F910,'Raw Platform Nov 4-6 2025'!D:D,1,FALSE)),IFNA(VLOOKUP(F910,'Glovo Raw Nov 4-6 2025'!B:B,1,FALSE),"Not Matched"))))))</f>
      </c>
      <c r="H910">
        <f>COUNTIF(F:F,F910)</f>
      </c>
      <c r="I910" t="s">
        <v>9228</v>
      </c>
      <c r="J910" t="s">
        <v>4915</v>
      </c>
      <c r="K910" t="s">
        <v>4916</v>
      </c>
      <c r="L910" t="s">
        <v>9229</v>
      </c>
      <c r="M910" t="s">
        <v>9230</v>
      </c>
      <c r="N910" t="s">
        <v>9231</v>
      </c>
      <c r="O910" t="s">
        <v>5469</v>
      </c>
      <c r="P910" t="s">
        <v>7442</v>
      </c>
      <c r="Q910">
        <v>1808</v>
      </c>
      <c r="R910" t="s">
        <v>5118</v>
      </c>
      <c r="S910" t="s">
        <v>29</v>
      </c>
      <c r="T910" t="s">
        <v>4923</v>
      </c>
      <c r="U910" t="s">
        <v>4924</v>
      </c>
      <c r="V910" t="s">
        <v>9232</v>
      </c>
      <c r="W910" t="s">
        <v>3667</v>
      </c>
      <c r="X910">
        <v>371.4</v>
      </c>
    </row>
    <row r="911" spans="1:24" x14ac:dyDescent="0.25">
      <c r="A911" t="s">
        <v>4932</v>
      </c>
      <c r="B911" t="s">
        <v>9179</v>
      </c>
      <c r="C911" t="s">
        <v>9180</v>
      </c>
      <c r="D911" t="s">
        <v>13</v>
      </c>
      <c r="E911" t="s">
        <v>4913</v>
      </c>
      <c r="F911" t="s">
        <v>1532</v>
      </c>
      <c r="G911">
        <f>IF(K911="Pick-up","PICKUPS",IF(K911="Staff drop-off","STAFF_DROPOFF",IF(K911="Replacements","REPLACEMENT",IF(K911="Central Stores Dispatch","CENTRAL STORES DISPATCH",IFNA(IFNA(VLOOKUP(F911,'Raw Platform Nov 4-6 2025'!C:C,1,FALSE),VLOOKUP(F911,'Raw Platform Nov 4-6 2025'!D:D,1,FALSE)),IFNA(VLOOKUP(F911,'Glovo Raw Nov 4-6 2025'!B:B,1,FALSE),"Not Matched"))))))</f>
      </c>
      <c r="H911">
        <f>COUNTIF(F:F,F911)</f>
      </c>
      <c r="I911" t="s">
        <v>9233</v>
      </c>
      <c r="J911" t="s">
        <v>63</v>
      </c>
      <c r="K911" t="s">
        <v>4927</v>
      </c>
      <c r="L911" t="s">
        <v>9234</v>
      </c>
      <c r="M911" t="s">
        <v>9235</v>
      </c>
      <c r="N911" t="s">
        <v>8430</v>
      </c>
      <c r="O911" t="s">
        <v>6086</v>
      </c>
      <c r="P911" t="s">
        <v>5448</v>
      </c>
      <c r="Q911">
        <v>0</v>
      </c>
      <c r="R911" t="s">
        <v>5118</v>
      </c>
      <c r="S911" t="s">
        <v>29</v>
      </c>
      <c r="T911" t="s">
        <v>4923</v>
      </c>
      <c r="U911" t="s">
        <v>4924</v>
      </c>
      <c r="V911" t="s">
        <v>9236</v>
      </c>
      <c r="W911" t="s">
        <v>3667</v>
      </c>
      <c r="X911">
        <v>339.2</v>
      </c>
    </row>
    <row r="912" spans="1:24" x14ac:dyDescent="0.25">
      <c r="A912" t="s">
        <v>4910</v>
      </c>
      <c r="B912" t="s">
        <v>9179</v>
      </c>
      <c r="C912" t="s">
        <v>9180</v>
      </c>
      <c r="D912" t="s">
        <v>13</v>
      </c>
      <c r="E912" t="s">
        <v>4913</v>
      </c>
      <c r="F912" t="s">
        <v>1839</v>
      </c>
      <c r="G912">
        <f>IF(K912="Pick-up","PICKUPS",IF(K912="Staff drop-off","STAFF_DROPOFF",IF(K912="Replacements","REPLACEMENT",IF(K912="Central Stores Dispatch","CENTRAL STORES DISPATCH",IFNA(IFNA(VLOOKUP(F912,'Raw Platform Nov 4-6 2025'!C:C,1,FALSE),VLOOKUP(F912,'Raw Platform Nov 4-6 2025'!D:D,1,FALSE)),IFNA(VLOOKUP(F912,'Glovo Raw Nov 4-6 2025'!B:B,1,FALSE),"Not Matched"))))))</f>
      </c>
      <c r="H912">
        <f>COUNTIF(F:F,F912)</f>
      </c>
      <c r="I912" t="s">
        <v>9237</v>
      </c>
      <c r="J912" t="s">
        <v>63</v>
      </c>
      <c r="K912" t="s">
        <v>4927</v>
      </c>
      <c r="L912" t="s">
        <v>9238</v>
      </c>
      <c r="M912" t="s">
        <v>9239</v>
      </c>
      <c r="N912" t="s">
        <v>6807</v>
      </c>
      <c r="O912" t="s">
        <v>73</v>
      </c>
      <c r="P912" t="s">
        <v>4949</v>
      </c>
      <c r="Q912">
        <v>0</v>
      </c>
      <c r="R912" t="s">
        <v>5118</v>
      </c>
      <c r="S912" t="s">
        <v>12</v>
      </c>
      <c r="T912" t="s">
        <v>4923</v>
      </c>
      <c r="U912" t="s">
        <v>4924</v>
      </c>
      <c r="V912" t="s">
        <v>9240</v>
      </c>
      <c r="W912" t="s">
        <v>3667</v>
      </c>
      <c r="X912">
        <v>157.5</v>
      </c>
    </row>
    <row r="913" spans="1:24" x14ac:dyDescent="0.25">
      <c r="A913" t="s">
        <v>4932</v>
      </c>
      <c r="B913" t="s">
        <v>9179</v>
      </c>
      <c r="C913" t="s">
        <v>9180</v>
      </c>
      <c r="D913" t="s">
        <v>13</v>
      </c>
      <c r="E913" t="s">
        <v>4913</v>
      </c>
      <c r="F913" t="s">
        <v>1658</v>
      </c>
      <c r="G913">
        <f>IF(K913="Pick-up","PICKUPS",IF(K913="Staff drop-off","STAFF_DROPOFF",IF(K913="Replacements","REPLACEMENT",IF(K913="Central Stores Dispatch","CENTRAL STORES DISPATCH",IFNA(IFNA(VLOOKUP(F913,'Raw Platform Nov 4-6 2025'!C:C,1,FALSE),VLOOKUP(F913,'Raw Platform Nov 4-6 2025'!D:D,1,FALSE)),IFNA(VLOOKUP(F913,'Glovo Raw Nov 4-6 2025'!B:B,1,FALSE),"Not Matched"))))))</f>
      </c>
      <c r="H913">
        <f>COUNTIF(F:F,F913)</f>
      </c>
      <c r="I913" t="s">
        <v>9241</v>
      </c>
      <c r="J913" t="s">
        <v>4915</v>
      </c>
      <c r="K913" t="s">
        <v>4916</v>
      </c>
      <c r="L913" t="s">
        <v>9242</v>
      </c>
      <c r="M913" t="s">
        <v>9243</v>
      </c>
      <c r="N913" t="s">
        <v>9244</v>
      </c>
      <c r="O913" t="s">
        <v>2009</v>
      </c>
      <c r="P913" t="s">
        <v>5588</v>
      </c>
      <c r="Q913">
        <v>956</v>
      </c>
      <c r="R913" t="s">
        <v>5118</v>
      </c>
      <c r="S913" t="s">
        <v>29</v>
      </c>
      <c r="T913" t="s">
        <v>4923</v>
      </c>
      <c r="U913" t="s">
        <v>4924</v>
      </c>
      <c r="V913" t="s">
        <v>9245</v>
      </c>
      <c r="W913" t="s">
        <v>3667</v>
      </c>
      <c r="X913">
        <v>109.2</v>
      </c>
    </row>
    <row r="914" spans="1:24" x14ac:dyDescent="0.25">
      <c r="A914" t="s">
        <v>5176</v>
      </c>
      <c r="B914" t="s">
        <v>9246</v>
      </c>
      <c r="C914" t="s">
        <v>9247</v>
      </c>
      <c r="D914" t="s">
        <v>191</v>
      </c>
      <c r="E914" t="s">
        <v>4913</v>
      </c>
      <c r="F914" t="s">
        <v>550</v>
      </c>
      <c r="G914">
        <f>IF(K914="Pick-up","PICKUPS",IF(K914="Staff drop-off","STAFF_DROPOFF",IF(K914="Replacements","REPLACEMENT",IF(K914="Central Stores Dispatch","CENTRAL STORES DISPATCH",IFNA(IFNA(VLOOKUP(F914,'Raw Platform Nov 4-6 2025'!C:C,1,FALSE),VLOOKUP(F914,'Raw Platform Nov 4-6 2025'!D:D,1,FALSE)),IFNA(VLOOKUP(F914,'Glovo Raw Nov 4-6 2025'!B:B,1,FALSE),"Not Matched"))))))</f>
      </c>
      <c r="H914">
        <f>COUNTIF(F:F,F914)</f>
      </c>
      <c r="I914" t="s">
        <v>9248</v>
      </c>
      <c r="J914" t="s">
        <v>4915</v>
      </c>
      <c r="K914" t="s">
        <v>4927</v>
      </c>
      <c r="L914" t="s">
        <v>9249</v>
      </c>
      <c r="M914" t="s">
        <v>9250</v>
      </c>
      <c r="N914" t="s">
        <v>9251</v>
      </c>
      <c r="O914" t="s">
        <v>42</v>
      </c>
      <c r="P914" t="s">
        <v>5672</v>
      </c>
      <c r="Q914">
        <v>0</v>
      </c>
      <c r="R914" t="s">
        <v>5118</v>
      </c>
      <c r="S914" t="s">
        <v>5184</v>
      </c>
      <c r="T914" t="s">
        <v>4923</v>
      </c>
      <c r="U914" t="s">
        <v>4924</v>
      </c>
      <c r="V914" t="s">
        <v>9252</v>
      </c>
      <c r="W914" t="s">
        <v>3667</v>
      </c>
      <c r="X914">
        <v>244.9</v>
      </c>
    </row>
    <row r="915" spans="1:24" x14ac:dyDescent="0.25">
      <c r="A915" t="s">
        <v>5176</v>
      </c>
      <c r="B915" t="s">
        <v>9246</v>
      </c>
      <c r="C915" t="s">
        <v>9247</v>
      </c>
      <c r="D915" t="s">
        <v>191</v>
      </c>
      <c r="E915" t="s">
        <v>4913</v>
      </c>
      <c r="F915" t="s">
        <v>1193</v>
      </c>
      <c r="G915">
        <f>IF(K915="Pick-up","PICKUPS",IF(K915="Staff drop-off","STAFF_DROPOFF",IF(K915="Replacements","REPLACEMENT",IF(K915="Central Stores Dispatch","CENTRAL STORES DISPATCH",IFNA(IFNA(VLOOKUP(F915,'Raw Platform Nov 4-6 2025'!C:C,1,FALSE),VLOOKUP(F915,'Raw Platform Nov 4-6 2025'!D:D,1,FALSE)),IFNA(VLOOKUP(F915,'Glovo Raw Nov 4-6 2025'!B:B,1,FALSE),"Not Matched"))))))</f>
      </c>
      <c r="H915">
        <f>COUNTIF(F:F,F915)</f>
      </c>
      <c r="I915" t="s">
        <v>9253</v>
      </c>
      <c r="J915" t="s">
        <v>4915</v>
      </c>
      <c r="K915" t="s">
        <v>4927</v>
      </c>
      <c r="L915" t="s">
        <v>9254</v>
      </c>
      <c r="M915" t="s">
        <v>9255</v>
      </c>
      <c r="N915" t="s">
        <v>9256</v>
      </c>
      <c r="O915" t="s">
        <v>4962</v>
      </c>
      <c r="P915" t="s">
        <v>5025</v>
      </c>
      <c r="Q915">
        <v>0</v>
      </c>
      <c r="R915" t="s">
        <v>5118</v>
      </c>
      <c r="S915" t="s">
        <v>5184</v>
      </c>
      <c r="T915" t="s">
        <v>4923</v>
      </c>
      <c r="U915" t="s">
        <v>4924</v>
      </c>
      <c r="V915" t="s">
        <v>9257</v>
      </c>
      <c r="W915" t="s">
        <v>3667</v>
      </c>
      <c r="X915">
        <v>100</v>
      </c>
    </row>
    <row r="916" spans="1:24" x14ac:dyDescent="0.25">
      <c r="A916" t="s">
        <v>5176</v>
      </c>
      <c r="B916" t="s">
        <v>9246</v>
      </c>
      <c r="C916" t="s">
        <v>9247</v>
      </c>
      <c r="D916" t="s">
        <v>30</v>
      </c>
      <c r="E916" t="s">
        <v>4913</v>
      </c>
      <c r="F916" t="s">
        <v>767</v>
      </c>
      <c r="G916">
        <f>IF(K916="Pick-up","PICKUPS",IF(K916="Staff drop-off","STAFF_DROPOFF",IF(K916="Replacements","REPLACEMENT",IF(K916="Central Stores Dispatch","CENTRAL STORES DISPATCH",IFNA(IFNA(VLOOKUP(F916,'Raw Platform Nov 4-6 2025'!C:C,1,FALSE),VLOOKUP(F916,'Raw Platform Nov 4-6 2025'!D:D,1,FALSE)),IFNA(VLOOKUP(F916,'Glovo Raw Nov 4-6 2025'!B:B,1,FALSE),"Not Matched"))))))</f>
      </c>
      <c r="H916">
        <f>COUNTIF(F:F,F916)</f>
      </c>
      <c r="I916" t="s">
        <v>9258</v>
      </c>
      <c r="J916" t="s">
        <v>5028</v>
      </c>
      <c r="K916" t="s">
        <v>4927</v>
      </c>
      <c r="L916" t="s">
        <v>9259</v>
      </c>
      <c r="M916" t="s">
        <v>9260</v>
      </c>
      <c r="N916" t="s">
        <v>9261</v>
      </c>
      <c r="O916" t="s">
        <v>5937</v>
      </c>
      <c r="P916" t="s">
        <v>7442</v>
      </c>
      <c r="Q916">
        <v>2700</v>
      </c>
      <c r="R916" t="s">
        <v>5118</v>
      </c>
      <c r="S916" t="s">
        <v>45</v>
      </c>
      <c r="T916" t="s">
        <v>4923</v>
      </c>
      <c r="U916" t="s">
        <v>4924</v>
      </c>
      <c r="V916" t="s">
        <v>9262</v>
      </c>
      <c r="W916" t="s">
        <v>3667</v>
      </c>
      <c r="X916">
        <v>371.4</v>
      </c>
    </row>
    <row r="917" spans="1:24" x14ac:dyDescent="0.25">
      <c r="A917" t="s">
        <v>5176</v>
      </c>
      <c r="B917" t="s">
        <v>9246</v>
      </c>
      <c r="C917" t="s">
        <v>9247</v>
      </c>
      <c r="D917" t="s">
        <v>30</v>
      </c>
      <c r="E917" t="s">
        <v>4913</v>
      </c>
      <c r="F917" t="s">
        <v>488</v>
      </c>
      <c r="G917">
        <f>IF(K917="Pick-up","PICKUPS",IF(K917="Staff drop-off","STAFF_DROPOFF",IF(K917="Replacements","REPLACEMENT",IF(K917="Central Stores Dispatch","CENTRAL STORES DISPATCH",IFNA(IFNA(VLOOKUP(F917,'Raw Platform Nov 4-6 2025'!C:C,1,FALSE),VLOOKUP(F917,'Raw Platform Nov 4-6 2025'!D:D,1,FALSE)),IFNA(VLOOKUP(F917,'Glovo Raw Nov 4-6 2025'!B:B,1,FALSE),"Not Matched"))))))</f>
      </c>
      <c r="H917">
        <f>COUNTIF(F:F,F917)</f>
      </c>
      <c r="I917" t="s">
        <v>9263</v>
      </c>
      <c r="J917" t="s">
        <v>63</v>
      </c>
      <c r="K917" t="s">
        <v>4916</v>
      </c>
      <c r="L917" t="s">
        <v>9264</v>
      </c>
      <c r="M917" t="s">
        <v>9265</v>
      </c>
      <c r="N917" t="s">
        <v>9266</v>
      </c>
      <c r="O917" t="s">
        <v>47</v>
      </c>
      <c r="P917" t="s">
        <v>4984</v>
      </c>
      <c r="Q917">
        <v>1926</v>
      </c>
      <c r="R917" t="s">
        <v>5118</v>
      </c>
      <c r="S917" t="s">
        <v>29</v>
      </c>
      <c r="T917" t="s">
        <v>4923</v>
      </c>
      <c r="U917" t="s">
        <v>4924</v>
      </c>
      <c r="V917" t="s">
        <v>9267</v>
      </c>
      <c r="W917" t="s">
        <v>3667</v>
      </c>
      <c r="X917">
        <v>100</v>
      </c>
    </row>
    <row r="918" spans="1:24" x14ac:dyDescent="0.25">
      <c r="A918" t="s">
        <v>5176</v>
      </c>
      <c r="B918" t="s">
        <v>9246</v>
      </c>
      <c r="C918" t="s">
        <v>9247</v>
      </c>
      <c r="D918" t="s">
        <v>30</v>
      </c>
      <c r="E918" t="s">
        <v>4913</v>
      </c>
      <c r="F918" t="s">
        <v>602</v>
      </c>
      <c r="G918">
        <f>IF(K918="Pick-up","PICKUPS",IF(K918="Staff drop-off","STAFF_DROPOFF",IF(K918="Replacements","REPLACEMENT",IF(K918="Central Stores Dispatch","CENTRAL STORES DISPATCH",IFNA(IFNA(VLOOKUP(F918,'Raw Platform Nov 4-6 2025'!C:C,1,FALSE),VLOOKUP(F918,'Raw Platform Nov 4-6 2025'!D:D,1,FALSE)),IFNA(VLOOKUP(F918,'Glovo Raw Nov 4-6 2025'!B:B,1,FALSE),"Not Matched"))))))</f>
      </c>
      <c r="H918">
        <f>COUNTIF(F:F,F918)</f>
      </c>
      <c r="I918" t="s">
        <v>9268</v>
      </c>
      <c r="J918" t="s">
        <v>4915</v>
      </c>
      <c r="K918" t="s">
        <v>4916</v>
      </c>
      <c r="L918" t="s">
        <v>9269</v>
      </c>
      <c r="M918" t="s">
        <v>9270</v>
      </c>
      <c r="N918" t="s">
        <v>9271</v>
      </c>
      <c r="O918" t="s">
        <v>73</v>
      </c>
      <c r="P918" t="s">
        <v>5953</v>
      </c>
      <c r="Q918">
        <v>3133</v>
      </c>
      <c r="R918" t="s">
        <v>5118</v>
      </c>
      <c r="S918" t="s">
        <v>12</v>
      </c>
      <c r="T918" t="s">
        <v>4923</v>
      </c>
      <c r="U918" t="s">
        <v>4924</v>
      </c>
      <c r="V918" t="s">
        <v>9272</v>
      </c>
      <c r="W918" t="s">
        <v>3667</v>
      </c>
      <c r="X918">
        <v>118.4</v>
      </c>
    </row>
    <row r="919" spans="1:24" x14ac:dyDescent="0.25">
      <c r="A919" t="s">
        <v>5176</v>
      </c>
      <c r="B919" t="s">
        <v>9246</v>
      </c>
      <c r="C919" t="s">
        <v>9247</v>
      </c>
      <c r="D919" t="s">
        <v>30</v>
      </c>
      <c r="E919" t="s">
        <v>4913</v>
      </c>
      <c r="F919" t="s">
        <v>863</v>
      </c>
      <c r="G919">
        <f>IF(K919="Pick-up","PICKUPS",IF(K919="Staff drop-off","STAFF_DROPOFF",IF(K919="Replacements","REPLACEMENT",IF(K919="Central Stores Dispatch","CENTRAL STORES DISPATCH",IFNA(IFNA(VLOOKUP(F919,'Raw Platform Nov 4-6 2025'!C:C,1,FALSE),VLOOKUP(F919,'Raw Platform Nov 4-6 2025'!D:D,1,FALSE)),IFNA(VLOOKUP(F919,'Glovo Raw Nov 4-6 2025'!B:B,1,FALSE),"Not Matched"))))))</f>
      </c>
      <c r="H919">
        <f>COUNTIF(F:F,F919)</f>
      </c>
      <c r="I919" t="s">
        <v>9273</v>
      </c>
      <c r="J919" t="s">
        <v>4915</v>
      </c>
      <c r="K919" t="s">
        <v>4927</v>
      </c>
      <c r="L919" t="s">
        <v>9274</v>
      </c>
      <c r="M919" t="s">
        <v>9275</v>
      </c>
      <c r="N919" t="s">
        <v>4973</v>
      </c>
      <c r="O919" t="s">
        <v>123</v>
      </c>
      <c r="P919" t="s">
        <v>5820</v>
      </c>
      <c r="Q919">
        <v>0</v>
      </c>
      <c r="R919" t="s">
        <v>5118</v>
      </c>
      <c r="S919" t="s">
        <v>12</v>
      </c>
      <c r="T919" t="s">
        <v>4923</v>
      </c>
      <c r="U919" t="s">
        <v>4924</v>
      </c>
      <c r="V919" t="s">
        <v>9276</v>
      </c>
      <c r="W919" t="s">
        <v>3667</v>
      </c>
      <c r="X919">
        <v>139.1</v>
      </c>
    </row>
    <row r="920" spans="1:24" x14ac:dyDescent="0.25">
      <c r="A920" t="s">
        <v>5176</v>
      </c>
      <c r="B920" t="s">
        <v>9246</v>
      </c>
      <c r="C920" t="s">
        <v>9247</v>
      </c>
      <c r="D920" t="s">
        <v>30</v>
      </c>
      <c r="E920" t="s">
        <v>4913</v>
      </c>
      <c r="F920" t="s">
        <v>1366</v>
      </c>
      <c r="G920">
        <f>IF(K920="Pick-up","PICKUPS",IF(K920="Staff drop-off","STAFF_DROPOFF",IF(K920="Replacements","REPLACEMENT",IF(K920="Central Stores Dispatch","CENTRAL STORES DISPATCH",IFNA(IFNA(VLOOKUP(F920,'Raw Platform Nov 4-6 2025'!C:C,1,FALSE),VLOOKUP(F920,'Raw Platform Nov 4-6 2025'!D:D,1,FALSE)),IFNA(VLOOKUP(F920,'Glovo Raw Nov 4-6 2025'!B:B,1,FALSE),"Not Matched"))))))</f>
      </c>
      <c r="H920">
        <f>COUNTIF(F:F,F920)</f>
      </c>
      <c r="I920" t="s">
        <v>9277</v>
      </c>
      <c r="J920" t="s">
        <v>63</v>
      </c>
      <c r="K920" t="s">
        <v>4927</v>
      </c>
      <c r="L920" t="s">
        <v>9278</v>
      </c>
      <c r="M920" t="s">
        <v>5838</v>
      </c>
      <c r="N920" t="s">
        <v>5839</v>
      </c>
      <c r="O920" t="s">
        <v>4990</v>
      </c>
      <c r="P920" t="s">
        <v>5613</v>
      </c>
      <c r="Q920">
        <v>0</v>
      </c>
      <c r="R920" t="s">
        <v>5118</v>
      </c>
      <c r="S920" t="s">
        <v>12</v>
      </c>
      <c r="T920" t="s">
        <v>4923</v>
      </c>
      <c r="U920" t="s">
        <v>4924</v>
      </c>
      <c r="V920" t="s">
        <v>9279</v>
      </c>
      <c r="W920" t="s">
        <v>3667</v>
      </c>
      <c r="X920">
        <v>100</v>
      </c>
    </row>
    <row r="921" spans="1:24" x14ac:dyDescent="0.25">
      <c r="A921" t="s">
        <v>5176</v>
      </c>
      <c r="B921" t="s">
        <v>9246</v>
      </c>
      <c r="C921" t="s">
        <v>9247</v>
      </c>
      <c r="D921" t="s">
        <v>30</v>
      </c>
      <c r="E921" t="s">
        <v>4913</v>
      </c>
      <c r="F921" t="s">
        <v>203</v>
      </c>
      <c r="G921">
        <f>IF(K921="Pick-up","PICKUPS",IF(K921="Staff drop-off","STAFF_DROPOFF",IF(K921="Replacements","REPLACEMENT",IF(K921="Central Stores Dispatch","CENTRAL STORES DISPATCH",IFNA(IFNA(VLOOKUP(F921,'Raw Platform Nov 4-6 2025'!C:C,1,FALSE),VLOOKUP(F921,'Raw Platform Nov 4-6 2025'!D:D,1,FALSE)),IFNA(VLOOKUP(F921,'Glovo Raw Nov 4-6 2025'!B:B,1,FALSE),"Not Matched"))))))</f>
      </c>
      <c r="H921">
        <f>COUNTIF(F:F,F921)</f>
      </c>
      <c r="I921" t="s">
        <v>9280</v>
      </c>
      <c r="J921" t="s">
        <v>4915</v>
      </c>
      <c r="K921" t="s">
        <v>4927</v>
      </c>
      <c r="L921" t="s">
        <v>9281</v>
      </c>
      <c r="M921" t="s">
        <v>9282</v>
      </c>
      <c r="N921" t="s">
        <v>9283</v>
      </c>
      <c r="O921" t="s">
        <v>2009</v>
      </c>
      <c r="P921" t="s">
        <v>4969</v>
      </c>
      <c r="Q921">
        <v>0</v>
      </c>
      <c r="R921" t="s">
        <v>5118</v>
      </c>
      <c r="S921" t="s">
        <v>29</v>
      </c>
      <c r="T921" t="s">
        <v>4923</v>
      </c>
      <c r="U921" t="s">
        <v>4924</v>
      </c>
      <c r="V921" t="s">
        <v>9284</v>
      </c>
      <c r="W921" t="s">
        <v>3667</v>
      </c>
      <c r="X921">
        <v>100</v>
      </c>
    </row>
    <row r="922" spans="1:24" x14ac:dyDescent="0.25">
      <c r="A922" t="s">
        <v>5176</v>
      </c>
      <c r="B922" t="s">
        <v>9246</v>
      </c>
      <c r="C922" t="s">
        <v>9247</v>
      </c>
      <c r="D922" t="s">
        <v>30</v>
      </c>
      <c r="E922" t="s">
        <v>4913</v>
      </c>
      <c r="F922" t="s">
        <v>605</v>
      </c>
      <c r="G922">
        <f>IF(K922="Pick-up","PICKUPS",IF(K922="Staff drop-off","STAFF_DROPOFF",IF(K922="Replacements","REPLACEMENT",IF(K922="Central Stores Dispatch","CENTRAL STORES DISPATCH",IFNA(IFNA(VLOOKUP(F922,'Raw Platform Nov 4-6 2025'!C:C,1,FALSE),VLOOKUP(F922,'Raw Platform Nov 4-6 2025'!D:D,1,FALSE)),IFNA(VLOOKUP(F922,'Glovo Raw Nov 4-6 2025'!B:B,1,FALSE),"Not Matched"))))))</f>
      </c>
      <c r="H922">
        <f>COUNTIF(F:F,F922)</f>
      </c>
      <c r="I922" t="s">
        <v>9285</v>
      </c>
      <c r="J922" t="s">
        <v>4915</v>
      </c>
      <c r="K922" t="s">
        <v>4927</v>
      </c>
      <c r="L922" t="s">
        <v>9286</v>
      </c>
      <c r="M922" t="s">
        <v>9287</v>
      </c>
      <c r="N922" t="s">
        <v>4973</v>
      </c>
      <c r="O922" t="s">
        <v>123</v>
      </c>
      <c r="P922" t="s">
        <v>5820</v>
      </c>
      <c r="Q922">
        <v>0</v>
      </c>
      <c r="R922" t="s">
        <v>5118</v>
      </c>
      <c r="S922" t="s">
        <v>116</v>
      </c>
      <c r="T922" t="s">
        <v>4923</v>
      </c>
      <c r="U922" t="s">
        <v>4924</v>
      </c>
      <c r="V922" t="s">
        <v>9288</v>
      </c>
      <c r="W922" t="s">
        <v>3667</v>
      </c>
      <c r="X922">
        <v>139.1</v>
      </c>
    </row>
    <row r="923" spans="1:24" x14ac:dyDescent="0.25">
      <c r="A923" t="s">
        <v>5176</v>
      </c>
      <c r="B923" t="s">
        <v>9246</v>
      </c>
      <c r="C923" t="s">
        <v>9247</v>
      </c>
      <c r="D923" t="s">
        <v>30</v>
      </c>
      <c r="E923" t="s">
        <v>4913</v>
      </c>
      <c r="F923" t="s">
        <v>1519</v>
      </c>
      <c r="G923">
        <f>IF(K923="Pick-up","PICKUPS",IF(K923="Staff drop-off","STAFF_DROPOFF",IF(K923="Replacements","REPLACEMENT",IF(K923="Central Stores Dispatch","CENTRAL STORES DISPATCH",IFNA(IFNA(VLOOKUP(F923,'Raw Platform Nov 4-6 2025'!C:C,1,FALSE),VLOOKUP(F923,'Raw Platform Nov 4-6 2025'!D:D,1,FALSE)),IFNA(VLOOKUP(F923,'Glovo Raw Nov 4-6 2025'!B:B,1,FALSE),"Not Matched"))))))</f>
      </c>
      <c r="H923">
        <f>COUNTIF(F:F,F923)</f>
      </c>
      <c r="I923" t="s">
        <v>9289</v>
      </c>
      <c r="J923" t="s">
        <v>63</v>
      </c>
      <c r="K923" t="s">
        <v>4916</v>
      </c>
      <c r="L923" t="s">
        <v>8834</v>
      </c>
      <c r="M923" t="s">
        <v>8835</v>
      </c>
      <c r="N923" t="s">
        <v>8836</v>
      </c>
      <c r="O923" t="s">
        <v>123</v>
      </c>
      <c r="P923" t="s">
        <v>5128</v>
      </c>
      <c r="Q923">
        <v>1458</v>
      </c>
      <c r="R923" t="s">
        <v>5118</v>
      </c>
      <c r="S923" t="s">
        <v>29</v>
      </c>
      <c r="T923" t="s">
        <v>4923</v>
      </c>
      <c r="U923" t="s">
        <v>4924</v>
      </c>
      <c r="V923" t="s">
        <v>9290</v>
      </c>
      <c r="W923" t="s">
        <v>3667</v>
      </c>
      <c r="X923">
        <v>116.1</v>
      </c>
    </row>
    <row r="924" spans="1:24" x14ac:dyDescent="0.25">
      <c r="A924" t="s">
        <v>5176</v>
      </c>
      <c r="B924" t="s">
        <v>9246</v>
      </c>
      <c r="C924" t="s">
        <v>9247</v>
      </c>
      <c r="D924" t="s">
        <v>30</v>
      </c>
      <c r="E924" t="s">
        <v>4913</v>
      </c>
      <c r="F924" t="s">
        <v>1648</v>
      </c>
      <c r="G924">
        <f>IF(K924="Pick-up","PICKUPS",IF(K924="Staff drop-off","STAFF_DROPOFF",IF(K924="Replacements","REPLACEMENT",IF(K924="Central Stores Dispatch","CENTRAL STORES DISPATCH",IFNA(IFNA(VLOOKUP(F924,'Raw Platform Nov 4-6 2025'!C:C,1,FALSE),VLOOKUP(F924,'Raw Platform Nov 4-6 2025'!D:D,1,FALSE)),IFNA(VLOOKUP(F924,'Glovo Raw Nov 4-6 2025'!B:B,1,FALSE),"Not Matched"))))))</f>
      </c>
      <c r="H924">
        <f>COUNTIF(F:F,F924)</f>
      </c>
      <c r="I924" t="s">
        <v>9291</v>
      </c>
      <c r="J924" t="s">
        <v>4915</v>
      </c>
      <c r="K924" t="s">
        <v>4916</v>
      </c>
      <c r="L924" t="s">
        <v>9292</v>
      </c>
      <c r="M924" t="s">
        <v>9293</v>
      </c>
      <c r="N924" t="s">
        <v>9294</v>
      </c>
      <c r="O924" t="s">
        <v>47</v>
      </c>
      <c r="P924" t="s">
        <v>4950</v>
      </c>
      <c r="Q924">
        <v>3020</v>
      </c>
      <c r="R924" t="s">
        <v>5118</v>
      </c>
      <c r="S924" t="s">
        <v>50</v>
      </c>
      <c r="T924" t="s">
        <v>4923</v>
      </c>
      <c r="U924" t="s">
        <v>4924</v>
      </c>
      <c r="V924" t="s">
        <v>9295</v>
      </c>
      <c r="W924" t="s">
        <v>3667</v>
      </c>
      <c r="X924">
        <v>100</v>
      </c>
    </row>
    <row r="925" spans="1:24" x14ac:dyDescent="0.25">
      <c r="A925" t="s">
        <v>5176</v>
      </c>
      <c r="B925" t="s">
        <v>9246</v>
      </c>
      <c r="C925" t="s">
        <v>9247</v>
      </c>
      <c r="D925" t="s">
        <v>30</v>
      </c>
      <c r="E925" t="s">
        <v>4913</v>
      </c>
      <c r="F925" t="s">
        <v>9296</v>
      </c>
      <c r="G925">
        <f>IF(K925="Pick-up","PICKUPS",IF(K925="Staff drop-off","STAFF_DROPOFF",IF(K925="Replacements","REPLACEMENT",IF(K925="Central Stores Dispatch","CENTRAL STORES DISPATCH",IFNA(IFNA(VLOOKUP(F925,'Raw Platform Nov 4-6 2025'!C:C,1,FALSE),VLOOKUP(F925,'Raw Platform Nov 4-6 2025'!D:D,1,FALSE)),IFNA(VLOOKUP(F925,'Glovo Raw Nov 4-6 2025'!B:B,1,FALSE),"Not Matched"))))))</f>
      </c>
      <c r="H925">
        <f>COUNTIF(F:F,F925)</f>
      </c>
      <c r="I925" t="s">
        <v>9297</v>
      </c>
      <c r="J925" t="s">
        <v>5289</v>
      </c>
      <c r="K925" t="s">
        <v>4927</v>
      </c>
      <c r="L925" t="s">
        <v>5326</v>
      </c>
      <c r="M925" t="s">
        <v>5327</v>
      </c>
      <c r="N925" t="s">
        <v>6500</v>
      </c>
      <c r="O925" t="s">
        <v>5534</v>
      </c>
      <c r="P925" t="s">
        <v>5535</v>
      </c>
      <c r="Q925">
        <v>0</v>
      </c>
      <c r="R925" t="s">
        <v>5118</v>
      </c>
      <c r="S925" t="s">
        <v>116</v>
      </c>
      <c r="T925" t="s">
        <v>4923</v>
      </c>
      <c r="U925" t="s">
        <v>4924</v>
      </c>
      <c r="V925" t="s">
        <v>9298</v>
      </c>
      <c r="W925" t="s">
        <v>3667</v>
      </c>
      <c r="X925">
        <v>346.1</v>
      </c>
    </row>
    <row r="926" spans="1:24" x14ac:dyDescent="0.25">
      <c r="A926" t="s">
        <v>5176</v>
      </c>
      <c r="B926" t="s">
        <v>9246</v>
      </c>
      <c r="C926" t="s">
        <v>9247</v>
      </c>
      <c r="D926" t="s">
        <v>30</v>
      </c>
      <c r="E926" t="s">
        <v>4913</v>
      </c>
      <c r="F926" t="s">
        <v>1838</v>
      </c>
      <c r="G926">
        <f>IF(K926="Pick-up","PICKUPS",IF(K926="Staff drop-off","STAFF_DROPOFF",IF(K926="Replacements","REPLACEMENT",IF(K926="Central Stores Dispatch","CENTRAL STORES DISPATCH",IFNA(IFNA(VLOOKUP(F926,'Raw Platform Nov 4-6 2025'!C:C,1,FALSE),VLOOKUP(F926,'Raw Platform Nov 4-6 2025'!D:D,1,FALSE)),IFNA(VLOOKUP(F926,'Glovo Raw Nov 4-6 2025'!B:B,1,FALSE),"Not Matched"))))))</f>
      </c>
      <c r="H926">
        <f>COUNTIF(F:F,F926)</f>
      </c>
      <c r="I926" t="s">
        <v>9299</v>
      </c>
      <c r="J926" t="s">
        <v>63</v>
      </c>
      <c r="K926" t="s">
        <v>4927</v>
      </c>
      <c r="L926" t="s">
        <v>9278</v>
      </c>
      <c r="M926" t="s">
        <v>5838</v>
      </c>
      <c r="N926" t="s">
        <v>5839</v>
      </c>
      <c r="O926" t="s">
        <v>4990</v>
      </c>
      <c r="P926" t="s">
        <v>5613</v>
      </c>
      <c r="Q926">
        <v>0</v>
      </c>
      <c r="R926" t="s">
        <v>5118</v>
      </c>
      <c r="S926" t="s">
        <v>12</v>
      </c>
      <c r="T926" t="s">
        <v>4923</v>
      </c>
      <c r="U926" t="s">
        <v>4924</v>
      </c>
      <c r="V926" t="s">
        <v>9300</v>
      </c>
      <c r="W926" t="s">
        <v>3667</v>
      </c>
      <c r="X926">
        <v>100</v>
      </c>
    </row>
    <row r="927" spans="1:24" x14ac:dyDescent="0.25">
      <c r="A927" t="s">
        <v>5176</v>
      </c>
      <c r="B927" t="s">
        <v>9246</v>
      </c>
      <c r="C927" t="s">
        <v>9247</v>
      </c>
      <c r="D927" t="s">
        <v>30</v>
      </c>
      <c r="E927" t="s">
        <v>4913</v>
      </c>
      <c r="F927" t="s">
        <v>2145</v>
      </c>
      <c r="G927">
        <f>IF(K927="Pick-up","PICKUPS",IF(K927="Staff drop-off","STAFF_DROPOFF",IF(K927="Replacements","REPLACEMENT",IF(K927="Central Stores Dispatch","CENTRAL STORES DISPATCH",IFNA(IFNA(VLOOKUP(F927,'Raw Platform Nov 4-6 2025'!C:C,1,FALSE),VLOOKUP(F927,'Raw Platform Nov 4-6 2025'!D:D,1,FALSE)),IFNA(VLOOKUP(F927,'Glovo Raw Nov 4-6 2025'!B:B,1,FALSE),"Not Matched"))))))</f>
      </c>
      <c r="H927">
        <f>COUNTIF(F:F,F927)</f>
      </c>
      <c r="I927" t="s">
        <v>9301</v>
      </c>
      <c r="J927" t="s">
        <v>5028</v>
      </c>
      <c r="K927" t="s">
        <v>4927</v>
      </c>
      <c r="L927" t="s">
        <v>9302</v>
      </c>
      <c r="M927" t="s">
        <v>9303</v>
      </c>
      <c r="N927" t="s">
        <v>9304</v>
      </c>
      <c r="O927" t="s">
        <v>26</v>
      </c>
      <c r="P927" t="s">
        <v>6592</v>
      </c>
      <c r="Q927">
        <v>896</v>
      </c>
      <c r="R927" t="s">
        <v>5118</v>
      </c>
      <c r="S927" t="s">
        <v>172</v>
      </c>
      <c r="T927" t="s">
        <v>4923</v>
      </c>
      <c r="U927" t="s">
        <v>4924</v>
      </c>
      <c r="V927" t="s">
        <v>9305</v>
      </c>
      <c r="W927" t="s">
        <v>3667</v>
      </c>
      <c r="X927">
        <v>155.2</v>
      </c>
    </row>
    <row r="928" spans="1:24" x14ac:dyDescent="0.25">
      <c r="A928" t="s">
        <v>5176</v>
      </c>
      <c r="B928" t="s">
        <v>9246</v>
      </c>
      <c r="C928" t="s">
        <v>9247</v>
      </c>
      <c r="D928" t="s">
        <v>30</v>
      </c>
      <c r="E928" t="s">
        <v>4913</v>
      </c>
      <c r="F928" t="s">
        <v>9306</v>
      </c>
      <c r="G928">
        <f>IF(K928="Pick-up","PICKUPS",IF(K928="Staff drop-off","STAFF_DROPOFF",IF(K928="Replacements","REPLACEMENT",IF(K928="Central Stores Dispatch","CENTRAL STORES DISPATCH",IFNA(IFNA(VLOOKUP(F928,'Raw Platform Nov 4-6 2025'!C:C,1,FALSE),VLOOKUP(F928,'Raw Platform Nov 4-6 2025'!D:D,1,FALSE)),IFNA(VLOOKUP(F928,'Glovo Raw Nov 4-6 2025'!B:B,1,FALSE),"Not Matched"))))))</f>
      </c>
      <c r="H928">
        <f>COUNTIF(F:F,F928)</f>
      </c>
      <c r="I928" t="s">
        <v>9307</v>
      </c>
      <c r="J928" t="s">
        <v>5318</v>
      </c>
      <c r="K928" t="s">
        <v>4927</v>
      </c>
      <c r="L928" t="s">
        <v>5326</v>
      </c>
      <c r="M928" t="s">
        <v>5327</v>
      </c>
      <c r="N928" t="s">
        <v>5292</v>
      </c>
      <c r="O928" t="s">
        <v>100</v>
      </c>
      <c r="P928" t="s">
        <v>5328</v>
      </c>
      <c r="Q928">
        <v>0</v>
      </c>
      <c r="R928" t="s">
        <v>5118</v>
      </c>
      <c r="S928" t="s">
        <v>5318</v>
      </c>
      <c r="T928" t="s">
        <v>4923</v>
      </c>
      <c r="U928" t="s">
        <v>4924</v>
      </c>
      <c r="V928" t="s">
        <v>9308</v>
      </c>
      <c r="W928" t="s">
        <v>3667</v>
      </c>
      <c r="X928">
        <v>205.8</v>
      </c>
    </row>
    <row r="929" spans="1:24" x14ac:dyDescent="0.25">
      <c r="A929" t="s">
        <v>5176</v>
      </c>
      <c r="B929" t="s">
        <v>9246</v>
      </c>
      <c r="C929" t="s">
        <v>9247</v>
      </c>
      <c r="D929" t="s">
        <v>30</v>
      </c>
      <c r="E929" t="s">
        <v>4913</v>
      </c>
      <c r="F929" t="s">
        <v>9309</v>
      </c>
      <c r="G929">
        <f>IF(K929="Pick-up","PICKUPS",IF(K929="Staff drop-off","STAFF_DROPOFF",IF(K929="Replacements","REPLACEMENT",IF(K929="Central Stores Dispatch","CENTRAL STORES DISPATCH",IFNA(IFNA(VLOOKUP(F929,'Raw Platform Nov 4-6 2025'!C:C,1,FALSE),VLOOKUP(F929,'Raw Platform Nov 4-6 2025'!D:D,1,FALSE)),IFNA(VLOOKUP(F929,'Glovo Raw Nov 4-6 2025'!B:B,1,FALSE),"Not Matched"))))))</f>
      </c>
      <c r="H929">
        <f>COUNTIF(F:F,F929)</f>
      </c>
      <c r="I929" t="s">
        <v>9310</v>
      </c>
      <c r="J929" t="s">
        <v>4915</v>
      </c>
      <c r="K929" t="s">
        <v>4927</v>
      </c>
      <c r="L929" t="s">
        <v>5326</v>
      </c>
      <c r="M929" t="s">
        <v>5327</v>
      </c>
      <c r="N929" t="s">
        <v>7522</v>
      </c>
      <c r="O929" t="s">
        <v>26</v>
      </c>
      <c r="P929" t="s">
        <v>5795</v>
      </c>
      <c r="Q929">
        <v>0</v>
      </c>
      <c r="R929" t="s">
        <v>5118</v>
      </c>
      <c r="S929" t="s">
        <v>29</v>
      </c>
      <c r="T929" t="s">
        <v>4923</v>
      </c>
      <c r="U929" t="s">
        <v>4924</v>
      </c>
      <c r="V929" t="s">
        <v>9311</v>
      </c>
      <c r="W929" t="s">
        <v>3667</v>
      </c>
      <c r="X929">
        <v>150.6</v>
      </c>
    </row>
    <row r="930" spans="1:24" x14ac:dyDescent="0.25">
      <c r="A930" t="s">
        <v>5176</v>
      </c>
      <c r="B930" t="s">
        <v>9246</v>
      </c>
      <c r="C930" t="s">
        <v>9247</v>
      </c>
      <c r="D930" t="s">
        <v>30</v>
      </c>
      <c r="E930" t="s">
        <v>4913</v>
      </c>
      <c r="F930" t="s">
        <v>2806</v>
      </c>
      <c r="G930">
        <f>IF(K930="Pick-up","PICKUPS",IF(K930="Staff drop-off","STAFF_DROPOFF",IF(K930="Replacements","REPLACEMENT",IF(K930="Central Stores Dispatch","CENTRAL STORES DISPATCH",IFNA(IFNA(VLOOKUP(F930,'Raw Platform Nov 4-6 2025'!C:C,1,FALSE),VLOOKUP(F930,'Raw Platform Nov 4-6 2025'!D:D,1,FALSE)),IFNA(VLOOKUP(F930,'Glovo Raw Nov 4-6 2025'!B:B,1,FALSE),"Not Matched"))))))</f>
      </c>
      <c r="H930">
        <f>COUNTIF(F:F,F930)</f>
      </c>
      <c r="I930" t="s">
        <v>9312</v>
      </c>
      <c r="J930" t="s">
        <v>4915</v>
      </c>
      <c r="K930" t="s">
        <v>4916</v>
      </c>
      <c r="L930" t="s">
        <v>9313</v>
      </c>
      <c r="M930" t="s">
        <v>9314</v>
      </c>
      <c r="N930" t="s">
        <v>8296</v>
      </c>
      <c r="O930" t="s">
        <v>9</v>
      </c>
      <c r="P930" t="s">
        <v>4949</v>
      </c>
      <c r="Q930">
        <v>1262</v>
      </c>
      <c r="R930" t="s">
        <v>5118</v>
      </c>
      <c r="S930" t="s">
        <v>116</v>
      </c>
      <c r="T930" t="s">
        <v>4923</v>
      </c>
      <c r="U930" t="s">
        <v>4924</v>
      </c>
      <c r="V930" t="s">
        <v>9315</v>
      </c>
      <c r="W930" t="s">
        <v>3667</v>
      </c>
      <c r="X930">
        <v>157.5</v>
      </c>
    </row>
    <row r="931" spans="1:24" x14ac:dyDescent="0.25">
      <c r="A931" t="s">
        <v>5176</v>
      </c>
      <c r="B931" t="s">
        <v>9246</v>
      </c>
      <c r="C931" t="s">
        <v>9247</v>
      </c>
      <c r="D931" t="s">
        <v>30</v>
      </c>
      <c r="E931" t="s">
        <v>4913</v>
      </c>
      <c r="F931" t="s">
        <v>3415</v>
      </c>
      <c r="G931">
        <f>IF(K931="Pick-up","PICKUPS",IF(K931="Staff drop-off","STAFF_DROPOFF",IF(K931="Replacements","REPLACEMENT",IF(K931="Central Stores Dispatch","CENTRAL STORES DISPATCH",IFNA(IFNA(VLOOKUP(F931,'Raw Platform Nov 4-6 2025'!C:C,1,FALSE),VLOOKUP(F931,'Raw Platform Nov 4-6 2025'!D:D,1,FALSE)),IFNA(VLOOKUP(F931,'Glovo Raw Nov 4-6 2025'!B:B,1,FALSE),"Not Matched"))))))</f>
      </c>
      <c r="H931">
        <f>COUNTIF(F:F,F931)</f>
      </c>
      <c r="I931" t="s">
        <v>9316</v>
      </c>
      <c r="J931" t="s">
        <v>4915</v>
      </c>
      <c r="K931" t="s">
        <v>4916</v>
      </c>
      <c r="L931" t="s">
        <v>9317</v>
      </c>
      <c r="M931" t="s">
        <v>9318</v>
      </c>
      <c r="N931" t="s">
        <v>9319</v>
      </c>
      <c r="O931" t="s">
        <v>47</v>
      </c>
      <c r="P931" t="s">
        <v>5541</v>
      </c>
      <c r="Q931">
        <v>812</v>
      </c>
      <c r="R931" t="s">
        <v>5118</v>
      </c>
      <c r="S931" t="s">
        <v>172</v>
      </c>
      <c r="T931" t="s">
        <v>4923</v>
      </c>
      <c r="U931" t="s">
        <v>4924</v>
      </c>
      <c r="V931" t="s">
        <v>9320</v>
      </c>
      <c r="W931" t="s">
        <v>3667</v>
      </c>
      <c r="X931">
        <v>100</v>
      </c>
    </row>
    <row r="932" spans="1:24" x14ac:dyDescent="0.25">
      <c r="A932" t="s">
        <v>5176</v>
      </c>
      <c r="B932" t="s">
        <v>9246</v>
      </c>
      <c r="C932" t="s">
        <v>9247</v>
      </c>
      <c r="D932" t="s">
        <v>30</v>
      </c>
      <c r="E932" t="s">
        <v>4913</v>
      </c>
      <c r="F932" t="s">
        <v>2653</v>
      </c>
      <c r="G932">
        <f>IF(K932="Pick-up","PICKUPS",IF(K932="Staff drop-off","STAFF_DROPOFF",IF(K932="Replacements","REPLACEMENT",IF(K932="Central Stores Dispatch","CENTRAL STORES DISPATCH",IFNA(IFNA(VLOOKUP(F932,'Raw Platform Nov 4-6 2025'!C:C,1,FALSE),VLOOKUP(F932,'Raw Platform Nov 4-6 2025'!D:D,1,FALSE)),IFNA(VLOOKUP(F932,'Glovo Raw Nov 4-6 2025'!B:B,1,FALSE),"Not Matched"))))))</f>
      </c>
      <c r="H932">
        <f>COUNTIF(F:F,F932)</f>
      </c>
      <c r="I932" t="s">
        <v>9321</v>
      </c>
      <c r="J932" t="s">
        <v>4915</v>
      </c>
      <c r="K932" t="s">
        <v>4927</v>
      </c>
      <c r="L932" t="s">
        <v>9322</v>
      </c>
      <c r="M932" t="s">
        <v>5327</v>
      </c>
      <c r="N932" t="s">
        <v>9323</v>
      </c>
      <c r="O932" t="s">
        <v>4920</v>
      </c>
      <c r="P932" t="s">
        <v>5430</v>
      </c>
      <c r="Q932">
        <v>0</v>
      </c>
      <c r="R932" t="s">
        <v>5118</v>
      </c>
      <c r="S932" t="s">
        <v>29</v>
      </c>
      <c r="T932" t="s">
        <v>4923</v>
      </c>
      <c r="U932" t="s">
        <v>4924</v>
      </c>
      <c r="V932" t="s">
        <v>9324</v>
      </c>
      <c r="W932" t="s">
        <v>3667</v>
      </c>
      <c r="X932">
        <v>100</v>
      </c>
    </row>
    <row r="933" spans="1:24" x14ac:dyDescent="0.25">
      <c r="A933" t="s">
        <v>5176</v>
      </c>
      <c r="B933" t="s">
        <v>9246</v>
      </c>
      <c r="C933" t="s">
        <v>9247</v>
      </c>
      <c r="D933" t="s">
        <v>30</v>
      </c>
      <c r="E933" t="s">
        <v>4913</v>
      </c>
      <c r="F933" t="s">
        <v>3261</v>
      </c>
      <c r="G933">
        <f>IF(K933="Pick-up","PICKUPS",IF(K933="Staff drop-off","STAFF_DROPOFF",IF(K933="Replacements","REPLACEMENT",IF(K933="Central Stores Dispatch","CENTRAL STORES DISPATCH",IFNA(IFNA(VLOOKUP(F933,'Raw Platform Nov 4-6 2025'!C:C,1,FALSE),VLOOKUP(F933,'Raw Platform Nov 4-6 2025'!D:D,1,FALSE)),IFNA(VLOOKUP(F933,'Glovo Raw Nov 4-6 2025'!B:B,1,FALSE),"Not Matched"))))))</f>
      </c>
      <c r="H933">
        <f>COUNTIF(F:F,F933)</f>
      </c>
      <c r="I933" t="s">
        <v>9325</v>
      </c>
      <c r="J933" t="s">
        <v>4915</v>
      </c>
      <c r="K933" t="s">
        <v>4927</v>
      </c>
      <c r="L933" t="s">
        <v>9326</v>
      </c>
      <c r="M933" t="s">
        <v>9327</v>
      </c>
      <c r="N933" t="s">
        <v>9328</v>
      </c>
      <c r="O933" t="s">
        <v>73</v>
      </c>
      <c r="P933" t="s">
        <v>5164</v>
      </c>
      <c r="Q933">
        <v>0</v>
      </c>
      <c r="R933" t="s">
        <v>5118</v>
      </c>
      <c r="S933" t="s">
        <v>12</v>
      </c>
      <c r="T933" t="s">
        <v>4923</v>
      </c>
      <c r="U933" t="s">
        <v>4924</v>
      </c>
      <c r="V933" t="s">
        <v>9329</v>
      </c>
      <c r="W933" t="s">
        <v>3667</v>
      </c>
      <c r="X933">
        <v>146</v>
      </c>
    </row>
    <row r="934" spans="1:24" x14ac:dyDescent="0.25">
      <c r="A934" t="s">
        <v>5176</v>
      </c>
      <c r="B934" t="s">
        <v>9246</v>
      </c>
      <c r="C934" t="s">
        <v>9247</v>
      </c>
      <c r="D934" t="s">
        <v>30</v>
      </c>
      <c r="E934" t="s">
        <v>4913</v>
      </c>
      <c r="F934" t="s">
        <v>3401</v>
      </c>
      <c r="G934">
        <f>IF(K934="Pick-up","PICKUPS",IF(K934="Staff drop-off","STAFF_DROPOFF",IF(K934="Replacements","REPLACEMENT",IF(K934="Central Stores Dispatch","CENTRAL STORES DISPATCH",IFNA(IFNA(VLOOKUP(F934,'Raw Platform Nov 4-6 2025'!C:C,1,FALSE),VLOOKUP(F934,'Raw Platform Nov 4-6 2025'!D:D,1,FALSE)),IFNA(VLOOKUP(F934,'Glovo Raw Nov 4-6 2025'!B:B,1,FALSE),"Not Matched"))))))</f>
      </c>
      <c r="H934">
        <f>COUNTIF(F:F,F934)</f>
      </c>
      <c r="I934" t="s">
        <v>9330</v>
      </c>
      <c r="J934" t="s">
        <v>4915</v>
      </c>
      <c r="K934" t="s">
        <v>4916</v>
      </c>
      <c r="L934" t="s">
        <v>6249</v>
      </c>
      <c r="M934" t="s">
        <v>9331</v>
      </c>
      <c r="N934" t="s">
        <v>9332</v>
      </c>
      <c r="O934" t="s">
        <v>4920</v>
      </c>
      <c r="P934" t="s">
        <v>4921</v>
      </c>
      <c r="Q934">
        <v>965</v>
      </c>
      <c r="R934" t="s">
        <v>5118</v>
      </c>
      <c r="S934" t="s">
        <v>45</v>
      </c>
      <c r="T934" t="s">
        <v>4923</v>
      </c>
      <c r="U934" t="s">
        <v>4924</v>
      </c>
      <c r="V934" t="s">
        <v>9333</v>
      </c>
      <c r="W934" t="s">
        <v>3667</v>
      </c>
      <c r="X934">
        <v>100</v>
      </c>
    </row>
    <row r="935" spans="1:24" x14ac:dyDescent="0.25">
      <c r="A935" t="s">
        <v>6063</v>
      </c>
      <c r="B935" t="s">
        <v>9334</v>
      </c>
      <c r="C935" t="s">
        <v>9335</v>
      </c>
      <c r="D935" t="s">
        <v>191</v>
      </c>
      <c r="E935" t="s">
        <v>4913</v>
      </c>
      <c r="F935" t="s">
        <v>591</v>
      </c>
      <c r="G935">
        <f>IF(K935="Pick-up","PICKUPS",IF(K935="Staff drop-off","STAFF_DROPOFF",IF(K935="Replacements","REPLACEMENT",IF(K935="Central Stores Dispatch","CENTRAL STORES DISPATCH",IFNA(IFNA(VLOOKUP(F935,'Raw Platform Nov 4-6 2025'!C:C,1,FALSE),VLOOKUP(F935,'Raw Platform Nov 4-6 2025'!D:D,1,FALSE)),IFNA(VLOOKUP(F935,'Glovo Raw Nov 4-6 2025'!B:B,1,FALSE),"Not Matched"))))))</f>
      </c>
      <c r="H935">
        <f>COUNTIF(F:F,F935)</f>
      </c>
      <c r="I935" t="s">
        <v>9336</v>
      </c>
      <c r="J935" t="s">
        <v>63</v>
      </c>
      <c r="K935" t="s">
        <v>4927</v>
      </c>
      <c r="L935" t="s">
        <v>9337</v>
      </c>
      <c r="M935" t="s">
        <v>7017</v>
      </c>
      <c r="N935" t="s">
        <v>9338</v>
      </c>
      <c r="O935" t="s">
        <v>47</v>
      </c>
      <c r="P935" t="s">
        <v>6093</v>
      </c>
      <c r="Q935">
        <v>0</v>
      </c>
      <c r="R935" t="s">
        <v>5118</v>
      </c>
      <c r="S935" t="s">
        <v>5184</v>
      </c>
      <c r="T935" t="s">
        <v>4923</v>
      </c>
      <c r="U935" t="s">
        <v>4924</v>
      </c>
      <c r="V935" t="s">
        <v>9339</v>
      </c>
      <c r="W935" t="s">
        <v>3667</v>
      </c>
      <c r="X935">
        <v>132.2</v>
      </c>
    </row>
    <row r="936" spans="1:24" x14ac:dyDescent="0.25">
      <c r="A936" t="s">
        <v>6063</v>
      </c>
      <c r="B936" t="s">
        <v>9334</v>
      </c>
      <c r="C936" t="s">
        <v>9335</v>
      </c>
      <c r="D936" t="s">
        <v>19</v>
      </c>
      <c r="E936" t="s">
        <v>4913</v>
      </c>
      <c r="F936" t="s">
        <v>9340</v>
      </c>
      <c r="G936">
        <f>IF(K936="Pick-up","PICKUPS",IF(K936="Staff drop-off","STAFF_DROPOFF",IF(K936="Replacements","REPLACEMENT",IF(K936="Central Stores Dispatch","CENTRAL STORES DISPATCH",IFNA(IFNA(VLOOKUP(F936,'Raw Platform Nov 4-6 2025'!C:C,1,FALSE),VLOOKUP(F936,'Raw Platform Nov 4-6 2025'!D:D,1,FALSE)),IFNA(VLOOKUP(F936,'Glovo Raw Nov 4-6 2025'!B:B,1,FALSE),"Not Matched"))))))</f>
      </c>
      <c r="H936">
        <f>COUNTIF(F:F,F936)</f>
      </c>
      <c r="I936" t="s">
        <v>9341</v>
      </c>
      <c r="J936" t="s">
        <v>4915</v>
      </c>
      <c r="K936" t="s">
        <v>4927</v>
      </c>
      <c r="L936" t="s">
        <v>9342</v>
      </c>
      <c r="M936" t="s">
        <v>6120</v>
      </c>
      <c r="N936" t="s">
        <v>8971</v>
      </c>
      <c r="O936" t="s">
        <v>9</v>
      </c>
      <c r="P936" t="s">
        <v>4962</v>
      </c>
      <c r="Q936">
        <v>0</v>
      </c>
      <c r="R936" t="s">
        <v>5118</v>
      </c>
      <c r="S936" t="s">
        <v>35</v>
      </c>
      <c r="T936" t="s">
        <v>4923</v>
      </c>
      <c r="U936" t="s">
        <v>4924</v>
      </c>
      <c r="V936" t="s">
        <v>9343</v>
      </c>
      <c r="W936" t="s">
        <v>3667</v>
      </c>
      <c r="X936">
        <v>180.5</v>
      </c>
    </row>
    <row r="937" spans="1:24" x14ac:dyDescent="0.25">
      <c r="A937" t="s">
        <v>6063</v>
      </c>
      <c r="B937" t="s">
        <v>9334</v>
      </c>
      <c r="C937" t="s">
        <v>9335</v>
      </c>
      <c r="D937" t="s">
        <v>19</v>
      </c>
      <c r="E937" t="s">
        <v>4913</v>
      </c>
      <c r="F937" t="s">
        <v>17</v>
      </c>
      <c r="G937">
        <f>IF(K937="Pick-up","PICKUPS",IF(K937="Staff drop-off","STAFF_DROPOFF",IF(K937="Replacements","REPLACEMENT",IF(K937="Central Stores Dispatch","CENTRAL STORES DISPATCH",IFNA(IFNA(VLOOKUP(F937,'Raw Platform Nov 4-6 2025'!C:C,1,FALSE),VLOOKUP(F937,'Raw Platform Nov 4-6 2025'!D:D,1,FALSE)),IFNA(VLOOKUP(F937,'Glovo Raw Nov 4-6 2025'!B:B,1,FALSE),"Not Matched"))))))</f>
      </c>
      <c r="H937">
        <f>COUNTIF(F:F,F937)</f>
      </c>
      <c r="I937" t="s">
        <v>9344</v>
      </c>
      <c r="J937" t="s">
        <v>4915</v>
      </c>
      <c r="K937" t="s">
        <v>4927</v>
      </c>
      <c r="L937" t="s">
        <v>9345</v>
      </c>
      <c r="M937" t="s">
        <v>9346</v>
      </c>
      <c r="N937" t="s">
        <v>9347</v>
      </c>
      <c r="O937" t="s">
        <v>2009</v>
      </c>
      <c r="P937" t="s">
        <v>4996</v>
      </c>
      <c r="Q937">
        <v>0</v>
      </c>
      <c r="R937" t="s">
        <v>5118</v>
      </c>
      <c r="S937" t="s">
        <v>12</v>
      </c>
      <c r="T937" t="s">
        <v>4923</v>
      </c>
      <c r="U937" t="s">
        <v>4924</v>
      </c>
      <c r="V937" t="s">
        <v>9348</v>
      </c>
      <c r="W937" t="s">
        <v>3667</v>
      </c>
      <c r="X937">
        <v>129.9</v>
      </c>
    </row>
    <row r="938" spans="1:24" x14ac:dyDescent="0.25">
      <c r="A938" t="s">
        <v>6063</v>
      </c>
      <c r="B938" t="s">
        <v>9334</v>
      </c>
      <c r="C938" t="s">
        <v>9335</v>
      </c>
      <c r="D938" t="s">
        <v>19</v>
      </c>
      <c r="E938" t="s">
        <v>4913</v>
      </c>
      <c r="F938" t="s">
        <v>1321</v>
      </c>
      <c r="G938">
        <f>IF(K938="Pick-up","PICKUPS",IF(K938="Staff drop-off","STAFF_DROPOFF",IF(K938="Replacements","REPLACEMENT",IF(K938="Central Stores Dispatch","CENTRAL STORES DISPATCH",IFNA(IFNA(VLOOKUP(F938,'Raw Platform Nov 4-6 2025'!C:C,1,FALSE),VLOOKUP(F938,'Raw Platform Nov 4-6 2025'!D:D,1,FALSE)),IFNA(VLOOKUP(F938,'Glovo Raw Nov 4-6 2025'!B:B,1,FALSE),"Not Matched"))))))</f>
      </c>
      <c r="H938">
        <f>COUNTIF(F:F,F938)</f>
      </c>
      <c r="I938" t="s">
        <v>9349</v>
      </c>
      <c r="J938" t="s">
        <v>4915</v>
      </c>
      <c r="K938" t="s">
        <v>4916</v>
      </c>
      <c r="L938" t="s">
        <v>9350</v>
      </c>
      <c r="M938" t="s">
        <v>6120</v>
      </c>
      <c r="N938" t="s">
        <v>9351</v>
      </c>
      <c r="O938" t="s">
        <v>100</v>
      </c>
      <c r="P938" t="s">
        <v>6099</v>
      </c>
      <c r="Q938">
        <v>2570</v>
      </c>
      <c r="R938" t="s">
        <v>5118</v>
      </c>
      <c r="S938" t="s">
        <v>12</v>
      </c>
      <c r="T938" t="s">
        <v>4923</v>
      </c>
      <c r="U938" t="s">
        <v>4924</v>
      </c>
      <c r="V938" t="s">
        <v>9352</v>
      </c>
      <c r="W938" t="s">
        <v>3667</v>
      </c>
      <c r="X938">
        <v>217.3</v>
      </c>
    </row>
    <row r="939" spans="1:24" x14ac:dyDescent="0.25">
      <c r="A939" t="s">
        <v>6063</v>
      </c>
      <c r="B939" t="s">
        <v>9334</v>
      </c>
      <c r="C939" t="s">
        <v>9335</v>
      </c>
      <c r="D939" t="s">
        <v>19</v>
      </c>
      <c r="E939" t="s">
        <v>4913</v>
      </c>
      <c r="F939" t="s">
        <v>1344</v>
      </c>
      <c r="G939">
        <f>IF(K939="Pick-up","PICKUPS",IF(K939="Staff drop-off","STAFF_DROPOFF",IF(K939="Replacements","REPLACEMENT",IF(K939="Central Stores Dispatch","CENTRAL STORES DISPATCH",IFNA(IFNA(VLOOKUP(F939,'Raw Platform Nov 4-6 2025'!C:C,1,FALSE),VLOOKUP(F939,'Raw Platform Nov 4-6 2025'!D:D,1,FALSE)),IFNA(VLOOKUP(F939,'Glovo Raw Nov 4-6 2025'!B:B,1,FALSE),"Not Matched"))))))</f>
      </c>
      <c r="H939">
        <f>COUNTIF(F:F,F939)</f>
      </c>
      <c r="I939" t="s">
        <v>9353</v>
      </c>
      <c r="J939" t="s">
        <v>63</v>
      </c>
      <c r="K939" t="s">
        <v>4927</v>
      </c>
      <c r="L939" t="s">
        <v>9354</v>
      </c>
      <c r="M939" t="s">
        <v>6120</v>
      </c>
      <c r="N939" t="s">
        <v>7473</v>
      </c>
      <c r="O939" t="s">
        <v>47</v>
      </c>
      <c r="P939" t="s">
        <v>5953</v>
      </c>
      <c r="Q939">
        <v>0</v>
      </c>
      <c r="R939" t="s">
        <v>5118</v>
      </c>
      <c r="S939" t="s">
        <v>12</v>
      </c>
      <c r="T939" t="s">
        <v>4923</v>
      </c>
      <c r="U939" t="s">
        <v>4924</v>
      </c>
      <c r="V939" t="s">
        <v>9355</v>
      </c>
      <c r="W939" t="s">
        <v>3667</v>
      </c>
      <c r="X939">
        <v>118.4</v>
      </c>
    </row>
    <row r="940" spans="1:24" x14ac:dyDescent="0.25">
      <c r="A940" t="s">
        <v>6063</v>
      </c>
      <c r="B940" t="s">
        <v>9334</v>
      </c>
      <c r="C940" t="s">
        <v>9335</v>
      </c>
      <c r="D940" t="s">
        <v>19</v>
      </c>
      <c r="E940" t="s">
        <v>4913</v>
      </c>
      <c r="F940" t="s">
        <v>9356</v>
      </c>
      <c r="G940">
        <f>IF(K940="Pick-up","PICKUPS",IF(K940="Staff drop-off","STAFF_DROPOFF",IF(K940="Replacements","REPLACEMENT",IF(K940="Central Stores Dispatch","CENTRAL STORES DISPATCH",IFNA(IFNA(VLOOKUP(F940,'Raw Platform Nov 4-6 2025'!C:C,1,FALSE),VLOOKUP(F940,'Raw Platform Nov 4-6 2025'!D:D,1,FALSE)),IFNA(VLOOKUP(F940,'Glovo Raw Nov 4-6 2025'!B:B,1,FALSE),"Not Matched"))))))</f>
      </c>
      <c r="H940">
        <f>COUNTIF(F:F,F940)</f>
      </c>
      <c r="I940" t="s">
        <v>9357</v>
      </c>
      <c r="J940" t="s">
        <v>4915</v>
      </c>
      <c r="K940" t="s">
        <v>4927</v>
      </c>
      <c r="L940" t="s">
        <v>9358</v>
      </c>
      <c r="M940" t="s">
        <v>9359</v>
      </c>
      <c r="N940" t="s">
        <v>9360</v>
      </c>
      <c r="O940" t="s">
        <v>47</v>
      </c>
      <c r="P940" t="s">
        <v>6093</v>
      </c>
      <c r="Q940">
        <v>0</v>
      </c>
      <c r="R940" t="s">
        <v>5118</v>
      </c>
      <c r="S940" t="s">
        <v>12</v>
      </c>
      <c r="T940" t="s">
        <v>4923</v>
      </c>
      <c r="U940" t="s">
        <v>4924</v>
      </c>
      <c r="V940" t="s">
        <v>9361</v>
      </c>
      <c r="W940" t="s">
        <v>3667</v>
      </c>
      <c r="X940">
        <v>132.2</v>
      </c>
    </row>
    <row r="941" spans="1:24" x14ac:dyDescent="0.25">
      <c r="A941" t="s">
        <v>6063</v>
      </c>
      <c r="B941" t="s">
        <v>9334</v>
      </c>
      <c r="C941" t="s">
        <v>9335</v>
      </c>
      <c r="D941" t="s">
        <v>19</v>
      </c>
      <c r="E941" t="s">
        <v>4913</v>
      </c>
      <c r="F941" t="s">
        <v>9362</v>
      </c>
      <c r="G941">
        <f>IF(K941="Pick-up","PICKUPS",IF(K941="Staff drop-off","STAFF_DROPOFF",IF(K941="Replacements","REPLACEMENT",IF(K941="Central Stores Dispatch","CENTRAL STORES DISPATCH",IFNA(IFNA(VLOOKUP(F941,'Raw Platform Nov 4-6 2025'!C:C,1,FALSE),VLOOKUP(F941,'Raw Platform Nov 4-6 2025'!D:D,1,FALSE)),IFNA(VLOOKUP(F941,'Glovo Raw Nov 4-6 2025'!B:B,1,FALSE),"Not Matched"))))))</f>
      </c>
      <c r="H941">
        <f>COUNTIF(F:F,F941)</f>
      </c>
      <c r="I941" t="s">
        <v>9363</v>
      </c>
      <c r="J941" t="s">
        <v>4915</v>
      </c>
      <c r="K941" t="s">
        <v>4916</v>
      </c>
      <c r="L941" t="s">
        <v>9364</v>
      </c>
      <c r="M941" t="s">
        <v>9365</v>
      </c>
      <c r="N941" t="s">
        <v>9366</v>
      </c>
      <c r="O941" t="s">
        <v>2009</v>
      </c>
      <c r="P941" t="s">
        <v>5953</v>
      </c>
      <c r="Q941">
        <v>1950</v>
      </c>
      <c r="R941" t="s">
        <v>5118</v>
      </c>
      <c r="S941" t="s">
        <v>12</v>
      </c>
      <c r="T941" t="s">
        <v>4923</v>
      </c>
      <c r="U941" t="s">
        <v>4924</v>
      </c>
      <c r="V941" t="s">
        <v>9367</v>
      </c>
      <c r="W941" t="s">
        <v>3667</v>
      </c>
      <c r="X941">
        <v>118.4</v>
      </c>
    </row>
    <row r="942" spans="1:24" x14ac:dyDescent="0.25">
      <c r="A942" t="s">
        <v>6063</v>
      </c>
      <c r="B942" t="s">
        <v>9334</v>
      </c>
      <c r="C942" t="s">
        <v>9335</v>
      </c>
      <c r="D942" t="s">
        <v>19</v>
      </c>
      <c r="E942" t="s">
        <v>4913</v>
      </c>
      <c r="F942" t="s">
        <v>2891</v>
      </c>
      <c r="G942">
        <f>IF(K942="Pick-up","PICKUPS",IF(K942="Staff drop-off","STAFF_DROPOFF",IF(K942="Replacements","REPLACEMENT",IF(K942="Central Stores Dispatch","CENTRAL STORES DISPATCH",IFNA(IFNA(VLOOKUP(F942,'Raw Platform Nov 4-6 2025'!C:C,1,FALSE),VLOOKUP(F942,'Raw Platform Nov 4-6 2025'!D:D,1,FALSE)),IFNA(VLOOKUP(F942,'Glovo Raw Nov 4-6 2025'!B:B,1,FALSE),"Not Matched"))))))</f>
      </c>
      <c r="H942">
        <f>COUNTIF(F:F,F942)</f>
      </c>
      <c r="I942" t="s">
        <v>9368</v>
      </c>
      <c r="J942" t="s">
        <v>4915</v>
      </c>
      <c r="K942" t="s">
        <v>4916</v>
      </c>
      <c r="L942" t="s">
        <v>7975</v>
      </c>
      <c r="M942" t="s">
        <v>7976</v>
      </c>
      <c r="N942" t="s">
        <v>7977</v>
      </c>
      <c r="O942" t="s">
        <v>16</v>
      </c>
      <c r="P942" t="s">
        <v>5345</v>
      </c>
      <c r="Q942">
        <v>1717</v>
      </c>
      <c r="R942" t="s">
        <v>5118</v>
      </c>
      <c r="S942" t="s">
        <v>35</v>
      </c>
      <c r="T942" t="s">
        <v>4923</v>
      </c>
      <c r="U942" t="s">
        <v>4924</v>
      </c>
      <c r="V942" t="s">
        <v>9369</v>
      </c>
      <c r="W942" t="s">
        <v>3667</v>
      </c>
      <c r="X942">
        <v>208.1</v>
      </c>
    </row>
    <row r="943" spans="1:24" x14ac:dyDescent="0.25">
      <c r="A943" t="s">
        <v>6063</v>
      </c>
      <c r="B943" t="s">
        <v>9334</v>
      </c>
      <c r="C943" t="s">
        <v>9335</v>
      </c>
      <c r="D943" t="s">
        <v>19</v>
      </c>
      <c r="E943" t="s">
        <v>4913</v>
      </c>
      <c r="F943" t="s">
        <v>3136</v>
      </c>
      <c r="G943">
        <f>IF(K943="Pick-up","PICKUPS",IF(K943="Staff drop-off","STAFF_DROPOFF",IF(K943="Replacements","REPLACEMENT",IF(K943="Central Stores Dispatch","CENTRAL STORES DISPATCH",IFNA(IFNA(VLOOKUP(F943,'Raw Platform Nov 4-6 2025'!C:C,1,FALSE),VLOOKUP(F943,'Raw Platform Nov 4-6 2025'!D:D,1,FALSE)),IFNA(VLOOKUP(F943,'Glovo Raw Nov 4-6 2025'!B:B,1,FALSE),"Not Matched"))))))</f>
      </c>
      <c r="H943">
        <f>COUNTIF(F:F,F943)</f>
      </c>
      <c r="I943" t="s">
        <v>9370</v>
      </c>
      <c r="J943" t="s">
        <v>63</v>
      </c>
      <c r="K943" t="s">
        <v>4927</v>
      </c>
      <c r="L943" t="s">
        <v>9371</v>
      </c>
      <c r="M943" t="s">
        <v>9372</v>
      </c>
      <c r="N943" t="s">
        <v>5264</v>
      </c>
      <c r="O943" t="s">
        <v>2009</v>
      </c>
      <c r="P943" t="s">
        <v>6235</v>
      </c>
      <c r="Q943">
        <v>0</v>
      </c>
      <c r="R943" t="s">
        <v>5118</v>
      </c>
      <c r="S943" t="s">
        <v>12</v>
      </c>
      <c r="T943" t="s">
        <v>4923</v>
      </c>
      <c r="U943" t="s">
        <v>4924</v>
      </c>
      <c r="V943" t="s">
        <v>9373</v>
      </c>
      <c r="W943" t="s">
        <v>3667</v>
      </c>
      <c r="X943">
        <v>104.6</v>
      </c>
    </row>
    <row r="944" spans="1:24" x14ac:dyDescent="0.25">
      <c r="A944" t="s">
        <v>6063</v>
      </c>
      <c r="B944" t="s">
        <v>9334</v>
      </c>
      <c r="C944" t="s">
        <v>9335</v>
      </c>
      <c r="D944" t="s">
        <v>19</v>
      </c>
      <c r="E944" t="s">
        <v>4913</v>
      </c>
      <c r="F944" t="s">
        <v>2868</v>
      </c>
      <c r="G944">
        <f>IF(K944="Pick-up","PICKUPS",IF(K944="Staff drop-off","STAFF_DROPOFF",IF(K944="Replacements","REPLACEMENT",IF(K944="Central Stores Dispatch","CENTRAL STORES DISPATCH",IFNA(IFNA(VLOOKUP(F944,'Raw Platform Nov 4-6 2025'!C:C,1,FALSE),VLOOKUP(F944,'Raw Platform Nov 4-6 2025'!D:D,1,FALSE)),IFNA(VLOOKUP(F944,'Glovo Raw Nov 4-6 2025'!B:B,1,FALSE),"Not Matched"))))))</f>
      </c>
      <c r="H944">
        <f>COUNTIF(F:F,F944)</f>
      </c>
      <c r="I944" t="s">
        <v>9374</v>
      </c>
      <c r="J944" t="s">
        <v>4915</v>
      </c>
      <c r="K944" t="s">
        <v>4927</v>
      </c>
      <c r="L944" t="s">
        <v>9375</v>
      </c>
      <c r="M944" t="s">
        <v>6120</v>
      </c>
      <c r="N944" t="s">
        <v>9376</v>
      </c>
      <c r="O944" t="s">
        <v>4962</v>
      </c>
      <c r="P944" t="s">
        <v>4950</v>
      </c>
      <c r="Q944">
        <v>0</v>
      </c>
      <c r="R944" t="s">
        <v>5118</v>
      </c>
      <c r="S944" t="s">
        <v>12</v>
      </c>
      <c r="T944" t="s">
        <v>4923</v>
      </c>
      <c r="U944" t="s">
        <v>4924</v>
      </c>
      <c r="V944" t="s">
        <v>9377</v>
      </c>
      <c r="W944" t="s">
        <v>3667</v>
      </c>
      <c r="X944">
        <v>100</v>
      </c>
    </row>
    <row r="945" spans="1:24" x14ac:dyDescent="0.25">
      <c r="A945" t="s">
        <v>6063</v>
      </c>
      <c r="B945" t="s">
        <v>9334</v>
      </c>
      <c r="C945" t="s">
        <v>9335</v>
      </c>
      <c r="D945" t="s">
        <v>19</v>
      </c>
      <c r="E945" t="s">
        <v>4913</v>
      </c>
      <c r="F945" t="s">
        <v>2515</v>
      </c>
      <c r="G945">
        <f>IF(K945="Pick-up","PICKUPS",IF(K945="Staff drop-off","STAFF_DROPOFF",IF(K945="Replacements","REPLACEMENT",IF(K945="Central Stores Dispatch","CENTRAL STORES DISPATCH",IFNA(IFNA(VLOOKUP(F945,'Raw Platform Nov 4-6 2025'!C:C,1,FALSE),VLOOKUP(F945,'Raw Platform Nov 4-6 2025'!D:D,1,FALSE)),IFNA(VLOOKUP(F945,'Glovo Raw Nov 4-6 2025'!B:B,1,FALSE),"Not Matched"))))))</f>
      </c>
      <c r="H945">
        <f>COUNTIF(F:F,F945)</f>
      </c>
      <c r="I945" t="s">
        <v>9378</v>
      </c>
      <c r="J945" t="s">
        <v>4915</v>
      </c>
      <c r="K945" t="s">
        <v>4927</v>
      </c>
      <c r="L945" t="s">
        <v>9379</v>
      </c>
      <c r="M945" t="s">
        <v>6120</v>
      </c>
      <c r="N945" t="s">
        <v>8771</v>
      </c>
      <c r="O945" t="s">
        <v>2009</v>
      </c>
      <c r="P945" t="s">
        <v>6235</v>
      </c>
      <c r="Q945">
        <v>0</v>
      </c>
      <c r="R945" t="s">
        <v>5118</v>
      </c>
      <c r="S945" t="s">
        <v>12</v>
      </c>
      <c r="T945" t="s">
        <v>4923</v>
      </c>
      <c r="U945" t="s">
        <v>4924</v>
      </c>
      <c r="V945" t="s">
        <v>9380</v>
      </c>
      <c r="W945" t="s">
        <v>3667</v>
      </c>
      <c r="X945">
        <v>104.6</v>
      </c>
    </row>
    <row r="946" spans="1:24" x14ac:dyDescent="0.25">
      <c r="A946" t="s">
        <v>6063</v>
      </c>
      <c r="B946" t="s">
        <v>9334</v>
      </c>
      <c r="C946" t="s">
        <v>9335</v>
      </c>
      <c r="D946" t="s">
        <v>19</v>
      </c>
      <c r="E946" t="s">
        <v>4913</v>
      </c>
      <c r="F946" t="s">
        <v>9381</v>
      </c>
      <c r="G946">
        <f>IF(K946="Pick-up","PICKUPS",IF(K946="Staff drop-off","STAFF_DROPOFF",IF(K946="Replacements","REPLACEMENT",IF(K946="Central Stores Dispatch","CENTRAL STORES DISPATCH",IFNA(IFNA(VLOOKUP(F946,'Raw Platform Nov 4-6 2025'!C:C,1,FALSE),VLOOKUP(F946,'Raw Platform Nov 4-6 2025'!D:D,1,FALSE)),IFNA(VLOOKUP(F946,'Glovo Raw Nov 4-6 2025'!B:B,1,FALSE),"Not Matched"))))))</f>
      </c>
      <c r="H946">
        <f>COUNTIF(F:F,F946)</f>
      </c>
      <c r="I946" t="s">
        <v>9382</v>
      </c>
      <c r="J946" t="s">
        <v>4915</v>
      </c>
      <c r="K946" t="s">
        <v>4927</v>
      </c>
      <c r="L946" t="s">
        <v>9383</v>
      </c>
      <c r="M946" t="s">
        <v>6120</v>
      </c>
      <c r="N946" t="s">
        <v>9384</v>
      </c>
      <c r="O946" t="s">
        <v>4956</v>
      </c>
      <c r="P946" t="s">
        <v>4930</v>
      </c>
      <c r="Q946">
        <v>0</v>
      </c>
      <c r="R946" t="s">
        <v>5118</v>
      </c>
      <c r="S946" t="s">
        <v>45</v>
      </c>
      <c r="T946" t="s">
        <v>4923</v>
      </c>
      <c r="U946" t="s">
        <v>4924</v>
      </c>
      <c r="V946" t="s">
        <v>9385</v>
      </c>
      <c r="W946" t="s">
        <v>3667</v>
      </c>
      <c r="X946">
        <v>100</v>
      </c>
    </row>
    <row r="947" spans="1:24" x14ac:dyDescent="0.25">
      <c r="A947" t="s">
        <v>6063</v>
      </c>
      <c r="B947" t="s">
        <v>9334</v>
      </c>
      <c r="C947" t="s">
        <v>9335</v>
      </c>
      <c r="D947" t="s">
        <v>191</v>
      </c>
      <c r="E947" t="s">
        <v>4913</v>
      </c>
      <c r="F947" t="s">
        <v>3465</v>
      </c>
      <c r="G947">
        <f>IF(K947="Pick-up","PICKUPS",IF(K947="Staff drop-off","STAFF_DROPOFF",IF(K947="Replacements","REPLACEMENT",IF(K947="Central Stores Dispatch","CENTRAL STORES DISPATCH",IFNA(IFNA(VLOOKUP(F947,'Raw Platform Nov 4-6 2025'!C:C,1,FALSE),VLOOKUP(F947,'Raw Platform Nov 4-6 2025'!D:D,1,FALSE)),IFNA(VLOOKUP(F947,'Glovo Raw Nov 4-6 2025'!B:B,1,FALSE),"Not Matched"))))))</f>
      </c>
      <c r="H947">
        <f>COUNTIF(F:F,F947)</f>
      </c>
      <c r="I947" t="s">
        <v>9386</v>
      </c>
      <c r="J947" t="s">
        <v>4915</v>
      </c>
      <c r="K947" t="s">
        <v>4927</v>
      </c>
      <c r="L947" t="s">
        <v>9387</v>
      </c>
      <c r="M947" t="s">
        <v>9388</v>
      </c>
      <c r="N947" t="s">
        <v>9389</v>
      </c>
      <c r="O947" t="s">
        <v>4949</v>
      </c>
      <c r="P947" t="s">
        <v>4920</v>
      </c>
      <c r="Q947">
        <v>0</v>
      </c>
      <c r="R947" t="s">
        <v>5118</v>
      </c>
      <c r="S947" t="s">
        <v>641</v>
      </c>
      <c r="T947" t="s">
        <v>4923</v>
      </c>
      <c r="U947" t="s">
        <v>4924</v>
      </c>
      <c r="V947" t="s">
        <v>9390</v>
      </c>
      <c r="W947" t="s">
        <v>3667</v>
      </c>
      <c r="X947">
        <v>100</v>
      </c>
    </row>
    <row r="948" spans="1:24" x14ac:dyDescent="0.25">
      <c r="A948" t="s">
        <v>6063</v>
      </c>
      <c r="B948" t="s">
        <v>9334</v>
      </c>
      <c r="C948" t="s">
        <v>9335</v>
      </c>
      <c r="D948" t="s">
        <v>19</v>
      </c>
      <c r="E948" t="s">
        <v>4913</v>
      </c>
      <c r="F948" t="s">
        <v>2554</v>
      </c>
      <c r="G948">
        <f>IF(K948="Pick-up","PICKUPS",IF(K948="Staff drop-off","STAFF_DROPOFF",IF(K948="Replacements","REPLACEMENT",IF(K948="Central Stores Dispatch","CENTRAL STORES DISPATCH",IFNA(IFNA(VLOOKUP(F948,'Raw Platform Nov 4-6 2025'!C:C,1,FALSE),VLOOKUP(F948,'Raw Platform Nov 4-6 2025'!D:D,1,FALSE)),IFNA(VLOOKUP(F948,'Glovo Raw Nov 4-6 2025'!B:B,1,FALSE),"Not Matched"))))))</f>
      </c>
      <c r="H948">
        <f>COUNTIF(F:F,F948)</f>
      </c>
      <c r="I948" t="s">
        <v>9391</v>
      </c>
      <c r="J948" t="s">
        <v>4915</v>
      </c>
      <c r="K948" t="s">
        <v>4916</v>
      </c>
      <c r="L948" t="s">
        <v>9392</v>
      </c>
      <c r="M948" t="s">
        <v>9393</v>
      </c>
      <c r="N948" t="s">
        <v>9394</v>
      </c>
      <c r="O948" t="s">
        <v>37</v>
      </c>
      <c r="P948" t="s">
        <v>5345</v>
      </c>
      <c r="Q948">
        <v>1809</v>
      </c>
      <c r="R948" t="s">
        <v>5118</v>
      </c>
      <c r="S948" t="s">
        <v>35</v>
      </c>
      <c r="T948" t="s">
        <v>4923</v>
      </c>
      <c r="U948" t="s">
        <v>4924</v>
      </c>
      <c r="V948" t="s">
        <v>9395</v>
      </c>
      <c r="W948" t="s">
        <v>3667</v>
      </c>
      <c r="X948">
        <v>208.1</v>
      </c>
    </row>
    <row r="949" spans="1:24" x14ac:dyDescent="0.25">
      <c r="A949" t="s">
        <v>4932</v>
      </c>
      <c r="B949" t="s">
        <v>9396</v>
      </c>
      <c r="C949" t="s">
        <v>9397</v>
      </c>
      <c r="D949" t="s">
        <v>13</v>
      </c>
      <c r="E949" t="s">
        <v>4913</v>
      </c>
      <c r="F949" t="s">
        <v>896</v>
      </c>
      <c r="G949">
        <f>IF(K949="Pick-up","PICKUPS",IF(K949="Staff drop-off","STAFF_DROPOFF",IF(K949="Replacements","REPLACEMENT",IF(K949="Central Stores Dispatch","CENTRAL STORES DISPATCH",IFNA(IFNA(VLOOKUP(F949,'Raw Platform Nov 4-6 2025'!C:C,1,FALSE),VLOOKUP(F949,'Raw Platform Nov 4-6 2025'!D:D,1,FALSE)),IFNA(VLOOKUP(F949,'Glovo Raw Nov 4-6 2025'!B:B,1,FALSE),"Not Matched"))))))</f>
      </c>
      <c r="H949">
        <f>COUNTIF(F:F,F949)</f>
      </c>
      <c r="I949" t="s">
        <v>9398</v>
      </c>
      <c r="J949" t="s">
        <v>4915</v>
      </c>
      <c r="K949" t="s">
        <v>4927</v>
      </c>
      <c r="L949" t="s">
        <v>9399</v>
      </c>
      <c r="M949" t="s">
        <v>9400</v>
      </c>
      <c r="N949" t="s">
        <v>9401</v>
      </c>
      <c r="O949" t="s">
        <v>5678</v>
      </c>
      <c r="P949" t="s">
        <v>7030</v>
      </c>
      <c r="Q949">
        <v>0</v>
      </c>
      <c r="R949" t="s">
        <v>5118</v>
      </c>
      <c r="S949" t="s">
        <v>29</v>
      </c>
      <c r="T949" t="s">
        <v>4923</v>
      </c>
      <c r="U949" t="s">
        <v>4924</v>
      </c>
      <c r="V949" t="s">
        <v>9402</v>
      </c>
      <c r="W949" t="s">
        <v>3667</v>
      </c>
      <c r="X949">
        <v>428.9</v>
      </c>
    </row>
    <row r="950" spans="1:24" x14ac:dyDescent="0.25">
      <c r="A950" t="s">
        <v>5130</v>
      </c>
      <c r="B950" t="s">
        <v>9396</v>
      </c>
      <c r="C950" t="s">
        <v>9397</v>
      </c>
      <c r="D950" t="s">
        <v>24</v>
      </c>
      <c r="E950" t="s">
        <v>4913</v>
      </c>
      <c r="F950" t="s">
        <v>814</v>
      </c>
      <c r="G950">
        <f>IF(K950="Pick-up","PICKUPS",IF(K950="Staff drop-off","STAFF_DROPOFF",IF(K950="Replacements","REPLACEMENT",IF(K950="Central Stores Dispatch","CENTRAL STORES DISPATCH",IFNA(IFNA(VLOOKUP(F950,'Raw Platform Nov 4-6 2025'!C:C,1,FALSE),VLOOKUP(F950,'Raw Platform Nov 4-6 2025'!D:D,1,FALSE)),IFNA(VLOOKUP(F950,'Glovo Raw Nov 4-6 2025'!B:B,1,FALSE),"Not Matched"))))))</f>
      </c>
      <c r="H950">
        <f>COUNTIF(F:F,F950)</f>
      </c>
      <c r="I950" t="s">
        <v>9403</v>
      </c>
      <c r="J950" t="s">
        <v>4915</v>
      </c>
      <c r="K950" t="s">
        <v>4916</v>
      </c>
      <c r="L950" t="s">
        <v>9404</v>
      </c>
      <c r="M950" t="s">
        <v>5419</v>
      </c>
      <c r="N950" t="s">
        <v>9136</v>
      </c>
      <c r="O950" t="s">
        <v>4962</v>
      </c>
      <c r="P950" t="s">
        <v>4920</v>
      </c>
      <c r="Q950">
        <v>932</v>
      </c>
      <c r="R950" t="s">
        <v>5118</v>
      </c>
      <c r="S950" t="s">
        <v>172</v>
      </c>
      <c r="T950" t="s">
        <v>4923</v>
      </c>
      <c r="U950" t="s">
        <v>4924</v>
      </c>
      <c r="V950" t="s">
        <v>9405</v>
      </c>
      <c r="W950" t="s">
        <v>3667</v>
      </c>
      <c r="X950">
        <v>100</v>
      </c>
    </row>
    <row r="951" spans="1:24" x14ac:dyDescent="0.25">
      <c r="A951" t="s">
        <v>5231</v>
      </c>
      <c r="B951" t="s">
        <v>9396</v>
      </c>
      <c r="C951" t="s">
        <v>9397</v>
      </c>
      <c r="D951" t="s">
        <v>191</v>
      </c>
      <c r="E951" t="s">
        <v>4913</v>
      </c>
      <c r="F951" t="s">
        <v>1206</v>
      </c>
      <c r="G951">
        <f>IF(K951="Pick-up","PICKUPS",IF(K951="Staff drop-off","STAFF_DROPOFF",IF(K951="Replacements","REPLACEMENT",IF(K951="Central Stores Dispatch","CENTRAL STORES DISPATCH",IFNA(IFNA(VLOOKUP(F951,'Raw Platform Nov 4-6 2025'!C:C,1,FALSE),VLOOKUP(F951,'Raw Platform Nov 4-6 2025'!D:D,1,FALSE)),IFNA(VLOOKUP(F951,'Glovo Raw Nov 4-6 2025'!B:B,1,FALSE),"Not Matched"))))))</f>
      </c>
      <c r="H951">
        <f>COUNTIF(F:F,F951)</f>
      </c>
      <c r="I951" t="s">
        <v>9406</v>
      </c>
      <c r="J951" t="s">
        <v>4915</v>
      </c>
      <c r="K951" t="s">
        <v>4927</v>
      </c>
      <c r="L951" t="s">
        <v>9407</v>
      </c>
      <c r="M951" t="s">
        <v>9408</v>
      </c>
      <c r="N951" t="s">
        <v>7005</v>
      </c>
      <c r="O951" t="s">
        <v>47</v>
      </c>
      <c r="P951" t="s">
        <v>5953</v>
      </c>
      <c r="Q951">
        <v>0</v>
      </c>
      <c r="R951" t="s">
        <v>5118</v>
      </c>
      <c r="S951" t="s">
        <v>5184</v>
      </c>
      <c r="T951" t="s">
        <v>4923</v>
      </c>
      <c r="U951" t="s">
        <v>4924</v>
      </c>
      <c r="V951" t="s">
        <v>9409</v>
      </c>
      <c r="W951" t="s">
        <v>3667</v>
      </c>
      <c r="X951">
        <v>118.4</v>
      </c>
    </row>
    <row r="952" spans="1:24" x14ac:dyDescent="0.25">
      <c r="A952" t="s">
        <v>5231</v>
      </c>
      <c r="B952" t="s">
        <v>9396</v>
      </c>
      <c r="C952" t="s">
        <v>9397</v>
      </c>
      <c r="D952" t="s">
        <v>191</v>
      </c>
      <c r="E952" t="s">
        <v>4913</v>
      </c>
      <c r="F952" t="s">
        <v>1120</v>
      </c>
      <c r="G952">
        <f>IF(K952="Pick-up","PICKUPS",IF(K952="Staff drop-off","STAFF_DROPOFF",IF(K952="Replacements","REPLACEMENT",IF(K952="Central Stores Dispatch","CENTRAL STORES DISPATCH",IFNA(IFNA(VLOOKUP(F952,'Raw Platform Nov 4-6 2025'!C:C,1,FALSE),VLOOKUP(F952,'Raw Platform Nov 4-6 2025'!D:D,1,FALSE)),IFNA(VLOOKUP(F952,'Glovo Raw Nov 4-6 2025'!B:B,1,FALSE),"Not Matched"))))))</f>
      </c>
      <c r="H952">
        <f>COUNTIF(F:F,F952)</f>
      </c>
      <c r="I952" t="s">
        <v>9410</v>
      </c>
      <c r="J952" t="s">
        <v>63</v>
      </c>
      <c r="K952" t="s">
        <v>4927</v>
      </c>
      <c r="L952" t="s">
        <v>9411</v>
      </c>
      <c r="M952" t="s">
        <v>9412</v>
      </c>
      <c r="N952" t="s">
        <v>5055</v>
      </c>
      <c r="O952" t="s">
        <v>4956</v>
      </c>
      <c r="P952" t="s">
        <v>6214</v>
      </c>
      <c r="Q952">
        <v>0</v>
      </c>
      <c r="R952" t="s">
        <v>5118</v>
      </c>
      <c r="S952" t="s">
        <v>5184</v>
      </c>
      <c r="T952" t="s">
        <v>4923</v>
      </c>
      <c r="U952" t="s">
        <v>4924</v>
      </c>
      <c r="V952" t="s">
        <v>9413</v>
      </c>
      <c r="W952" t="s">
        <v>3667</v>
      </c>
      <c r="X952">
        <v>100</v>
      </c>
    </row>
    <row r="953" spans="1:24" x14ac:dyDescent="0.25">
      <c r="A953" t="s">
        <v>5130</v>
      </c>
      <c r="B953" t="s">
        <v>9396</v>
      </c>
      <c r="C953" t="s">
        <v>9397</v>
      </c>
      <c r="D953" t="s">
        <v>24</v>
      </c>
      <c r="E953" t="s">
        <v>4913</v>
      </c>
      <c r="F953" t="s">
        <v>1008</v>
      </c>
      <c r="G953">
        <f>IF(K953="Pick-up","PICKUPS",IF(K953="Staff drop-off","STAFF_DROPOFF",IF(K953="Replacements","REPLACEMENT",IF(K953="Central Stores Dispatch","CENTRAL STORES DISPATCH",IFNA(IFNA(VLOOKUP(F953,'Raw Platform Nov 4-6 2025'!C:C,1,FALSE),VLOOKUP(F953,'Raw Platform Nov 4-6 2025'!D:D,1,FALSE)),IFNA(VLOOKUP(F953,'Glovo Raw Nov 4-6 2025'!B:B,1,FALSE),"Not Matched"))))))</f>
      </c>
      <c r="H953">
        <f>COUNTIF(F:F,F953)</f>
      </c>
      <c r="I953" t="s">
        <v>9414</v>
      </c>
      <c r="J953" t="s">
        <v>4915</v>
      </c>
      <c r="K953" t="s">
        <v>4927</v>
      </c>
      <c r="L953" t="s">
        <v>9415</v>
      </c>
      <c r="M953" t="s">
        <v>5217</v>
      </c>
      <c r="N953" t="s">
        <v>9416</v>
      </c>
      <c r="O953" t="s">
        <v>4962</v>
      </c>
      <c r="P953" t="s">
        <v>5097</v>
      </c>
      <c r="Q953">
        <v>0</v>
      </c>
      <c r="R953" t="s">
        <v>5118</v>
      </c>
      <c r="S953" t="s">
        <v>35</v>
      </c>
      <c r="T953" t="s">
        <v>4923</v>
      </c>
      <c r="U953" t="s">
        <v>4924</v>
      </c>
      <c r="V953" t="s">
        <v>9417</v>
      </c>
      <c r="W953" t="s">
        <v>3667</v>
      </c>
      <c r="X953">
        <v>100</v>
      </c>
    </row>
    <row r="954" spans="1:24" x14ac:dyDescent="0.25">
      <c r="A954" t="s">
        <v>5130</v>
      </c>
      <c r="B954" t="s">
        <v>9396</v>
      </c>
      <c r="C954" t="s">
        <v>9397</v>
      </c>
      <c r="D954" t="s">
        <v>24</v>
      </c>
      <c r="E954" t="s">
        <v>4913</v>
      </c>
      <c r="F954" t="s">
        <v>9418</v>
      </c>
      <c r="G954">
        <f>IF(K954="Pick-up","PICKUPS",IF(K954="Staff drop-off","STAFF_DROPOFF",IF(K954="Replacements","REPLACEMENT",IF(K954="Central Stores Dispatch","CENTRAL STORES DISPATCH",IFNA(IFNA(VLOOKUP(F954,'Raw Platform Nov 4-6 2025'!C:C,1,FALSE),VLOOKUP(F954,'Raw Platform Nov 4-6 2025'!D:D,1,FALSE)),IFNA(VLOOKUP(F954,'Glovo Raw Nov 4-6 2025'!B:B,1,FALSE),"Not Matched"))))))</f>
      </c>
      <c r="H954">
        <f>COUNTIF(F:F,F954)</f>
      </c>
      <c r="I954" t="s">
        <v>9419</v>
      </c>
      <c r="J954" t="s">
        <v>5318</v>
      </c>
      <c r="K954" t="s">
        <v>4927</v>
      </c>
      <c r="L954" t="s">
        <v>5319</v>
      </c>
      <c r="M954" t="s">
        <v>5320</v>
      </c>
      <c r="N954" t="s">
        <v>6458</v>
      </c>
      <c r="O954" t="s">
        <v>5013</v>
      </c>
      <c r="P954" t="s">
        <v>6459</v>
      </c>
      <c r="Q954">
        <v>0</v>
      </c>
      <c r="R954" t="s">
        <v>5118</v>
      </c>
      <c r="S954" t="s">
        <v>5293</v>
      </c>
      <c r="T954" t="s">
        <v>4923</v>
      </c>
      <c r="U954" t="s">
        <v>4924</v>
      </c>
      <c r="V954" t="s">
        <v>9420</v>
      </c>
      <c r="W954" t="s">
        <v>3667</v>
      </c>
      <c r="X954">
        <v>100</v>
      </c>
    </row>
    <row r="955" spans="1:24" x14ac:dyDescent="0.25">
      <c r="A955" t="s">
        <v>5130</v>
      </c>
      <c r="B955" t="s">
        <v>9396</v>
      </c>
      <c r="C955" t="s">
        <v>9397</v>
      </c>
      <c r="D955" t="s">
        <v>24</v>
      </c>
      <c r="E955" t="s">
        <v>4913</v>
      </c>
      <c r="F955" t="s">
        <v>9421</v>
      </c>
      <c r="G955">
        <f>IF(K955="Pick-up","PICKUPS",IF(K955="Staff drop-off","STAFF_DROPOFF",IF(K955="Replacements","REPLACEMENT",IF(K955="Central Stores Dispatch","CENTRAL STORES DISPATCH",IFNA(IFNA(VLOOKUP(F955,'Raw Platform Nov 4-6 2025'!C:C,1,FALSE),VLOOKUP(F955,'Raw Platform Nov 4-6 2025'!D:D,1,FALSE)),IFNA(VLOOKUP(F955,'Glovo Raw Nov 4-6 2025'!B:B,1,FALSE),"Not Matched"))))))</f>
      </c>
      <c r="H955">
        <f>COUNTIF(F:F,F955)</f>
      </c>
      <c r="I955" t="s">
        <v>9422</v>
      </c>
      <c r="J955" t="s">
        <v>5318</v>
      </c>
      <c r="K955" t="s">
        <v>4927</v>
      </c>
      <c r="L955" t="s">
        <v>5319</v>
      </c>
      <c r="M955" t="s">
        <v>5320</v>
      </c>
      <c r="N955" t="s">
        <v>9423</v>
      </c>
      <c r="O955" t="s">
        <v>91</v>
      </c>
      <c r="P955" t="s">
        <v>5366</v>
      </c>
      <c r="Q955">
        <v>0</v>
      </c>
      <c r="R955" t="s">
        <v>5118</v>
      </c>
      <c r="S955" t="s">
        <v>5318</v>
      </c>
      <c r="T955" t="s">
        <v>4923</v>
      </c>
      <c r="U955" t="s">
        <v>4924</v>
      </c>
      <c r="V955" t="s">
        <v>9424</v>
      </c>
      <c r="W955" t="s">
        <v>3667</v>
      </c>
      <c r="X955">
        <v>412.8</v>
      </c>
    </row>
    <row r="956" spans="1:24" x14ac:dyDescent="0.25">
      <c r="A956" t="s">
        <v>5130</v>
      </c>
      <c r="B956" t="s">
        <v>9396</v>
      </c>
      <c r="C956" t="s">
        <v>9397</v>
      </c>
      <c r="D956" t="s">
        <v>24</v>
      </c>
      <c r="E956" t="s">
        <v>4913</v>
      </c>
      <c r="F956" t="s">
        <v>9425</v>
      </c>
      <c r="G956">
        <f>IF(K956="Pick-up","PICKUPS",IF(K956="Staff drop-off","STAFF_DROPOFF",IF(K956="Replacements","REPLACEMENT",IF(K956="Central Stores Dispatch","CENTRAL STORES DISPATCH",IFNA(IFNA(VLOOKUP(F956,'Raw Platform Nov 4-6 2025'!C:C,1,FALSE),VLOOKUP(F956,'Raw Platform Nov 4-6 2025'!D:D,1,FALSE)),IFNA(VLOOKUP(F956,'Glovo Raw Nov 4-6 2025'!B:B,1,FALSE),"Not Matched"))))))</f>
      </c>
      <c r="H956">
        <f>COUNTIF(F:F,F956)</f>
      </c>
      <c r="I956" t="s">
        <v>9426</v>
      </c>
      <c r="J956" t="s">
        <v>5318</v>
      </c>
      <c r="K956" t="s">
        <v>4927</v>
      </c>
      <c r="L956" t="s">
        <v>5319</v>
      </c>
      <c r="M956" t="s">
        <v>5320</v>
      </c>
      <c r="N956" t="s">
        <v>9427</v>
      </c>
      <c r="O956" t="s">
        <v>42</v>
      </c>
      <c r="P956" t="s">
        <v>5142</v>
      </c>
      <c r="Q956">
        <v>0</v>
      </c>
      <c r="R956" t="s">
        <v>5118</v>
      </c>
      <c r="S956" t="s">
        <v>5293</v>
      </c>
      <c r="T956" t="s">
        <v>4923</v>
      </c>
      <c r="U956" t="s">
        <v>4924</v>
      </c>
      <c r="V956" t="s">
        <v>9428</v>
      </c>
      <c r="W956" t="s">
        <v>3667</v>
      </c>
      <c r="X956">
        <v>281.7</v>
      </c>
    </row>
    <row r="957" spans="1:24" x14ac:dyDescent="0.25">
      <c r="A957" t="s">
        <v>4932</v>
      </c>
      <c r="B957" t="s">
        <v>9396</v>
      </c>
      <c r="C957" t="s">
        <v>9397</v>
      </c>
      <c r="D957" t="s">
        <v>13</v>
      </c>
      <c r="E957" t="s">
        <v>4913</v>
      </c>
      <c r="F957" t="s">
        <v>861</v>
      </c>
      <c r="G957">
        <f>IF(K957="Pick-up","PICKUPS",IF(K957="Staff drop-off","STAFF_DROPOFF",IF(K957="Replacements","REPLACEMENT",IF(K957="Central Stores Dispatch","CENTRAL STORES DISPATCH",IFNA(IFNA(VLOOKUP(F957,'Raw Platform Nov 4-6 2025'!C:C,1,FALSE),VLOOKUP(F957,'Raw Platform Nov 4-6 2025'!D:D,1,FALSE)),IFNA(VLOOKUP(F957,'Glovo Raw Nov 4-6 2025'!B:B,1,FALSE),"Not Matched"))))))</f>
      </c>
      <c r="H957">
        <f>COUNTIF(F:F,F957)</f>
      </c>
      <c r="I957" t="s">
        <v>9429</v>
      </c>
      <c r="J957" t="s">
        <v>4915</v>
      </c>
      <c r="K957" t="s">
        <v>4916</v>
      </c>
      <c r="L957" t="s">
        <v>9430</v>
      </c>
      <c r="M957" t="s">
        <v>9431</v>
      </c>
      <c r="N957" t="s">
        <v>9432</v>
      </c>
      <c r="O957" t="s">
        <v>6086</v>
      </c>
      <c r="P957" t="s">
        <v>6133</v>
      </c>
      <c r="Q957">
        <v>1368</v>
      </c>
      <c r="R957" t="s">
        <v>5118</v>
      </c>
      <c r="S957" t="s">
        <v>29</v>
      </c>
      <c r="T957" t="s">
        <v>4923</v>
      </c>
      <c r="U957" t="s">
        <v>4924</v>
      </c>
      <c r="V957" t="s">
        <v>9433</v>
      </c>
      <c r="W957" t="s">
        <v>3667</v>
      </c>
      <c r="X957">
        <v>293.2</v>
      </c>
    </row>
    <row r="958" spans="1:24" x14ac:dyDescent="0.25">
      <c r="A958" t="s">
        <v>5130</v>
      </c>
      <c r="B958" t="s">
        <v>9396</v>
      </c>
      <c r="C958" t="s">
        <v>9397</v>
      </c>
      <c r="D958" t="s">
        <v>24</v>
      </c>
      <c r="E958" t="s">
        <v>4913</v>
      </c>
      <c r="F958" t="s">
        <v>1310</v>
      </c>
      <c r="G958">
        <f>IF(K958="Pick-up","PICKUPS",IF(K958="Staff drop-off","STAFF_DROPOFF",IF(K958="Replacements","REPLACEMENT",IF(K958="Central Stores Dispatch","CENTRAL STORES DISPATCH",IFNA(IFNA(VLOOKUP(F958,'Raw Platform Nov 4-6 2025'!C:C,1,FALSE),VLOOKUP(F958,'Raw Platform Nov 4-6 2025'!D:D,1,FALSE)),IFNA(VLOOKUP(F958,'Glovo Raw Nov 4-6 2025'!B:B,1,FALSE),"Not Matched"))))))</f>
      </c>
      <c r="H958">
        <f>COUNTIF(F:F,F958)</f>
      </c>
      <c r="I958" t="s">
        <v>7804</v>
      </c>
      <c r="J958" t="s">
        <v>4915</v>
      </c>
      <c r="K958" t="s">
        <v>4927</v>
      </c>
      <c r="L958" t="s">
        <v>9434</v>
      </c>
      <c r="M958" t="s">
        <v>9435</v>
      </c>
      <c r="N958" t="s">
        <v>9436</v>
      </c>
      <c r="O958" t="s">
        <v>2009</v>
      </c>
      <c r="P958" t="s">
        <v>5572</v>
      </c>
      <c r="Q958">
        <v>0</v>
      </c>
      <c r="R958" t="s">
        <v>5118</v>
      </c>
      <c r="S958" t="s">
        <v>5136</v>
      </c>
      <c r="T958" t="s">
        <v>4923</v>
      </c>
      <c r="U958" t="s">
        <v>4924</v>
      </c>
      <c r="V958" t="s">
        <v>9437</v>
      </c>
      <c r="W958" t="s">
        <v>3667</v>
      </c>
      <c r="X958">
        <v>125.3</v>
      </c>
    </row>
    <row r="959" spans="1:24" x14ac:dyDescent="0.25">
      <c r="A959" t="s">
        <v>5130</v>
      </c>
      <c r="B959" t="s">
        <v>9396</v>
      </c>
      <c r="C959" t="s">
        <v>9397</v>
      </c>
      <c r="D959" t="s">
        <v>24</v>
      </c>
      <c r="E959" t="s">
        <v>4913</v>
      </c>
      <c r="F959" t="s">
        <v>1230</v>
      </c>
      <c r="G959">
        <f>IF(K959="Pick-up","PICKUPS",IF(K959="Staff drop-off","STAFF_DROPOFF",IF(K959="Replacements","REPLACEMENT",IF(K959="Central Stores Dispatch","CENTRAL STORES DISPATCH",IFNA(IFNA(VLOOKUP(F959,'Raw Platform Nov 4-6 2025'!C:C,1,FALSE),VLOOKUP(F959,'Raw Platform Nov 4-6 2025'!D:D,1,FALSE)),IFNA(VLOOKUP(F959,'Glovo Raw Nov 4-6 2025'!B:B,1,FALSE),"Not Matched"))))))</f>
      </c>
      <c r="H959">
        <f>COUNTIF(F:F,F959)</f>
      </c>
      <c r="I959" t="s">
        <v>9438</v>
      </c>
      <c r="J959" t="s">
        <v>4915</v>
      </c>
      <c r="K959" t="s">
        <v>4927</v>
      </c>
      <c r="L959" t="s">
        <v>9439</v>
      </c>
      <c r="M959" t="s">
        <v>9440</v>
      </c>
      <c r="N959" t="s">
        <v>5972</v>
      </c>
      <c r="O959" t="s">
        <v>123</v>
      </c>
      <c r="P959" t="s">
        <v>5285</v>
      </c>
      <c r="Q959">
        <v>0</v>
      </c>
      <c r="R959" t="s">
        <v>5118</v>
      </c>
      <c r="S959" t="s">
        <v>5136</v>
      </c>
      <c r="T959" t="s">
        <v>4923</v>
      </c>
      <c r="U959" t="s">
        <v>4924</v>
      </c>
      <c r="V959" t="s">
        <v>9441</v>
      </c>
      <c r="W959" t="s">
        <v>3667</v>
      </c>
      <c r="X959">
        <v>175.9</v>
      </c>
    </row>
    <row r="960" spans="1:24" x14ac:dyDescent="0.25">
      <c r="A960" t="s">
        <v>5231</v>
      </c>
      <c r="B960" t="s">
        <v>9396</v>
      </c>
      <c r="C960" t="s">
        <v>9397</v>
      </c>
      <c r="D960" t="s">
        <v>191</v>
      </c>
      <c r="E960" t="s">
        <v>4913</v>
      </c>
      <c r="F960" t="s">
        <v>2409</v>
      </c>
      <c r="G960">
        <f>IF(K960="Pick-up","PICKUPS",IF(K960="Staff drop-off","STAFF_DROPOFF",IF(K960="Replacements","REPLACEMENT",IF(K960="Central Stores Dispatch","CENTRAL STORES DISPATCH",IFNA(IFNA(VLOOKUP(F960,'Raw Platform Nov 4-6 2025'!C:C,1,FALSE),VLOOKUP(F960,'Raw Platform Nov 4-6 2025'!D:D,1,FALSE)),IFNA(VLOOKUP(F960,'Glovo Raw Nov 4-6 2025'!B:B,1,FALSE),"Not Matched"))))))</f>
      </c>
      <c r="H960">
        <f>COUNTIF(F:F,F960)</f>
      </c>
      <c r="I960" t="s">
        <v>9442</v>
      </c>
      <c r="J960" t="s">
        <v>4915</v>
      </c>
      <c r="K960" t="s">
        <v>4927</v>
      </c>
      <c r="L960" t="s">
        <v>9443</v>
      </c>
      <c r="M960" t="s">
        <v>9444</v>
      </c>
      <c r="N960" t="s">
        <v>9445</v>
      </c>
      <c r="O960" t="s">
        <v>26</v>
      </c>
      <c r="P960" t="s">
        <v>4956</v>
      </c>
      <c r="Q960">
        <v>0</v>
      </c>
      <c r="R960" t="s">
        <v>5118</v>
      </c>
      <c r="S960" t="s">
        <v>5184</v>
      </c>
      <c r="T960" t="s">
        <v>4923</v>
      </c>
      <c r="U960" t="s">
        <v>4924</v>
      </c>
      <c r="V960" t="s">
        <v>9446</v>
      </c>
      <c r="W960" t="s">
        <v>3667</v>
      </c>
      <c r="X960">
        <v>134.5</v>
      </c>
    </row>
    <row r="961" spans="1:24" x14ac:dyDescent="0.25">
      <c r="A961" t="s">
        <v>5130</v>
      </c>
      <c r="B961" t="s">
        <v>9396</v>
      </c>
      <c r="C961" t="s">
        <v>9397</v>
      </c>
      <c r="D961" t="s">
        <v>24</v>
      </c>
      <c r="E961" t="s">
        <v>4913</v>
      </c>
      <c r="F961" t="s">
        <v>2110</v>
      </c>
      <c r="G961">
        <f>IF(K961="Pick-up","PICKUPS",IF(K961="Staff drop-off","STAFF_DROPOFF",IF(K961="Replacements","REPLACEMENT",IF(K961="Central Stores Dispatch","CENTRAL STORES DISPATCH",IFNA(IFNA(VLOOKUP(F961,'Raw Platform Nov 4-6 2025'!C:C,1,FALSE),VLOOKUP(F961,'Raw Platform Nov 4-6 2025'!D:D,1,FALSE)),IFNA(VLOOKUP(F961,'Glovo Raw Nov 4-6 2025'!B:B,1,FALSE),"Not Matched"))))))</f>
      </c>
      <c r="H961">
        <f>COUNTIF(F:F,F961)</f>
      </c>
      <c r="I961" t="s">
        <v>9447</v>
      </c>
      <c r="J961" t="s">
        <v>4915</v>
      </c>
      <c r="K961" t="s">
        <v>4916</v>
      </c>
      <c r="L961" t="s">
        <v>9448</v>
      </c>
      <c r="M961" t="s">
        <v>9449</v>
      </c>
      <c r="N961" t="s">
        <v>9450</v>
      </c>
      <c r="O961" t="s">
        <v>32</v>
      </c>
      <c r="P961" t="s">
        <v>7226</v>
      </c>
      <c r="Q961">
        <v>1182</v>
      </c>
      <c r="R961" t="s">
        <v>5118</v>
      </c>
      <c r="S961" t="s">
        <v>172</v>
      </c>
      <c r="T961" t="s">
        <v>4923</v>
      </c>
      <c r="U961" t="s">
        <v>4924</v>
      </c>
      <c r="V961" t="s">
        <v>9451</v>
      </c>
      <c r="W961" t="s">
        <v>3667</v>
      </c>
      <c r="X961">
        <v>325.4</v>
      </c>
    </row>
    <row r="962" spans="1:24" x14ac:dyDescent="0.25">
      <c r="A962" t="s">
        <v>5130</v>
      </c>
      <c r="B962" t="s">
        <v>9396</v>
      </c>
      <c r="C962" t="s">
        <v>9397</v>
      </c>
      <c r="D962" t="s">
        <v>24</v>
      </c>
      <c r="E962" t="s">
        <v>4913</v>
      </c>
      <c r="F962" t="s">
        <v>1595</v>
      </c>
      <c r="G962">
        <f>IF(K962="Pick-up","PICKUPS",IF(K962="Staff drop-off","STAFF_DROPOFF",IF(K962="Replacements","REPLACEMENT",IF(K962="Central Stores Dispatch","CENTRAL STORES DISPATCH",IFNA(IFNA(VLOOKUP(F962,'Raw Platform Nov 4-6 2025'!C:C,1,FALSE),VLOOKUP(F962,'Raw Platform Nov 4-6 2025'!D:D,1,FALSE)),IFNA(VLOOKUP(F962,'Glovo Raw Nov 4-6 2025'!B:B,1,FALSE),"Not Matched"))))))</f>
      </c>
      <c r="H962">
        <f>COUNTIF(F:F,F962)</f>
      </c>
      <c r="I962" t="s">
        <v>9452</v>
      </c>
      <c r="J962" t="s">
        <v>4915</v>
      </c>
      <c r="K962" t="s">
        <v>4927</v>
      </c>
      <c r="L962" t="s">
        <v>9453</v>
      </c>
      <c r="M962" t="s">
        <v>9454</v>
      </c>
      <c r="N962" t="s">
        <v>9455</v>
      </c>
      <c r="O962" t="s">
        <v>123</v>
      </c>
      <c r="P962" t="s">
        <v>5164</v>
      </c>
      <c r="Q962">
        <v>0</v>
      </c>
      <c r="R962" t="s">
        <v>5118</v>
      </c>
      <c r="S962" t="s">
        <v>5136</v>
      </c>
      <c r="T962" t="s">
        <v>4923</v>
      </c>
      <c r="U962" t="s">
        <v>4924</v>
      </c>
      <c r="V962" t="s">
        <v>9456</v>
      </c>
      <c r="W962" t="s">
        <v>3667</v>
      </c>
      <c r="X962">
        <v>146</v>
      </c>
    </row>
    <row r="963" spans="1:24" x14ac:dyDescent="0.25">
      <c r="A963" t="s">
        <v>5130</v>
      </c>
      <c r="B963" t="s">
        <v>9396</v>
      </c>
      <c r="C963" t="s">
        <v>9397</v>
      </c>
      <c r="D963" t="s">
        <v>24</v>
      </c>
      <c r="E963" t="s">
        <v>4913</v>
      </c>
      <c r="F963" t="s">
        <v>2205</v>
      </c>
      <c r="G963">
        <f>IF(K963="Pick-up","PICKUPS",IF(K963="Staff drop-off","STAFF_DROPOFF",IF(K963="Replacements","REPLACEMENT",IF(K963="Central Stores Dispatch","CENTRAL STORES DISPATCH",IFNA(IFNA(VLOOKUP(F963,'Raw Platform Nov 4-6 2025'!C:C,1,FALSE),VLOOKUP(F963,'Raw Platform Nov 4-6 2025'!D:D,1,FALSE)),IFNA(VLOOKUP(F963,'Glovo Raw Nov 4-6 2025'!B:B,1,FALSE),"Not Matched"))))))</f>
      </c>
      <c r="H963">
        <f>COUNTIF(F:F,F963)</f>
      </c>
      <c r="I963" t="s">
        <v>9457</v>
      </c>
      <c r="J963" t="s">
        <v>5341</v>
      </c>
      <c r="K963" t="s">
        <v>4916</v>
      </c>
      <c r="L963" t="s">
        <v>9458</v>
      </c>
      <c r="M963" t="s">
        <v>9459</v>
      </c>
      <c r="N963" t="s">
        <v>9460</v>
      </c>
      <c r="O963" t="s">
        <v>113</v>
      </c>
      <c r="P963" t="s">
        <v>6241</v>
      </c>
      <c r="Q963">
        <v>1950</v>
      </c>
      <c r="R963" t="s">
        <v>5118</v>
      </c>
      <c r="S963" t="s">
        <v>5136</v>
      </c>
      <c r="T963" t="s">
        <v>4923</v>
      </c>
      <c r="U963" t="s">
        <v>4924</v>
      </c>
      <c r="V963" t="s">
        <v>9461</v>
      </c>
      <c r="W963" t="s">
        <v>3667</v>
      </c>
      <c r="X963">
        <v>228.8</v>
      </c>
    </row>
    <row r="964" spans="1:24" x14ac:dyDescent="0.25">
      <c r="A964" t="s">
        <v>4932</v>
      </c>
      <c r="B964" t="s">
        <v>9396</v>
      </c>
      <c r="C964" t="s">
        <v>9397</v>
      </c>
      <c r="D964" t="s">
        <v>13</v>
      </c>
      <c r="E964" t="s">
        <v>4913</v>
      </c>
      <c r="F964" t="s">
        <v>9462</v>
      </c>
      <c r="G964">
        <f>IF(K964="Pick-up","PICKUPS",IF(K964="Staff drop-off","STAFF_DROPOFF",IF(K964="Replacements","REPLACEMENT",IF(K964="Central Stores Dispatch","CENTRAL STORES DISPATCH",IFNA(IFNA(VLOOKUP(F964,'Raw Platform Nov 4-6 2025'!C:C,1,FALSE),VLOOKUP(F964,'Raw Platform Nov 4-6 2025'!D:D,1,FALSE)),IFNA(VLOOKUP(F964,'Glovo Raw Nov 4-6 2025'!B:B,1,FALSE),"Not Matched"))))))</f>
      </c>
      <c r="H964">
        <f>COUNTIF(F:F,F964)</f>
      </c>
      <c r="I964" t="s">
        <v>9463</v>
      </c>
      <c r="J964" t="s">
        <v>5289</v>
      </c>
      <c r="K964" t="s">
        <v>4927</v>
      </c>
      <c r="L964" t="s">
        <v>5290</v>
      </c>
      <c r="M964" t="s">
        <v>5291</v>
      </c>
      <c r="N964" t="s">
        <v>5292</v>
      </c>
      <c r="O964" t="s">
        <v>3676</v>
      </c>
      <c r="P964" t="s">
        <v>3676</v>
      </c>
      <c r="Q964">
        <v>0</v>
      </c>
      <c r="R964" t="s">
        <v>5118</v>
      </c>
      <c r="S964" t="s">
        <v>29</v>
      </c>
      <c r="T964" t="s">
        <v>4923</v>
      </c>
      <c r="U964" t="s">
        <v>4924</v>
      </c>
      <c r="V964" t="s">
        <v>9464</v>
      </c>
      <c r="W964" t="s">
        <v>3667</v>
      </c>
      <c r="X964">
        <v>100</v>
      </c>
    </row>
    <row r="965" spans="1:24" x14ac:dyDescent="0.25">
      <c r="A965" t="s">
        <v>4932</v>
      </c>
      <c r="B965" t="s">
        <v>9396</v>
      </c>
      <c r="C965" t="s">
        <v>9397</v>
      </c>
      <c r="D965" t="s">
        <v>13</v>
      </c>
      <c r="E965" t="s">
        <v>4913</v>
      </c>
      <c r="F965" t="s">
        <v>9465</v>
      </c>
      <c r="G965">
        <f>IF(K965="Pick-up","PICKUPS",IF(K965="Staff drop-off","STAFF_DROPOFF",IF(K965="Replacements","REPLACEMENT",IF(K965="Central Stores Dispatch","CENTRAL STORES DISPATCH",IFNA(IFNA(VLOOKUP(F965,'Raw Platform Nov 4-6 2025'!C:C,1,FALSE),VLOOKUP(F965,'Raw Platform Nov 4-6 2025'!D:D,1,FALSE)),IFNA(VLOOKUP(F965,'Glovo Raw Nov 4-6 2025'!B:B,1,FALSE),"Not Matched"))))))</f>
      </c>
      <c r="H965">
        <f>COUNTIF(F:F,F965)</f>
      </c>
      <c r="I965" t="s">
        <v>9466</v>
      </c>
      <c r="J965" t="s">
        <v>5289</v>
      </c>
      <c r="K965" t="s">
        <v>4927</v>
      </c>
      <c r="L965" t="s">
        <v>5290</v>
      </c>
      <c r="M965" t="s">
        <v>5291</v>
      </c>
      <c r="N965" t="s">
        <v>5292</v>
      </c>
      <c r="O965" t="s">
        <v>3676</v>
      </c>
      <c r="P965" t="s">
        <v>3676</v>
      </c>
      <c r="Q965">
        <v>0</v>
      </c>
      <c r="R965" t="s">
        <v>5118</v>
      </c>
      <c r="S965" t="s">
        <v>29</v>
      </c>
      <c r="T965" t="s">
        <v>4923</v>
      </c>
      <c r="U965" t="s">
        <v>4924</v>
      </c>
      <c r="V965" t="s">
        <v>9467</v>
      </c>
      <c r="W965" t="s">
        <v>3667</v>
      </c>
      <c r="X965">
        <v>100</v>
      </c>
    </row>
    <row r="966" spans="1:24" x14ac:dyDescent="0.25">
      <c r="A966" t="s">
        <v>4932</v>
      </c>
      <c r="B966" t="s">
        <v>9396</v>
      </c>
      <c r="C966" t="s">
        <v>9397</v>
      </c>
      <c r="D966" t="s">
        <v>13</v>
      </c>
      <c r="E966" t="s">
        <v>4913</v>
      </c>
      <c r="F966" t="s">
        <v>3239</v>
      </c>
      <c r="G966">
        <f>IF(K966="Pick-up","PICKUPS",IF(K966="Staff drop-off","STAFF_DROPOFF",IF(K966="Replacements","REPLACEMENT",IF(K966="Central Stores Dispatch","CENTRAL STORES DISPATCH",IFNA(IFNA(VLOOKUP(F966,'Raw Platform Nov 4-6 2025'!C:C,1,FALSE),VLOOKUP(F966,'Raw Platform Nov 4-6 2025'!D:D,1,FALSE)),IFNA(VLOOKUP(F966,'Glovo Raw Nov 4-6 2025'!B:B,1,FALSE),"Not Matched"))))))</f>
      </c>
      <c r="H966">
        <f>COUNTIF(F:F,F966)</f>
      </c>
      <c r="I966" t="s">
        <v>9468</v>
      </c>
      <c r="J966" t="s">
        <v>4915</v>
      </c>
      <c r="K966" t="s">
        <v>4916</v>
      </c>
      <c r="L966" t="s">
        <v>9469</v>
      </c>
      <c r="M966" t="s">
        <v>9470</v>
      </c>
      <c r="N966" t="s">
        <v>9471</v>
      </c>
      <c r="O966" t="s">
        <v>47</v>
      </c>
      <c r="P966" t="s">
        <v>5404</v>
      </c>
      <c r="Q966">
        <v>2084</v>
      </c>
      <c r="R966" t="s">
        <v>5118</v>
      </c>
      <c r="S966" t="s">
        <v>29</v>
      </c>
      <c r="T966" t="s">
        <v>4923</v>
      </c>
      <c r="U966" t="s">
        <v>4924</v>
      </c>
      <c r="V966" t="s">
        <v>9472</v>
      </c>
      <c r="W966" t="s">
        <v>3667</v>
      </c>
      <c r="X966">
        <v>123</v>
      </c>
    </row>
    <row r="967" spans="1:24" x14ac:dyDescent="0.25">
      <c r="A967" t="s">
        <v>4932</v>
      </c>
      <c r="B967" t="s">
        <v>9396</v>
      </c>
      <c r="C967" t="s">
        <v>9397</v>
      </c>
      <c r="D967" t="s">
        <v>13</v>
      </c>
      <c r="E967" t="s">
        <v>4913</v>
      </c>
      <c r="F967" t="s">
        <v>2944</v>
      </c>
      <c r="G967">
        <f>IF(K967="Pick-up","PICKUPS",IF(K967="Staff drop-off","STAFF_DROPOFF",IF(K967="Replacements","REPLACEMENT",IF(K967="Central Stores Dispatch","CENTRAL STORES DISPATCH",IFNA(IFNA(VLOOKUP(F967,'Raw Platform Nov 4-6 2025'!C:C,1,FALSE),VLOOKUP(F967,'Raw Platform Nov 4-6 2025'!D:D,1,FALSE)),IFNA(VLOOKUP(F967,'Glovo Raw Nov 4-6 2025'!B:B,1,FALSE),"Not Matched"))))))</f>
      </c>
      <c r="H967">
        <f>COUNTIF(F:F,F967)</f>
      </c>
      <c r="I967" t="s">
        <v>9473</v>
      </c>
      <c r="J967" t="s">
        <v>63</v>
      </c>
      <c r="K967" t="s">
        <v>4916</v>
      </c>
      <c r="L967" t="s">
        <v>9474</v>
      </c>
      <c r="M967" t="s">
        <v>9475</v>
      </c>
      <c r="N967" t="s">
        <v>9476</v>
      </c>
      <c r="O967" t="s">
        <v>4962</v>
      </c>
      <c r="P967" t="s">
        <v>4930</v>
      </c>
      <c r="Q967">
        <v>2664</v>
      </c>
      <c r="R967" t="s">
        <v>5118</v>
      </c>
      <c r="S967" t="s">
        <v>29</v>
      </c>
      <c r="T967" t="s">
        <v>4923</v>
      </c>
      <c r="U967" t="s">
        <v>4924</v>
      </c>
      <c r="V967" t="s">
        <v>9477</v>
      </c>
      <c r="W967" t="s">
        <v>3667</v>
      </c>
      <c r="X967">
        <v>100</v>
      </c>
    </row>
    <row r="968" spans="1:24" x14ac:dyDescent="0.25">
      <c r="A968" t="s">
        <v>5130</v>
      </c>
      <c r="B968" t="s">
        <v>9396</v>
      </c>
      <c r="C968" t="s">
        <v>9397</v>
      </c>
      <c r="D968" t="s">
        <v>24</v>
      </c>
      <c r="E968" t="s">
        <v>4913</v>
      </c>
      <c r="F968" t="s">
        <v>3151</v>
      </c>
      <c r="G968">
        <f>IF(K968="Pick-up","PICKUPS",IF(K968="Staff drop-off","STAFF_DROPOFF",IF(K968="Replacements","REPLACEMENT",IF(K968="Central Stores Dispatch","CENTRAL STORES DISPATCH",IFNA(IFNA(VLOOKUP(F968,'Raw Platform Nov 4-6 2025'!C:C,1,FALSE),VLOOKUP(F968,'Raw Platform Nov 4-6 2025'!D:D,1,FALSE)),IFNA(VLOOKUP(F968,'Glovo Raw Nov 4-6 2025'!B:B,1,FALSE),"Not Matched"))))))</f>
      </c>
      <c r="H968">
        <f>COUNTIF(F:F,F968)</f>
      </c>
      <c r="I968" t="s">
        <v>9478</v>
      </c>
      <c r="J968" t="s">
        <v>63</v>
      </c>
      <c r="K968" t="s">
        <v>4916</v>
      </c>
      <c r="L968" t="s">
        <v>5167</v>
      </c>
      <c r="M968" t="s">
        <v>5168</v>
      </c>
      <c r="N968" t="s">
        <v>5055</v>
      </c>
      <c r="O968" t="s">
        <v>4949</v>
      </c>
      <c r="P968" t="s">
        <v>5013</v>
      </c>
      <c r="Q968">
        <v>3249</v>
      </c>
      <c r="R968" t="s">
        <v>5118</v>
      </c>
      <c r="S968" t="s">
        <v>116</v>
      </c>
      <c r="T968" t="s">
        <v>4923</v>
      </c>
      <c r="U968" t="s">
        <v>4924</v>
      </c>
      <c r="V968" t="s">
        <v>9479</v>
      </c>
      <c r="W968" t="s">
        <v>3667</v>
      </c>
      <c r="X968">
        <v>100</v>
      </c>
    </row>
    <row r="969" spans="1:24" x14ac:dyDescent="0.25">
      <c r="A969" t="s">
        <v>5130</v>
      </c>
      <c r="B969" t="s">
        <v>9396</v>
      </c>
      <c r="C969" t="s">
        <v>9397</v>
      </c>
      <c r="D969" t="s">
        <v>24</v>
      </c>
      <c r="E969" t="s">
        <v>4913</v>
      </c>
      <c r="F969" t="s">
        <v>3336</v>
      </c>
      <c r="G969">
        <f>IF(K969="Pick-up","PICKUPS",IF(K969="Staff drop-off","STAFF_DROPOFF",IF(K969="Replacements","REPLACEMENT",IF(K969="Central Stores Dispatch","CENTRAL STORES DISPATCH",IFNA(IFNA(VLOOKUP(F969,'Raw Platform Nov 4-6 2025'!C:C,1,FALSE),VLOOKUP(F969,'Raw Platform Nov 4-6 2025'!D:D,1,FALSE)),IFNA(VLOOKUP(F969,'Glovo Raw Nov 4-6 2025'!B:B,1,FALSE),"Not Matched"))))))</f>
      </c>
      <c r="H969">
        <f>COUNTIF(F:F,F969)</f>
      </c>
      <c r="I969" t="s">
        <v>9480</v>
      </c>
      <c r="J969" t="s">
        <v>5341</v>
      </c>
      <c r="K969" t="s">
        <v>4916</v>
      </c>
      <c r="L969" t="s">
        <v>9481</v>
      </c>
      <c r="M969" t="s">
        <v>9482</v>
      </c>
      <c r="N969" t="s">
        <v>9483</v>
      </c>
      <c r="O969" t="s">
        <v>2009</v>
      </c>
      <c r="P969" t="s">
        <v>7776</v>
      </c>
      <c r="Q969">
        <v>1420</v>
      </c>
      <c r="R969" t="s">
        <v>5118</v>
      </c>
      <c r="S969" t="s">
        <v>5136</v>
      </c>
      <c r="T969" t="s">
        <v>4923</v>
      </c>
      <c r="U969" t="s">
        <v>4924</v>
      </c>
      <c r="V969" t="s">
        <v>9484</v>
      </c>
      <c r="W969" t="s">
        <v>3667</v>
      </c>
      <c r="X969">
        <v>113.8</v>
      </c>
    </row>
    <row r="970" spans="1:24" x14ac:dyDescent="0.25">
      <c r="A970" t="s">
        <v>5176</v>
      </c>
      <c r="B970" t="s">
        <v>9396</v>
      </c>
      <c r="C970" t="s">
        <v>9397</v>
      </c>
      <c r="D970" t="s">
        <v>30</v>
      </c>
      <c r="E970" t="s">
        <v>4913</v>
      </c>
      <c r="F970" t="s">
        <v>9485</v>
      </c>
      <c r="G970">
        <f>IF(K970="Pick-up","PICKUPS",IF(K970="Staff drop-off","STAFF_DROPOFF",IF(K970="Replacements","REPLACEMENT",IF(K970="Central Stores Dispatch","CENTRAL STORES DISPATCH",IFNA(IFNA(VLOOKUP(F970,'Raw Platform Nov 4-6 2025'!C:C,1,FALSE),VLOOKUP(F970,'Raw Platform Nov 4-6 2025'!D:D,1,FALSE)),IFNA(VLOOKUP(F970,'Glovo Raw Nov 4-6 2025'!B:B,1,FALSE),"Not Matched"))))))</f>
      </c>
      <c r="H970">
        <f>COUNTIF(F:F,F970)</f>
      </c>
      <c r="I970" t="s">
        <v>9486</v>
      </c>
      <c r="J970" t="s">
        <v>5289</v>
      </c>
      <c r="K970" t="s">
        <v>4927</v>
      </c>
      <c r="L970" t="s">
        <v>5326</v>
      </c>
      <c r="M970" t="s">
        <v>5327</v>
      </c>
      <c r="N970" t="s">
        <v>5292</v>
      </c>
      <c r="O970" t="s">
        <v>100</v>
      </c>
      <c r="P970" t="s">
        <v>5328</v>
      </c>
      <c r="Q970">
        <v>0</v>
      </c>
      <c r="R970" t="s">
        <v>5118</v>
      </c>
      <c r="S970" t="s">
        <v>116</v>
      </c>
      <c r="T970" t="s">
        <v>4923</v>
      </c>
      <c r="U970" t="s">
        <v>4924</v>
      </c>
      <c r="V970" t="s">
        <v>9487</v>
      </c>
      <c r="W970" t="s">
        <v>3667</v>
      </c>
      <c r="X970">
        <v>205.8</v>
      </c>
    </row>
    <row r="971" spans="1:24" x14ac:dyDescent="0.25">
      <c r="A971" t="s">
        <v>5130</v>
      </c>
      <c r="B971" t="s">
        <v>9396</v>
      </c>
      <c r="C971" t="s">
        <v>9397</v>
      </c>
      <c r="D971" t="s">
        <v>24</v>
      </c>
      <c r="E971" t="s">
        <v>4913</v>
      </c>
      <c r="F971" t="s">
        <v>3278</v>
      </c>
      <c r="G971">
        <f>IF(K971="Pick-up","PICKUPS",IF(K971="Staff drop-off","STAFF_DROPOFF",IF(K971="Replacements","REPLACEMENT",IF(K971="Central Stores Dispatch","CENTRAL STORES DISPATCH",IFNA(IFNA(VLOOKUP(F971,'Raw Platform Nov 4-6 2025'!C:C,1,FALSE),VLOOKUP(F971,'Raw Platform Nov 4-6 2025'!D:D,1,FALSE)),IFNA(VLOOKUP(F971,'Glovo Raw Nov 4-6 2025'!B:B,1,FALSE),"Not Matched"))))))</f>
      </c>
      <c r="H971">
        <f>COUNTIF(F:F,F971)</f>
      </c>
      <c r="I971" t="s">
        <v>9488</v>
      </c>
      <c r="J971" t="s">
        <v>4915</v>
      </c>
      <c r="K971" t="s">
        <v>4916</v>
      </c>
      <c r="L971" t="s">
        <v>9489</v>
      </c>
      <c r="M971" t="s">
        <v>9490</v>
      </c>
      <c r="N971" t="s">
        <v>6617</v>
      </c>
      <c r="O971" t="s">
        <v>100</v>
      </c>
      <c r="P971" t="s">
        <v>5314</v>
      </c>
      <c r="Q971">
        <v>2204</v>
      </c>
      <c r="R971" t="s">
        <v>5118</v>
      </c>
      <c r="S971" t="s">
        <v>35</v>
      </c>
      <c r="T971" t="s">
        <v>4923</v>
      </c>
      <c r="U971" t="s">
        <v>4924</v>
      </c>
      <c r="V971" t="s">
        <v>9491</v>
      </c>
      <c r="W971" t="s">
        <v>3667</v>
      </c>
      <c r="X971">
        <v>201.2</v>
      </c>
    </row>
    <row r="972" spans="1:24" x14ac:dyDescent="0.25">
      <c r="A972" t="s">
        <v>5130</v>
      </c>
      <c r="B972" t="s">
        <v>9396</v>
      </c>
      <c r="C972" t="s">
        <v>9397</v>
      </c>
      <c r="D972" t="s">
        <v>24</v>
      </c>
      <c r="E972" t="s">
        <v>4913</v>
      </c>
      <c r="F972" t="s">
        <v>3320</v>
      </c>
      <c r="G972">
        <f>IF(K972="Pick-up","PICKUPS",IF(K972="Staff drop-off","STAFF_DROPOFF",IF(K972="Replacements","REPLACEMENT",IF(K972="Central Stores Dispatch","CENTRAL STORES DISPATCH",IFNA(IFNA(VLOOKUP(F972,'Raw Platform Nov 4-6 2025'!C:C,1,FALSE),VLOOKUP(F972,'Raw Platform Nov 4-6 2025'!D:D,1,FALSE)),IFNA(VLOOKUP(F972,'Glovo Raw Nov 4-6 2025'!B:B,1,FALSE),"Not Matched"))))))</f>
      </c>
      <c r="H972">
        <f>COUNTIF(F:F,F972)</f>
      </c>
      <c r="I972" t="s">
        <v>9492</v>
      </c>
      <c r="J972" t="s">
        <v>4915</v>
      </c>
      <c r="K972" t="s">
        <v>4927</v>
      </c>
      <c r="L972" t="s">
        <v>9493</v>
      </c>
      <c r="M972" t="s">
        <v>5217</v>
      </c>
      <c r="N972" t="s">
        <v>9494</v>
      </c>
      <c r="O972" t="s">
        <v>26</v>
      </c>
      <c r="P972" t="s">
        <v>5816</v>
      </c>
      <c r="Q972">
        <v>0</v>
      </c>
      <c r="R972" t="s">
        <v>5118</v>
      </c>
      <c r="S972" t="s">
        <v>35</v>
      </c>
      <c r="T972" t="s">
        <v>4923</v>
      </c>
      <c r="U972" t="s">
        <v>4924</v>
      </c>
      <c r="V972" t="s">
        <v>9495</v>
      </c>
      <c r="W972" t="s">
        <v>3667</v>
      </c>
      <c r="X972">
        <v>162.1</v>
      </c>
    </row>
    <row r="973" spans="1:24" x14ac:dyDescent="0.25">
      <c r="A973" t="s">
        <v>4932</v>
      </c>
      <c r="B973" t="s">
        <v>9396</v>
      </c>
      <c r="C973" t="s">
        <v>9397</v>
      </c>
      <c r="D973" t="s">
        <v>13</v>
      </c>
      <c r="E973" t="s">
        <v>4913</v>
      </c>
      <c r="F973" t="s">
        <v>2603</v>
      </c>
      <c r="G973">
        <f>IF(K973="Pick-up","PICKUPS",IF(K973="Staff drop-off","STAFF_DROPOFF",IF(K973="Replacements","REPLACEMENT",IF(K973="Central Stores Dispatch","CENTRAL STORES DISPATCH",IFNA(IFNA(VLOOKUP(F973,'Raw Platform Nov 4-6 2025'!C:C,1,FALSE),VLOOKUP(F973,'Raw Platform Nov 4-6 2025'!D:D,1,FALSE)),IFNA(VLOOKUP(F973,'Glovo Raw Nov 4-6 2025'!B:B,1,FALSE),"Not Matched"))))))</f>
      </c>
      <c r="H973">
        <f>COUNTIF(F:F,F973)</f>
      </c>
      <c r="I973" t="s">
        <v>9496</v>
      </c>
      <c r="J973" t="s">
        <v>4915</v>
      </c>
      <c r="K973" t="s">
        <v>4916</v>
      </c>
      <c r="L973" t="s">
        <v>9497</v>
      </c>
      <c r="M973" t="s">
        <v>9498</v>
      </c>
      <c r="N973" t="s">
        <v>9499</v>
      </c>
      <c r="O973" t="s">
        <v>42</v>
      </c>
      <c r="P973" t="s">
        <v>7442</v>
      </c>
      <c r="Q973">
        <v>855</v>
      </c>
      <c r="R973" t="s">
        <v>5118</v>
      </c>
      <c r="S973" t="s">
        <v>29</v>
      </c>
      <c r="T973" t="s">
        <v>4923</v>
      </c>
      <c r="U973" t="s">
        <v>4924</v>
      </c>
      <c r="V973" t="s">
        <v>9500</v>
      </c>
      <c r="W973" t="s">
        <v>3667</v>
      </c>
      <c r="X973">
        <v>371.4</v>
      </c>
    </row>
    <row r="974" spans="1:24" x14ac:dyDescent="0.25">
      <c r="A974" t="s">
        <v>5130</v>
      </c>
      <c r="B974" t="s">
        <v>9396</v>
      </c>
      <c r="C974" t="s">
        <v>9397</v>
      </c>
      <c r="D974" t="s">
        <v>24</v>
      </c>
      <c r="E974" t="s">
        <v>4913</v>
      </c>
      <c r="F974" t="s">
        <v>3478</v>
      </c>
      <c r="G974">
        <f>IF(K974="Pick-up","PICKUPS",IF(K974="Staff drop-off","STAFF_DROPOFF",IF(K974="Replacements","REPLACEMENT",IF(K974="Central Stores Dispatch","CENTRAL STORES DISPATCH",IFNA(IFNA(VLOOKUP(F974,'Raw Platform Nov 4-6 2025'!C:C,1,FALSE),VLOOKUP(F974,'Raw Platform Nov 4-6 2025'!D:D,1,FALSE)),IFNA(VLOOKUP(F974,'Glovo Raw Nov 4-6 2025'!B:B,1,FALSE),"Not Matched"))))))</f>
      </c>
      <c r="H974">
        <f>COUNTIF(F:F,F974)</f>
      </c>
      <c r="I974" t="s">
        <v>9501</v>
      </c>
      <c r="J974" t="s">
        <v>4915</v>
      </c>
      <c r="K974" t="s">
        <v>4916</v>
      </c>
      <c r="L974" t="s">
        <v>9502</v>
      </c>
      <c r="M974" t="s">
        <v>9503</v>
      </c>
      <c r="N974" t="s">
        <v>9504</v>
      </c>
      <c r="O974" t="s">
        <v>100</v>
      </c>
      <c r="P974" t="s">
        <v>6189</v>
      </c>
      <c r="Q974">
        <v>774</v>
      </c>
      <c r="R974" t="s">
        <v>5118</v>
      </c>
      <c r="S974" t="s">
        <v>432</v>
      </c>
      <c r="T974" t="s">
        <v>4923</v>
      </c>
      <c r="U974" t="s">
        <v>4924</v>
      </c>
      <c r="V974" t="s">
        <v>9505</v>
      </c>
      <c r="W974" t="s">
        <v>3667</v>
      </c>
      <c r="X974">
        <v>334.6</v>
      </c>
    </row>
    <row r="975" spans="1:24" x14ac:dyDescent="0.25">
      <c r="A975" t="s">
        <v>5176</v>
      </c>
      <c r="B975" t="s">
        <v>9396</v>
      </c>
      <c r="C975" t="s">
        <v>9397</v>
      </c>
      <c r="D975" t="s">
        <v>191</v>
      </c>
      <c r="E975" t="s">
        <v>4913</v>
      </c>
      <c r="F975" t="s">
        <v>2571</v>
      </c>
      <c r="G975">
        <f>IF(K975="Pick-up","PICKUPS",IF(K975="Staff drop-off","STAFF_DROPOFF",IF(K975="Replacements","REPLACEMENT",IF(K975="Central Stores Dispatch","CENTRAL STORES DISPATCH",IFNA(IFNA(VLOOKUP(F975,'Raw Platform Nov 4-6 2025'!C:C,1,FALSE),VLOOKUP(F975,'Raw Platform Nov 4-6 2025'!D:D,1,FALSE)),IFNA(VLOOKUP(F975,'Glovo Raw Nov 4-6 2025'!B:B,1,FALSE),"Not Matched"))))))</f>
      </c>
      <c r="H975">
        <f>COUNTIF(F:F,F975)</f>
      </c>
      <c r="I975" t="s">
        <v>9506</v>
      </c>
      <c r="J975" t="s">
        <v>4915</v>
      </c>
      <c r="K975" t="s">
        <v>4927</v>
      </c>
      <c r="L975" t="s">
        <v>9507</v>
      </c>
      <c r="M975" t="s">
        <v>9508</v>
      </c>
      <c r="N975" t="s">
        <v>9509</v>
      </c>
      <c r="O975" t="s">
        <v>183</v>
      </c>
      <c r="P975" t="s">
        <v>6133</v>
      </c>
      <c r="Q975">
        <v>0</v>
      </c>
      <c r="R975" t="s">
        <v>5118</v>
      </c>
      <c r="S975" t="s">
        <v>6166</v>
      </c>
      <c r="T975" t="s">
        <v>4923</v>
      </c>
      <c r="U975" t="s">
        <v>4924</v>
      </c>
      <c r="V975" t="s">
        <v>9510</v>
      </c>
      <c r="W975" t="s">
        <v>3667</v>
      </c>
      <c r="X975">
        <v>293.2</v>
      </c>
    </row>
    <row r="976" spans="1:24" x14ac:dyDescent="0.25">
      <c r="A976" t="s">
        <v>5925</v>
      </c>
      <c r="B976" t="s">
        <v>9511</v>
      </c>
      <c r="C976" t="s">
        <v>9512</v>
      </c>
      <c r="D976" t="s">
        <v>3667</v>
      </c>
      <c r="E976" t="s">
        <v>9513</v>
      </c>
      <c r="F976" t="s">
        <v>2981</v>
      </c>
      <c r="G976">
        <f>IF(K976="Pick-up","PICKUPS",IF(K976="Staff drop-off","STAFF_DROPOFF",IF(K976="Replacements","REPLACEMENT",IF(K976="Central Stores Dispatch","CENTRAL STORES DISPATCH",IFNA(IFNA(VLOOKUP(F976,'Raw Platform Nov 4-6 2025'!C:C,1,FALSE),VLOOKUP(F976,'Raw Platform Nov 4-6 2025'!D:D,1,FALSE)),IFNA(VLOOKUP(F976,'Glovo Raw Nov 4-6 2025'!B:B,1,FALSE),"Not Matched"))))))</f>
      </c>
      <c r="H976">
        <f>COUNTIF(F:F,F976)</f>
      </c>
      <c r="I976" t="s">
        <v>9514</v>
      </c>
      <c r="J976" t="s">
        <v>5028</v>
      </c>
      <c r="K976" t="s">
        <v>4916</v>
      </c>
      <c r="L976" t="s">
        <v>5928</v>
      </c>
      <c r="M976" t="s">
        <v>5929</v>
      </c>
      <c r="N976" t="s">
        <v>5930</v>
      </c>
      <c r="O976" t="s">
        <v>91</v>
      </c>
      <c r="P976" t="s">
        <v>123</v>
      </c>
      <c r="Q976">
        <v>1900</v>
      </c>
      <c r="R976" t="s">
        <v>5118</v>
      </c>
      <c r="S976" t="s">
        <v>3667</v>
      </c>
      <c r="T976" t="s">
        <v>4923</v>
      </c>
      <c r="U976" t="s">
        <v>4923</v>
      </c>
      <c r="V976" t="s">
        <v>9515</v>
      </c>
      <c r="W976" t="s">
        <v>3667</v>
      </c>
      <c r="X976">
        <v>0</v>
      </c>
    </row>
    <row r="977" spans="1:24" x14ac:dyDescent="0.25">
      <c r="A977" t="s">
        <v>9516</v>
      </c>
      <c r="B977" t="s">
        <v>9511</v>
      </c>
      <c r="C977" t="s">
        <v>9512</v>
      </c>
      <c r="D977" t="s">
        <v>3667</v>
      </c>
      <c r="E977" t="s">
        <v>4913</v>
      </c>
      <c r="F977" t="s">
        <v>2983</v>
      </c>
      <c r="G977">
        <f>IF(K977="Pick-up","PICKUPS",IF(K977="Staff drop-off","STAFF_DROPOFF",IF(K977="Replacements","REPLACEMENT",IF(K977="Central Stores Dispatch","CENTRAL STORES DISPATCH",IFNA(IFNA(VLOOKUP(F977,'Raw Platform Nov 4-6 2025'!C:C,1,FALSE),VLOOKUP(F977,'Raw Platform Nov 4-6 2025'!D:D,1,FALSE)),IFNA(VLOOKUP(F977,'Glovo Raw Nov 4-6 2025'!B:B,1,FALSE),"Not Matched"))))))</f>
      </c>
      <c r="H977">
        <f>COUNTIF(F:F,F977)</f>
      </c>
      <c r="I977" t="s">
        <v>9517</v>
      </c>
      <c r="J977" t="s">
        <v>5028</v>
      </c>
      <c r="K977" t="s">
        <v>4916</v>
      </c>
      <c r="L977" t="s">
        <v>9518</v>
      </c>
      <c r="M977" t="s">
        <v>9519</v>
      </c>
      <c r="N977" t="s">
        <v>9520</v>
      </c>
      <c r="O977" t="s">
        <v>9</v>
      </c>
      <c r="P977" t="s">
        <v>5820</v>
      </c>
      <c r="Q977">
        <v>1500</v>
      </c>
      <c r="R977" t="s">
        <v>5118</v>
      </c>
      <c r="S977" t="s">
        <v>3667</v>
      </c>
      <c r="T977" t="s">
        <v>4923</v>
      </c>
      <c r="U977" t="s">
        <v>4924</v>
      </c>
      <c r="V977" t="s">
        <v>9521</v>
      </c>
      <c r="W977" t="s">
        <v>3667</v>
      </c>
      <c r="X977">
        <v>1500</v>
      </c>
    </row>
    <row r="978" spans="1:24" x14ac:dyDescent="0.25">
      <c r="A978" t="s">
        <v>9516</v>
      </c>
      <c r="B978" t="s">
        <v>9522</v>
      </c>
      <c r="C978" t="s">
        <v>9523</v>
      </c>
      <c r="D978" t="s">
        <v>3667</v>
      </c>
      <c r="E978" t="s">
        <v>5034</v>
      </c>
      <c r="F978" t="s">
        <v>2983</v>
      </c>
      <c r="G978">
        <f>IF(K978="Pick-up","PICKUPS",IF(K978="Staff drop-off","STAFF_DROPOFF",IF(K978="Replacements","REPLACEMENT",IF(K978="Central Stores Dispatch","CENTRAL STORES DISPATCH",IFNA(IFNA(VLOOKUP(F978,'Raw Platform Nov 4-6 2025'!C:C,1,FALSE),VLOOKUP(F978,'Raw Platform Nov 4-6 2025'!D:D,1,FALSE)),IFNA(VLOOKUP(F978,'Glovo Raw Nov 4-6 2025'!B:B,1,FALSE),"Not Matched"))))))</f>
      </c>
      <c r="H978">
        <f>COUNTIF(F:F,F978)</f>
      </c>
      <c r="I978" t="s">
        <v>9517</v>
      </c>
      <c r="J978" t="s">
        <v>5028</v>
      </c>
      <c r="K978" t="s">
        <v>4916</v>
      </c>
      <c r="L978" t="s">
        <v>9518</v>
      </c>
      <c r="M978" t="s">
        <v>9519</v>
      </c>
      <c r="N978" t="s">
        <v>9520</v>
      </c>
      <c r="O978" t="s">
        <v>9</v>
      </c>
      <c r="P978" t="s">
        <v>5820</v>
      </c>
      <c r="Q978">
        <v>1500</v>
      </c>
      <c r="R978" t="s">
        <v>5118</v>
      </c>
      <c r="S978" t="s">
        <v>3667</v>
      </c>
      <c r="T978" t="s">
        <v>4923</v>
      </c>
      <c r="U978" t="s">
        <v>4923</v>
      </c>
      <c r="V978" t="s">
        <v>9517</v>
      </c>
      <c r="W978" t="s">
        <v>3667</v>
      </c>
      <c r="X978">
        <v>0</v>
      </c>
    </row>
    <row r="979" spans="1:24" x14ac:dyDescent="0.25">
      <c r="A979" t="s">
        <v>5176</v>
      </c>
      <c r="B979" t="s">
        <v>9524</v>
      </c>
      <c r="C979" t="s">
        <v>9525</v>
      </c>
      <c r="D979" t="s">
        <v>30</v>
      </c>
      <c r="E979" t="s">
        <v>4913</v>
      </c>
      <c r="F979" t="s">
        <v>1586</v>
      </c>
      <c r="G979">
        <f>IF(K979="Pick-up","PICKUPS",IF(K979="Staff drop-off","STAFF_DROPOFF",IF(K979="Replacements","REPLACEMENT",IF(K979="Central Stores Dispatch","CENTRAL STORES DISPATCH",IFNA(IFNA(VLOOKUP(F979,'Raw Platform Nov 4-6 2025'!C:C,1,FALSE),VLOOKUP(F979,'Raw Platform Nov 4-6 2025'!D:D,1,FALSE)),IFNA(VLOOKUP(F979,'Glovo Raw Nov 4-6 2025'!B:B,1,FALSE),"Not Matched"))))))</f>
      </c>
      <c r="H979">
        <f>COUNTIF(F:F,F979)</f>
      </c>
      <c r="I979" t="s">
        <v>9526</v>
      </c>
      <c r="J979" t="s">
        <v>4915</v>
      </c>
      <c r="K979" t="s">
        <v>4916</v>
      </c>
      <c r="L979" t="s">
        <v>9527</v>
      </c>
      <c r="M979" t="s">
        <v>7643</v>
      </c>
      <c r="N979" t="s">
        <v>7644</v>
      </c>
      <c r="O979" t="s">
        <v>73</v>
      </c>
      <c r="P979" t="s">
        <v>4990</v>
      </c>
      <c r="Q979">
        <v>1210</v>
      </c>
      <c r="R979" t="s">
        <v>5118</v>
      </c>
      <c r="S979" t="s">
        <v>116</v>
      </c>
      <c r="T979" t="s">
        <v>4923</v>
      </c>
      <c r="U979" t="s">
        <v>4924</v>
      </c>
      <c r="V979" t="s">
        <v>9528</v>
      </c>
      <c r="W979" t="s">
        <v>3667</v>
      </c>
      <c r="X979">
        <v>111.5</v>
      </c>
    </row>
    <row r="980" spans="1:24" x14ac:dyDescent="0.25">
      <c r="A980" t="s">
        <v>5176</v>
      </c>
      <c r="B980" t="s">
        <v>9524</v>
      </c>
      <c r="C980" t="s">
        <v>9525</v>
      </c>
      <c r="D980" t="s">
        <v>30</v>
      </c>
      <c r="E980" t="s">
        <v>4913</v>
      </c>
      <c r="F980" t="s">
        <v>2351</v>
      </c>
      <c r="G980">
        <f>IF(K980="Pick-up","PICKUPS",IF(K980="Staff drop-off","STAFF_DROPOFF",IF(K980="Replacements","REPLACEMENT",IF(K980="Central Stores Dispatch","CENTRAL STORES DISPATCH",IFNA(IFNA(VLOOKUP(F980,'Raw Platform Nov 4-6 2025'!C:C,1,FALSE),VLOOKUP(F980,'Raw Platform Nov 4-6 2025'!D:D,1,FALSE)),IFNA(VLOOKUP(F980,'Glovo Raw Nov 4-6 2025'!B:B,1,FALSE),"Not Matched"))))))</f>
      </c>
      <c r="H980">
        <f>COUNTIF(F:F,F980)</f>
      </c>
      <c r="I980" t="s">
        <v>9529</v>
      </c>
      <c r="J980" t="s">
        <v>4915</v>
      </c>
      <c r="K980" t="s">
        <v>4927</v>
      </c>
      <c r="L980" t="s">
        <v>6710</v>
      </c>
      <c r="M980" t="s">
        <v>6739</v>
      </c>
      <c r="N980" t="s">
        <v>6740</v>
      </c>
      <c r="O980" t="s">
        <v>123</v>
      </c>
      <c r="P980" t="s">
        <v>4943</v>
      </c>
      <c r="Q980">
        <v>0</v>
      </c>
      <c r="R980" t="s">
        <v>5118</v>
      </c>
      <c r="S980" t="s">
        <v>29</v>
      </c>
      <c r="T980" t="s">
        <v>4923</v>
      </c>
      <c r="U980" t="s">
        <v>4924</v>
      </c>
      <c r="V980" t="s">
        <v>9530</v>
      </c>
      <c r="W980" t="s">
        <v>3667</v>
      </c>
      <c r="X980">
        <v>106.9</v>
      </c>
    </row>
    <row r="981" spans="1:24" x14ac:dyDescent="0.25">
      <c r="A981" t="s">
        <v>5176</v>
      </c>
      <c r="B981" t="s">
        <v>9524</v>
      </c>
      <c r="C981" t="s">
        <v>9525</v>
      </c>
      <c r="D981" t="s">
        <v>30</v>
      </c>
      <c r="E981" t="s">
        <v>4913</v>
      </c>
      <c r="F981" t="s">
        <v>1868</v>
      </c>
      <c r="G981">
        <f>IF(K981="Pick-up","PICKUPS",IF(K981="Staff drop-off","STAFF_DROPOFF",IF(K981="Replacements","REPLACEMENT",IF(K981="Central Stores Dispatch","CENTRAL STORES DISPATCH",IFNA(IFNA(VLOOKUP(F981,'Raw Platform Nov 4-6 2025'!C:C,1,FALSE),VLOOKUP(F981,'Raw Platform Nov 4-6 2025'!D:D,1,FALSE)),IFNA(VLOOKUP(F981,'Glovo Raw Nov 4-6 2025'!B:B,1,FALSE),"Not Matched"))))))</f>
      </c>
      <c r="H981">
        <f>COUNTIF(F:F,F981)</f>
      </c>
      <c r="I981" t="s">
        <v>9531</v>
      </c>
      <c r="J981" t="s">
        <v>4915</v>
      </c>
      <c r="K981" t="s">
        <v>4916</v>
      </c>
      <c r="L981" t="s">
        <v>9532</v>
      </c>
      <c r="M981" t="s">
        <v>9533</v>
      </c>
      <c r="N981" t="s">
        <v>9534</v>
      </c>
      <c r="O981" t="s">
        <v>77</v>
      </c>
      <c r="P981" t="s">
        <v>6592</v>
      </c>
      <c r="Q981">
        <v>1864</v>
      </c>
      <c r="R981" t="s">
        <v>5118</v>
      </c>
      <c r="S981" t="s">
        <v>45</v>
      </c>
      <c r="T981" t="s">
        <v>4923</v>
      </c>
      <c r="U981" t="s">
        <v>4924</v>
      </c>
      <c r="V981" t="s">
        <v>7116</v>
      </c>
      <c r="W981" t="s">
        <v>3667</v>
      </c>
      <c r="X981">
        <v>155.2</v>
      </c>
    </row>
    <row r="982" spans="1:24" x14ac:dyDescent="0.25">
      <c r="A982" t="s">
        <v>5176</v>
      </c>
      <c r="B982" t="s">
        <v>9524</v>
      </c>
      <c r="C982" t="s">
        <v>9525</v>
      </c>
      <c r="D982" t="s">
        <v>30</v>
      </c>
      <c r="E982" t="s">
        <v>4913</v>
      </c>
      <c r="F982" t="s">
        <v>2221</v>
      </c>
      <c r="G982">
        <f>IF(K982="Pick-up","PICKUPS",IF(K982="Staff drop-off","STAFF_DROPOFF",IF(K982="Replacements","REPLACEMENT",IF(K982="Central Stores Dispatch","CENTRAL STORES DISPATCH",IFNA(IFNA(VLOOKUP(F982,'Raw Platform Nov 4-6 2025'!C:C,1,FALSE),VLOOKUP(F982,'Raw Platform Nov 4-6 2025'!D:D,1,FALSE)),IFNA(VLOOKUP(F982,'Glovo Raw Nov 4-6 2025'!B:B,1,FALSE),"Not Matched"))))))</f>
      </c>
      <c r="H982">
        <f>COUNTIF(F:F,F982)</f>
      </c>
      <c r="I982" t="s">
        <v>9535</v>
      </c>
      <c r="J982" t="s">
        <v>4915</v>
      </c>
      <c r="K982" t="s">
        <v>4916</v>
      </c>
      <c r="L982" t="s">
        <v>9536</v>
      </c>
      <c r="M982" t="s">
        <v>9537</v>
      </c>
      <c r="N982" t="s">
        <v>9538</v>
      </c>
      <c r="O982" t="s">
        <v>183</v>
      </c>
      <c r="P982" t="s">
        <v>6099</v>
      </c>
      <c r="Q982">
        <v>992</v>
      </c>
      <c r="R982" t="s">
        <v>5118</v>
      </c>
      <c r="S982" t="s">
        <v>45</v>
      </c>
      <c r="T982" t="s">
        <v>4923</v>
      </c>
      <c r="U982" t="s">
        <v>4924</v>
      </c>
      <c r="V982" t="s">
        <v>9539</v>
      </c>
      <c r="W982" t="s">
        <v>3667</v>
      </c>
      <c r="X982">
        <v>217.3</v>
      </c>
    </row>
    <row r="983" spans="1:24" x14ac:dyDescent="0.25">
      <c r="A983" t="s">
        <v>5130</v>
      </c>
      <c r="B983" t="s">
        <v>9524</v>
      </c>
      <c r="C983" t="s">
        <v>9525</v>
      </c>
      <c r="D983" t="s">
        <v>24</v>
      </c>
      <c r="E983" t="s">
        <v>4913</v>
      </c>
      <c r="F983" t="s">
        <v>1446</v>
      </c>
      <c r="G983">
        <f>IF(K983="Pick-up","PICKUPS",IF(K983="Staff drop-off","STAFF_DROPOFF",IF(K983="Replacements","REPLACEMENT",IF(K983="Central Stores Dispatch","CENTRAL STORES DISPATCH",IFNA(IFNA(VLOOKUP(F983,'Raw Platform Nov 4-6 2025'!C:C,1,FALSE),VLOOKUP(F983,'Raw Platform Nov 4-6 2025'!D:D,1,FALSE)),IFNA(VLOOKUP(F983,'Glovo Raw Nov 4-6 2025'!B:B,1,FALSE),"Not Matched"))))))</f>
      </c>
      <c r="H983">
        <f>COUNTIF(F:F,F983)</f>
      </c>
      <c r="I983" t="s">
        <v>9540</v>
      </c>
      <c r="J983" t="s">
        <v>5341</v>
      </c>
      <c r="K983" t="s">
        <v>4916</v>
      </c>
      <c r="L983" t="s">
        <v>9541</v>
      </c>
      <c r="M983" t="s">
        <v>9542</v>
      </c>
      <c r="N983" t="s">
        <v>9543</v>
      </c>
      <c r="O983" t="s">
        <v>16</v>
      </c>
      <c r="P983" t="s">
        <v>5148</v>
      </c>
      <c r="Q983">
        <v>3100</v>
      </c>
      <c r="R983" t="s">
        <v>5118</v>
      </c>
      <c r="S983" t="s">
        <v>116</v>
      </c>
      <c r="T983" t="s">
        <v>4923</v>
      </c>
      <c r="U983" t="s">
        <v>4924</v>
      </c>
      <c r="V983" t="s">
        <v>9544</v>
      </c>
      <c r="W983" t="s">
        <v>3667</v>
      </c>
      <c r="X983">
        <v>304.7</v>
      </c>
    </row>
    <row r="984" spans="1:24" x14ac:dyDescent="0.25">
      <c r="A984" t="s">
        <v>4932</v>
      </c>
      <c r="B984" t="s">
        <v>9524</v>
      </c>
      <c r="C984" t="s">
        <v>9525</v>
      </c>
      <c r="D984" t="s">
        <v>13</v>
      </c>
      <c r="E984" t="s">
        <v>4913</v>
      </c>
      <c r="F984" t="s">
        <v>2911</v>
      </c>
      <c r="G984">
        <f>IF(K984="Pick-up","PICKUPS",IF(K984="Staff drop-off","STAFF_DROPOFF",IF(K984="Replacements","REPLACEMENT",IF(K984="Central Stores Dispatch","CENTRAL STORES DISPATCH",IFNA(IFNA(VLOOKUP(F984,'Raw Platform Nov 4-6 2025'!C:C,1,FALSE),VLOOKUP(F984,'Raw Platform Nov 4-6 2025'!D:D,1,FALSE)),IFNA(VLOOKUP(F984,'Glovo Raw Nov 4-6 2025'!B:B,1,FALSE),"Not Matched"))))))</f>
      </c>
      <c r="H984">
        <f>COUNTIF(F:F,F984)</f>
      </c>
      <c r="I984" t="s">
        <v>9545</v>
      </c>
      <c r="J984" t="s">
        <v>63</v>
      </c>
      <c r="K984" t="s">
        <v>4927</v>
      </c>
      <c r="L984" t="s">
        <v>9546</v>
      </c>
      <c r="M984" t="s">
        <v>9547</v>
      </c>
      <c r="N984" t="s">
        <v>6627</v>
      </c>
      <c r="O984" t="s">
        <v>53</v>
      </c>
      <c r="P984" t="s">
        <v>7776</v>
      </c>
      <c r="Q984">
        <v>0</v>
      </c>
      <c r="R984" t="s">
        <v>5118</v>
      </c>
      <c r="S984" t="s">
        <v>29</v>
      </c>
      <c r="T984" t="s">
        <v>4923</v>
      </c>
      <c r="U984" t="s">
        <v>4924</v>
      </c>
      <c r="V984" t="s">
        <v>9548</v>
      </c>
      <c r="W984" t="s">
        <v>3667</v>
      </c>
      <c r="X984">
        <v>113.8</v>
      </c>
    </row>
    <row r="985" spans="1:24" x14ac:dyDescent="0.25">
      <c r="A985" t="s">
        <v>5176</v>
      </c>
      <c r="B985" t="s">
        <v>9524</v>
      </c>
      <c r="C985" t="s">
        <v>9525</v>
      </c>
      <c r="D985" t="s">
        <v>191</v>
      </c>
      <c r="E985" t="s">
        <v>4913</v>
      </c>
      <c r="F985" t="s">
        <v>3008</v>
      </c>
      <c r="G985">
        <f>IF(K985="Pick-up","PICKUPS",IF(K985="Staff drop-off","STAFF_DROPOFF",IF(K985="Replacements","REPLACEMENT",IF(K985="Central Stores Dispatch","CENTRAL STORES DISPATCH",IFNA(IFNA(VLOOKUP(F985,'Raw Platform Nov 4-6 2025'!C:C,1,FALSE),VLOOKUP(F985,'Raw Platform Nov 4-6 2025'!D:D,1,FALSE)),IFNA(VLOOKUP(F985,'Glovo Raw Nov 4-6 2025'!B:B,1,FALSE),"Not Matched"))))))</f>
      </c>
      <c r="H985">
        <f>COUNTIF(F:F,F985)</f>
      </c>
      <c r="I985" t="s">
        <v>9549</v>
      </c>
      <c r="J985" t="s">
        <v>63</v>
      </c>
      <c r="K985" t="s">
        <v>4916</v>
      </c>
      <c r="L985" t="s">
        <v>9550</v>
      </c>
      <c r="M985" t="s">
        <v>9551</v>
      </c>
      <c r="N985" t="s">
        <v>9552</v>
      </c>
      <c r="O985" t="s">
        <v>100</v>
      </c>
      <c r="P985" t="s">
        <v>7725</v>
      </c>
      <c r="Q985">
        <v>1437</v>
      </c>
      <c r="R985" t="s">
        <v>5118</v>
      </c>
      <c r="S985" t="s">
        <v>5184</v>
      </c>
      <c r="T985" t="s">
        <v>4923</v>
      </c>
      <c r="U985" t="s">
        <v>4924</v>
      </c>
      <c r="V985" t="s">
        <v>9553</v>
      </c>
      <c r="W985" t="s">
        <v>3667</v>
      </c>
      <c r="X985">
        <v>221.9</v>
      </c>
    </row>
    <row r="986" spans="1:24" x14ac:dyDescent="0.25">
      <c r="A986" t="s">
        <v>5130</v>
      </c>
      <c r="B986" t="s">
        <v>9524</v>
      </c>
      <c r="C986" t="s">
        <v>9525</v>
      </c>
      <c r="D986" t="s">
        <v>24</v>
      </c>
      <c r="E986" t="s">
        <v>4913</v>
      </c>
      <c r="F986" t="s">
        <v>3144</v>
      </c>
      <c r="G986">
        <f>IF(K986="Pick-up","PICKUPS",IF(K986="Staff drop-off","STAFF_DROPOFF",IF(K986="Replacements","REPLACEMENT",IF(K986="Central Stores Dispatch","CENTRAL STORES DISPATCH",IFNA(IFNA(VLOOKUP(F986,'Raw Platform Nov 4-6 2025'!C:C,1,FALSE),VLOOKUP(F986,'Raw Platform Nov 4-6 2025'!D:D,1,FALSE)),IFNA(VLOOKUP(F986,'Glovo Raw Nov 4-6 2025'!B:B,1,FALSE),"Not Matched"))))))</f>
      </c>
      <c r="H986">
        <f>COUNTIF(F:F,F986)</f>
      </c>
      <c r="I986" t="s">
        <v>9554</v>
      </c>
      <c r="J986" t="s">
        <v>63</v>
      </c>
      <c r="K986" t="s">
        <v>4927</v>
      </c>
      <c r="L986" t="s">
        <v>9555</v>
      </c>
      <c r="M986" t="s">
        <v>9556</v>
      </c>
      <c r="N986" t="s">
        <v>9557</v>
      </c>
      <c r="O986" t="s">
        <v>4956</v>
      </c>
      <c r="P986" t="s">
        <v>5013</v>
      </c>
      <c r="Q986">
        <v>0</v>
      </c>
      <c r="R986" t="s">
        <v>5118</v>
      </c>
      <c r="S986" t="s">
        <v>116</v>
      </c>
      <c r="T986" t="s">
        <v>4923</v>
      </c>
      <c r="U986" t="s">
        <v>4924</v>
      </c>
      <c r="V986" t="s">
        <v>9558</v>
      </c>
      <c r="W986" t="s">
        <v>3667</v>
      </c>
      <c r="X986">
        <v>100</v>
      </c>
    </row>
    <row r="987" spans="1:24" x14ac:dyDescent="0.25">
      <c r="A987" t="s">
        <v>5130</v>
      </c>
      <c r="B987" t="s">
        <v>9524</v>
      </c>
      <c r="C987" t="s">
        <v>9525</v>
      </c>
      <c r="D987" t="s">
        <v>24</v>
      </c>
      <c r="E987" t="s">
        <v>4913</v>
      </c>
      <c r="F987" t="s">
        <v>2605</v>
      </c>
      <c r="G987">
        <f>IF(K987="Pick-up","PICKUPS",IF(K987="Staff drop-off","STAFF_DROPOFF",IF(K987="Replacements","REPLACEMENT",IF(K987="Central Stores Dispatch","CENTRAL STORES DISPATCH",IFNA(IFNA(VLOOKUP(F987,'Raw Platform Nov 4-6 2025'!C:C,1,FALSE),VLOOKUP(F987,'Raw Platform Nov 4-6 2025'!D:D,1,FALSE)),IFNA(VLOOKUP(F987,'Glovo Raw Nov 4-6 2025'!B:B,1,FALSE),"Not Matched"))))))</f>
      </c>
      <c r="H987">
        <f>COUNTIF(F:F,F987)</f>
      </c>
      <c r="I987" t="s">
        <v>9559</v>
      </c>
      <c r="J987" t="s">
        <v>4915</v>
      </c>
      <c r="K987" t="s">
        <v>4927</v>
      </c>
      <c r="L987" t="s">
        <v>9560</v>
      </c>
      <c r="M987" t="s">
        <v>9561</v>
      </c>
      <c r="N987" t="s">
        <v>9562</v>
      </c>
      <c r="O987" t="s">
        <v>16</v>
      </c>
      <c r="P987" t="s">
        <v>5666</v>
      </c>
      <c r="Q987">
        <v>0</v>
      </c>
      <c r="R987" t="s">
        <v>5118</v>
      </c>
      <c r="S987" t="s">
        <v>172</v>
      </c>
      <c r="T987" t="s">
        <v>4923</v>
      </c>
      <c r="U987" t="s">
        <v>4924</v>
      </c>
      <c r="V987" t="s">
        <v>9563</v>
      </c>
      <c r="W987" t="s">
        <v>3667</v>
      </c>
      <c r="X987">
        <v>309.3</v>
      </c>
    </row>
    <row r="988" spans="1:24" x14ac:dyDescent="0.25">
      <c r="A988" t="s">
        <v>5130</v>
      </c>
      <c r="B988" t="s">
        <v>9564</v>
      </c>
      <c r="C988" t="s">
        <v>9565</v>
      </c>
      <c r="D988" t="s">
        <v>24</v>
      </c>
      <c r="E988" t="s">
        <v>4913</v>
      </c>
      <c r="F988" t="s">
        <v>614</v>
      </c>
      <c r="G988">
        <f>IF(K988="Pick-up","PICKUPS",IF(K988="Staff drop-off","STAFF_DROPOFF",IF(K988="Replacements","REPLACEMENT",IF(K988="Central Stores Dispatch","CENTRAL STORES DISPATCH",IFNA(IFNA(VLOOKUP(F988,'Raw Platform Nov 4-6 2025'!C:C,1,FALSE),VLOOKUP(F988,'Raw Platform Nov 4-6 2025'!D:D,1,FALSE)),IFNA(VLOOKUP(F988,'Glovo Raw Nov 4-6 2025'!B:B,1,FALSE),"Not Matched"))))))</f>
      </c>
      <c r="H988">
        <f>COUNTIF(F:F,F988)</f>
      </c>
      <c r="I988" t="s">
        <v>9566</v>
      </c>
      <c r="J988" t="s">
        <v>5341</v>
      </c>
      <c r="K988" t="s">
        <v>4927</v>
      </c>
      <c r="L988" t="s">
        <v>9567</v>
      </c>
      <c r="M988" t="s">
        <v>9568</v>
      </c>
      <c r="N988" t="s">
        <v>9569</v>
      </c>
      <c r="O988" t="s">
        <v>5678</v>
      </c>
      <c r="P988" t="s">
        <v>9570</v>
      </c>
      <c r="Q988">
        <v>0</v>
      </c>
      <c r="R988" t="s">
        <v>5118</v>
      </c>
      <c r="S988" t="s">
        <v>172</v>
      </c>
      <c r="T988" t="s">
        <v>4923</v>
      </c>
      <c r="U988" t="s">
        <v>4924</v>
      </c>
      <c r="V988" t="s">
        <v>9571</v>
      </c>
      <c r="W988" t="s">
        <v>3667</v>
      </c>
      <c r="X988">
        <v>585.3</v>
      </c>
    </row>
    <row r="989" spans="1:24" x14ac:dyDescent="0.25">
      <c r="A989" t="s">
        <v>5130</v>
      </c>
      <c r="B989" t="s">
        <v>9564</v>
      </c>
      <c r="C989" t="s">
        <v>9565</v>
      </c>
      <c r="D989" t="s">
        <v>24</v>
      </c>
      <c r="E989" t="s">
        <v>4913</v>
      </c>
      <c r="F989" t="s">
        <v>316</v>
      </c>
      <c r="G989">
        <f>IF(K989="Pick-up","PICKUPS",IF(K989="Staff drop-off","STAFF_DROPOFF",IF(K989="Replacements","REPLACEMENT",IF(K989="Central Stores Dispatch","CENTRAL STORES DISPATCH",IFNA(IFNA(VLOOKUP(F989,'Raw Platform Nov 4-6 2025'!C:C,1,FALSE),VLOOKUP(F989,'Raw Platform Nov 4-6 2025'!D:D,1,FALSE)),IFNA(VLOOKUP(F989,'Glovo Raw Nov 4-6 2025'!B:B,1,FALSE),"Not Matched"))))))</f>
      </c>
      <c r="H989">
        <f>COUNTIF(F:F,F989)</f>
      </c>
      <c r="I989" t="s">
        <v>9572</v>
      </c>
      <c r="J989" t="s">
        <v>63</v>
      </c>
      <c r="K989" t="s">
        <v>4927</v>
      </c>
      <c r="L989" t="s">
        <v>9573</v>
      </c>
      <c r="M989" t="s">
        <v>9574</v>
      </c>
      <c r="N989" t="s">
        <v>9575</v>
      </c>
      <c r="O989" t="s">
        <v>100</v>
      </c>
      <c r="P989" t="s">
        <v>53</v>
      </c>
      <c r="Q989">
        <v>0</v>
      </c>
      <c r="R989" t="s">
        <v>5118</v>
      </c>
      <c r="S989" t="s">
        <v>5136</v>
      </c>
      <c r="T989" t="s">
        <v>4923</v>
      </c>
      <c r="U989" t="s">
        <v>4924</v>
      </c>
      <c r="V989" t="s">
        <v>9576</v>
      </c>
      <c r="W989" t="s">
        <v>3667</v>
      </c>
      <c r="X989">
        <v>249.5</v>
      </c>
    </row>
    <row r="990" spans="1:24" x14ac:dyDescent="0.25">
      <c r="A990" t="s">
        <v>5130</v>
      </c>
      <c r="B990" t="s">
        <v>9564</v>
      </c>
      <c r="C990" t="s">
        <v>9565</v>
      </c>
      <c r="D990" t="s">
        <v>24</v>
      </c>
      <c r="E990" t="s">
        <v>5034</v>
      </c>
      <c r="F990" t="s">
        <v>675</v>
      </c>
      <c r="G990">
        <f>IF(K990="Pick-up","PICKUPS",IF(K990="Staff drop-off","STAFF_DROPOFF",IF(K990="Replacements","REPLACEMENT",IF(K990="Central Stores Dispatch","CENTRAL STORES DISPATCH",IFNA(IFNA(VLOOKUP(F990,'Raw Platform Nov 4-6 2025'!C:C,1,FALSE),VLOOKUP(F990,'Raw Platform Nov 4-6 2025'!D:D,1,FALSE)),IFNA(VLOOKUP(F990,'Glovo Raw Nov 4-6 2025'!B:B,1,FALSE),"Not Matched"))))))</f>
      </c>
      <c r="H990">
        <f>COUNTIF(F:F,F990)</f>
      </c>
      <c r="I990" t="s">
        <v>7077</v>
      </c>
      <c r="J990" t="s">
        <v>4915</v>
      </c>
      <c r="K990" t="s">
        <v>4927</v>
      </c>
      <c r="L990" t="s">
        <v>7078</v>
      </c>
      <c r="M990" t="s">
        <v>5419</v>
      </c>
      <c r="N990" t="s">
        <v>7079</v>
      </c>
      <c r="O990" t="s">
        <v>4920</v>
      </c>
      <c r="P990" t="s">
        <v>5056</v>
      </c>
      <c r="Q990">
        <v>0</v>
      </c>
      <c r="R990" t="s">
        <v>5118</v>
      </c>
      <c r="S990" t="s">
        <v>5136</v>
      </c>
      <c r="T990" t="s">
        <v>4923</v>
      </c>
      <c r="U990" t="s">
        <v>4923</v>
      </c>
      <c r="V990" t="s">
        <v>9577</v>
      </c>
      <c r="W990" t="s">
        <v>3667</v>
      </c>
      <c r="X990">
        <v>0</v>
      </c>
    </row>
    <row r="991" spans="1:24" x14ac:dyDescent="0.25">
      <c r="A991" t="s">
        <v>5130</v>
      </c>
      <c r="B991" t="s">
        <v>9564</v>
      </c>
      <c r="C991" t="s">
        <v>9565</v>
      </c>
      <c r="D991" t="s">
        <v>24</v>
      </c>
      <c r="E991" t="s">
        <v>4913</v>
      </c>
      <c r="F991" t="s">
        <v>1263</v>
      </c>
      <c r="G991">
        <f>IF(K991="Pick-up","PICKUPS",IF(K991="Staff drop-off","STAFF_DROPOFF",IF(K991="Replacements","REPLACEMENT",IF(K991="Central Stores Dispatch","CENTRAL STORES DISPATCH",IFNA(IFNA(VLOOKUP(F991,'Raw Platform Nov 4-6 2025'!C:C,1,FALSE),VLOOKUP(F991,'Raw Platform Nov 4-6 2025'!D:D,1,FALSE)),IFNA(VLOOKUP(F991,'Glovo Raw Nov 4-6 2025'!B:B,1,FALSE),"Not Matched"))))))</f>
      </c>
      <c r="H991">
        <f>COUNTIF(F:F,F991)</f>
      </c>
      <c r="I991" t="s">
        <v>9578</v>
      </c>
      <c r="J991" t="s">
        <v>5341</v>
      </c>
      <c r="K991" t="s">
        <v>4916</v>
      </c>
      <c r="L991" t="s">
        <v>9579</v>
      </c>
      <c r="M991" t="s">
        <v>9580</v>
      </c>
      <c r="N991" t="s">
        <v>9581</v>
      </c>
      <c r="O991" t="s">
        <v>73</v>
      </c>
      <c r="P991" t="s">
        <v>5795</v>
      </c>
      <c r="Q991">
        <v>1690</v>
      </c>
      <c r="R991" t="s">
        <v>5118</v>
      </c>
      <c r="S991" t="s">
        <v>5136</v>
      </c>
      <c r="T991" t="s">
        <v>4923</v>
      </c>
      <c r="U991" t="s">
        <v>4924</v>
      </c>
      <c r="V991" t="s">
        <v>9582</v>
      </c>
      <c r="W991" t="s">
        <v>3667</v>
      </c>
      <c r="X991">
        <v>150.6</v>
      </c>
    </row>
    <row r="992" spans="1:24" x14ac:dyDescent="0.25">
      <c r="A992" t="s">
        <v>5130</v>
      </c>
      <c r="B992" t="s">
        <v>9564</v>
      </c>
      <c r="C992" t="s">
        <v>9565</v>
      </c>
      <c r="D992" t="s">
        <v>24</v>
      </c>
      <c r="E992" t="s">
        <v>4913</v>
      </c>
      <c r="F992" t="s">
        <v>9583</v>
      </c>
      <c r="G992">
        <f>IF(K992="Pick-up","PICKUPS",IF(K992="Staff drop-off","STAFF_DROPOFF",IF(K992="Replacements","REPLACEMENT",IF(K992="Central Stores Dispatch","CENTRAL STORES DISPATCH",IFNA(IFNA(VLOOKUP(F992,'Raw Platform Nov 4-6 2025'!C:C,1,FALSE),VLOOKUP(F992,'Raw Platform Nov 4-6 2025'!D:D,1,FALSE)),IFNA(VLOOKUP(F992,'Glovo Raw Nov 4-6 2025'!B:B,1,FALSE),"Not Matched"))))))</f>
      </c>
      <c r="H992">
        <f>COUNTIF(F:F,F992)</f>
      </c>
      <c r="I992" t="s">
        <v>9584</v>
      </c>
      <c r="J992" t="s">
        <v>5028</v>
      </c>
      <c r="K992" t="s">
        <v>4927</v>
      </c>
      <c r="L992" t="s">
        <v>9585</v>
      </c>
      <c r="M992" t="s">
        <v>9586</v>
      </c>
      <c r="N992" t="s">
        <v>9587</v>
      </c>
      <c r="O992" t="s">
        <v>37</v>
      </c>
      <c r="P992" t="s">
        <v>7415</v>
      </c>
      <c r="Q992">
        <v>0</v>
      </c>
      <c r="R992" t="s">
        <v>5118</v>
      </c>
      <c r="S992" t="s">
        <v>116</v>
      </c>
      <c r="T992" t="s">
        <v>4923</v>
      </c>
      <c r="U992" t="s">
        <v>4924</v>
      </c>
      <c r="V992" t="s">
        <v>9588</v>
      </c>
      <c r="W992" t="s">
        <v>3667</v>
      </c>
      <c r="X992">
        <v>284</v>
      </c>
    </row>
    <row r="993" spans="1:24" x14ac:dyDescent="0.25">
      <c r="A993" t="s">
        <v>5130</v>
      </c>
      <c r="B993" t="s">
        <v>9564</v>
      </c>
      <c r="C993" t="s">
        <v>9565</v>
      </c>
      <c r="D993" t="s">
        <v>24</v>
      </c>
      <c r="E993" t="s">
        <v>4913</v>
      </c>
      <c r="F993" t="s">
        <v>1109</v>
      </c>
      <c r="G993">
        <f>IF(K993="Pick-up","PICKUPS",IF(K993="Staff drop-off","STAFF_DROPOFF",IF(K993="Replacements","REPLACEMENT",IF(K993="Central Stores Dispatch","CENTRAL STORES DISPATCH",IFNA(IFNA(VLOOKUP(F993,'Raw Platform Nov 4-6 2025'!C:C,1,FALSE),VLOOKUP(F993,'Raw Platform Nov 4-6 2025'!D:D,1,FALSE)),IFNA(VLOOKUP(F993,'Glovo Raw Nov 4-6 2025'!B:B,1,FALSE),"Not Matched"))))))</f>
      </c>
      <c r="H993">
        <f>COUNTIF(F:F,F993)</f>
      </c>
      <c r="I993" t="s">
        <v>9589</v>
      </c>
      <c r="J993" t="s">
        <v>4915</v>
      </c>
      <c r="K993" t="s">
        <v>4927</v>
      </c>
      <c r="L993" t="s">
        <v>9590</v>
      </c>
      <c r="M993" t="s">
        <v>9591</v>
      </c>
      <c r="N993" t="s">
        <v>4973</v>
      </c>
      <c r="O993" t="s">
        <v>123</v>
      </c>
      <c r="P993" t="s">
        <v>5285</v>
      </c>
      <c r="Q993">
        <v>0</v>
      </c>
      <c r="R993" t="s">
        <v>5118</v>
      </c>
      <c r="S993" t="s">
        <v>5136</v>
      </c>
      <c r="T993" t="s">
        <v>4923</v>
      </c>
      <c r="U993" t="s">
        <v>4924</v>
      </c>
      <c r="V993" t="s">
        <v>9592</v>
      </c>
      <c r="W993" t="s">
        <v>3667</v>
      </c>
      <c r="X993">
        <v>175.9</v>
      </c>
    </row>
    <row r="994" spans="1:24" x14ac:dyDescent="0.25">
      <c r="A994" t="s">
        <v>5130</v>
      </c>
      <c r="B994" t="s">
        <v>9564</v>
      </c>
      <c r="C994" t="s">
        <v>9565</v>
      </c>
      <c r="D994" t="s">
        <v>24</v>
      </c>
      <c r="E994" t="s">
        <v>4913</v>
      </c>
      <c r="F994" t="s">
        <v>877</v>
      </c>
      <c r="G994">
        <f>IF(K994="Pick-up","PICKUPS",IF(K994="Staff drop-off","STAFF_DROPOFF",IF(K994="Replacements","REPLACEMENT",IF(K994="Central Stores Dispatch","CENTRAL STORES DISPATCH",IFNA(IFNA(VLOOKUP(F994,'Raw Platform Nov 4-6 2025'!C:C,1,FALSE),VLOOKUP(F994,'Raw Platform Nov 4-6 2025'!D:D,1,FALSE)),IFNA(VLOOKUP(F994,'Glovo Raw Nov 4-6 2025'!B:B,1,FALSE),"Not Matched"))))))</f>
      </c>
      <c r="H994">
        <f>COUNTIF(F:F,F994)</f>
      </c>
      <c r="I994" t="s">
        <v>9593</v>
      </c>
      <c r="J994" t="s">
        <v>63</v>
      </c>
      <c r="K994" t="s">
        <v>4927</v>
      </c>
      <c r="L994" t="s">
        <v>9594</v>
      </c>
      <c r="M994" t="s">
        <v>9595</v>
      </c>
      <c r="N994" t="s">
        <v>9596</v>
      </c>
      <c r="O994" t="s">
        <v>4962</v>
      </c>
      <c r="P994" t="s">
        <v>5953</v>
      </c>
      <c r="Q994">
        <v>0</v>
      </c>
      <c r="R994" t="s">
        <v>5118</v>
      </c>
      <c r="S994" t="s">
        <v>5136</v>
      </c>
      <c r="T994" t="s">
        <v>4923</v>
      </c>
      <c r="U994" t="s">
        <v>4924</v>
      </c>
      <c r="V994" t="s">
        <v>9597</v>
      </c>
      <c r="W994" t="s">
        <v>3667</v>
      </c>
      <c r="X994">
        <v>118.4</v>
      </c>
    </row>
    <row r="995" spans="1:24" x14ac:dyDescent="0.25">
      <c r="A995" t="s">
        <v>5231</v>
      </c>
      <c r="B995" t="s">
        <v>9564</v>
      </c>
      <c r="C995" t="s">
        <v>9565</v>
      </c>
      <c r="D995" t="s">
        <v>191</v>
      </c>
      <c r="E995" t="s">
        <v>5034</v>
      </c>
      <c r="F995" t="s">
        <v>1188</v>
      </c>
      <c r="G995">
        <f>IF(K995="Pick-up","PICKUPS",IF(K995="Staff drop-off","STAFF_DROPOFF",IF(K995="Replacements","REPLACEMENT",IF(K995="Central Stores Dispatch","CENTRAL STORES DISPATCH",IFNA(IFNA(VLOOKUP(F995,'Raw Platform Nov 4-6 2025'!C:C,1,FALSE),VLOOKUP(F995,'Raw Platform Nov 4-6 2025'!D:D,1,FALSE)),IFNA(VLOOKUP(F995,'Glovo Raw Nov 4-6 2025'!B:B,1,FALSE),"Not Matched"))))))</f>
      </c>
      <c r="H995">
        <f>COUNTIF(F:F,F995)</f>
      </c>
      <c r="I995" t="s">
        <v>9598</v>
      </c>
      <c r="J995" t="s">
        <v>4915</v>
      </c>
      <c r="K995" t="s">
        <v>4927</v>
      </c>
      <c r="L995" t="s">
        <v>9599</v>
      </c>
      <c r="M995" t="s">
        <v>9600</v>
      </c>
      <c r="N995" t="s">
        <v>9601</v>
      </c>
      <c r="O995" t="s">
        <v>91</v>
      </c>
      <c r="P995" t="s">
        <v>6125</v>
      </c>
      <c r="Q995">
        <v>0</v>
      </c>
      <c r="R995" t="s">
        <v>5118</v>
      </c>
      <c r="S995" t="s">
        <v>5699</v>
      </c>
      <c r="T995" t="s">
        <v>4923</v>
      </c>
      <c r="U995" t="s">
        <v>4923</v>
      </c>
      <c r="V995" t="s">
        <v>9602</v>
      </c>
      <c r="W995" t="s">
        <v>3667</v>
      </c>
      <c r="X995">
        <v>0</v>
      </c>
    </row>
    <row r="996" spans="1:24" x14ac:dyDescent="0.25">
      <c r="A996" t="s">
        <v>5231</v>
      </c>
      <c r="B996" t="s">
        <v>9564</v>
      </c>
      <c r="C996" t="s">
        <v>9565</v>
      </c>
      <c r="D996" t="s">
        <v>191</v>
      </c>
      <c r="E996" t="s">
        <v>4913</v>
      </c>
      <c r="F996" t="s">
        <v>1188</v>
      </c>
      <c r="G996">
        <f>IF(K996="Pick-up","PICKUPS",IF(K996="Staff drop-off","STAFF_DROPOFF",IF(K996="Replacements","REPLACEMENT",IF(K996="Central Stores Dispatch","CENTRAL STORES DISPATCH",IFNA(IFNA(VLOOKUP(F996,'Raw Platform Nov 4-6 2025'!C:C,1,FALSE),VLOOKUP(F996,'Raw Platform Nov 4-6 2025'!D:D,1,FALSE)),IFNA(VLOOKUP(F996,'Glovo Raw Nov 4-6 2025'!B:B,1,FALSE),"Not Matched"))))))</f>
      </c>
      <c r="H996">
        <f>COUNTIF(F:F,F996)</f>
      </c>
      <c r="I996" t="s">
        <v>9598</v>
      </c>
      <c r="J996" t="s">
        <v>4915</v>
      </c>
      <c r="K996" t="s">
        <v>4927</v>
      </c>
      <c r="L996" t="s">
        <v>9599</v>
      </c>
      <c r="M996" t="s">
        <v>9600</v>
      </c>
      <c r="N996" t="s">
        <v>9601</v>
      </c>
      <c r="O996" t="s">
        <v>91</v>
      </c>
      <c r="P996" t="s">
        <v>6125</v>
      </c>
      <c r="Q996">
        <v>0</v>
      </c>
      <c r="R996" t="s">
        <v>5118</v>
      </c>
      <c r="S996" t="s">
        <v>5699</v>
      </c>
      <c r="T996" t="s">
        <v>4923</v>
      </c>
      <c r="U996" t="s">
        <v>4924</v>
      </c>
      <c r="V996" t="s">
        <v>9603</v>
      </c>
      <c r="W996" t="s">
        <v>3667</v>
      </c>
      <c r="X996">
        <v>224.2</v>
      </c>
    </row>
    <row r="997" spans="1:24" x14ac:dyDescent="0.25">
      <c r="A997" t="s">
        <v>5130</v>
      </c>
      <c r="B997" t="s">
        <v>9564</v>
      </c>
      <c r="C997" t="s">
        <v>9565</v>
      </c>
      <c r="D997" t="s">
        <v>24</v>
      </c>
      <c r="E997" t="s">
        <v>4913</v>
      </c>
      <c r="F997" t="s">
        <v>1783</v>
      </c>
      <c r="G997">
        <f>IF(K997="Pick-up","PICKUPS",IF(K997="Staff drop-off","STAFF_DROPOFF",IF(K997="Replacements","REPLACEMENT",IF(K997="Central Stores Dispatch","CENTRAL STORES DISPATCH",IFNA(IFNA(VLOOKUP(F997,'Raw Platform Nov 4-6 2025'!C:C,1,FALSE),VLOOKUP(F997,'Raw Platform Nov 4-6 2025'!D:D,1,FALSE)),IFNA(VLOOKUP(F997,'Glovo Raw Nov 4-6 2025'!B:B,1,FALSE),"Not Matched"))))))</f>
      </c>
      <c r="H997">
        <f>COUNTIF(F:F,F997)</f>
      </c>
      <c r="I997" t="s">
        <v>9604</v>
      </c>
      <c r="J997" t="s">
        <v>4915</v>
      </c>
      <c r="K997" t="s">
        <v>4927</v>
      </c>
      <c r="L997" t="s">
        <v>9605</v>
      </c>
      <c r="M997" t="s">
        <v>5217</v>
      </c>
      <c r="N997" t="s">
        <v>9606</v>
      </c>
      <c r="O997" t="s">
        <v>4990</v>
      </c>
      <c r="P997" t="s">
        <v>5219</v>
      </c>
      <c r="Q997">
        <v>0</v>
      </c>
      <c r="R997" t="s">
        <v>5118</v>
      </c>
      <c r="S997" t="s">
        <v>116</v>
      </c>
      <c r="T997" t="s">
        <v>4923</v>
      </c>
      <c r="U997" t="s">
        <v>4924</v>
      </c>
      <c r="V997" t="s">
        <v>9607</v>
      </c>
      <c r="W997" t="s">
        <v>3667</v>
      </c>
      <c r="X997">
        <v>100</v>
      </c>
    </row>
    <row r="998" spans="1:24" x14ac:dyDescent="0.25">
      <c r="A998" t="s">
        <v>5130</v>
      </c>
      <c r="B998" t="s">
        <v>9564</v>
      </c>
      <c r="C998" t="s">
        <v>9565</v>
      </c>
      <c r="D998" t="s">
        <v>24</v>
      </c>
      <c r="E998" t="s">
        <v>4913</v>
      </c>
      <c r="F998" t="s">
        <v>9608</v>
      </c>
      <c r="G998">
        <f>IF(K998="Pick-up","PICKUPS",IF(K998="Staff drop-off","STAFF_DROPOFF",IF(K998="Replacements","REPLACEMENT",IF(K998="Central Stores Dispatch","CENTRAL STORES DISPATCH",IFNA(IFNA(VLOOKUP(F998,'Raw Platform Nov 4-6 2025'!C:C,1,FALSE),VLOOKUP(F998,'Raw Platform Nov 4-6 2025'!D:D,1,FALSE)),IFNA(VLOOKUP(F998,'Glovo Raw Nov 4-6 2025'!B:B,1,FALSE),"Not Matched"))))))</f>
      </c>
      <c r="H998">
        <f>COUNTIF(F:F,F998)</f>
      </c>
      <c r="I998" t="s">
        <v>9609</v>
      </c>
      <c r="J998" t="s">
        <v>63</v>
      </c>
      <c r="K998" t="s">
        <v>4927</v>
      </c>
      <c r="L998" t="s">
        <v>9610</v>
      </c>
      <c r="M998" t="s">
        <v>5312</v>
      </c>
      <c r="N998" t="s">
        <v>9611</v>
      </c>
      <c r="O998" t="s">
        <v>6329</v>
      </c>
      <c r="P998" t="s">
        <v>9612</v>
      </c>
      <c r="Q998">
        <v>0</v>
      </c>
      <c r="R998" t="s">
        <v>5118</v>
      </c>
      <c r="S998" t="s">
        <v>35</v>
      </c>
      <c r="T998" t="s">
        <v>4923</v>
      </c>
      <c r="U998" t="s">
        <v>4924</v>
      </c>
      <c r="V998" t="s">
        <v>9613</v>
      </c>
      <c r="W998" t="s">
        <v>3667</v>
      </c>
      <c r="X998">
        <v>435.8</v>
      </c>
    </row>
    <row r="999" spans="1:24" x14ac:dyDescent="0.25">
      <c r="A999" t="s">
        <v>5130</v>
      </c>
      <c r="B999" t="s">
        <v>9564</v>
      </c>
      <c r="C999" t="s">
        <v>9565</v>
      </c>
      <c r="D999" t="s">
        <v>24</v>
      </c>
      <c r="E999" t="s">
        <v>4913</v>
      </c>
      <c r="F999" t="s">
        <v>2005</v>
      </c>
      <c r="G999">
        <f>IF(K999="Pick-up","PICKUPS",IF(K999="Staff drop-off","STAFF_DROPOFF",IF(K999="Replacements","REPLACEMENT",IF(K999="Central Stores Dispatch","CENTRAL STORES DISPATCH",IFNA(IFNA(VLOOKUP(F999,'Raw Platform Nov 4-6 2025'!C:C,1,FALSE),VLOOKUP(F999,'Raw Platform Nov 4-6 2025'!D:D,1,FALSE)),IFNA(VLOOKUP(F999,'Glovo Raw Nov 4-6 2025'!B:B,1,FALSE),"Not Matched"))))))</f>
      </c>
      <c r="H999">
        <f>COUNTIF(F:F,F999)</f>
      </c>
      <c r="I999" t="s">
        <v>9614</v>
      </c>
      <c r="J999" t="s">
        <v>63</v>
      </c>
      <c r="K999" t="s">
        <v>4927</v>
      </c>
      <c r="L999" t="s">
        <v>6836</v>
      </c>
      <c r="M999" t="s">
        <v>9615</v>
      </c>
      <c r="N999" t="s">
        <v>9616</v>
      </c>
      <c r="O999" t="s">
        <v>5469</v>
      </c>
      <c r="P999" t="s">
        <v>7226</v>
      </c>
      <c r="Q999">
        <v>0</v>
      </c>
      <c r="R999" t="s">
        <v>5118</v>
      </c>
      <c r="S999" t="s">
        <v>35</v>
      </c>
      <c r="T999" t="s">
        <v>4923</v>
      </c>
      <c r="U999" t="s">
        <v>4924</v>
      </c>
      <c r="V999" t="s">
        <v>9617</v>
      </c>
      <c r="W999" t="s">
        <v>3667</v>
      </c>
      <c r="X999">
        <v>325.4</v>
      </c>
    </row>
    <row r="1000" spans="1:24" x14ac:dyDescent="0.25">
      <c r="A1000" t="s">
        <v>5130</v>
      </c>
      <c r="B1000" t="s">
        <v>9564</v>
      </c>
      <c r="C1000" t="s">
        <v>9565</v>
      </c>
      <c r="D1000" t="s">
        <v>24</v>
      </c>
      <c r="E1000" t="s">
        <v>4913</v>
      </c>
      <c r="F1000" t="s">
        <v>9618</v>
      </c>
      <c r="G1000">
        <f>IF(K1000="Pick-up","PICKUPS",IF(K1000="Staff drop-off","STAFF_DROPOFF",IF(K1000="Replacements","REPLACEMENT",IF(K1000="Central Stores Dispatch","CENTRAL STORES DISPATCH",IFNA(IFNA(VLOOKUP(F1000,'Raw Platform Nov 4-6 2025'!C:C,1,FALSE),VLOOKUP(F1000,'Raw Platform Nov 4-6 2025'!D:D,1,FALSE)),IFNA(VLOOKUP(F1000,'Glovo Raw Nov 4-6 2025'!B:B,1,FALSE),"Not Matched"))))))</f>
      </c>
      <c r="H1000">
        <f>COUNTIF(F:F,F1000)</f>
      </c>
      <c r="I1000" t="s">
        <v>9619</v>
      </c>
      <c r="J1000" t="s">
        <v>5289</v>
      </c>
      <c r="K1000" t="s">
        <v>4927</v>
      </c>
      <c r="L1000" t="s">
        <v>6499</v>
      </c>
      <c r="M1000" t="s">
        <v>5217</v>
      </c>
      <c r="N1000" t="s">
        <v>6458</v>
      </c>
      <c r="O1000" t="s">
        <v>5013</v>
      </c>
      <c r="P1000" t="s">
        <v>6459</v>
      </c>
      <c r="Q1000">
        <v>0</v>
      </c>
      <c r="R1000" t="s">
        <v>5118</v>
      </c>
      <c r="S1000" t="s">
        <v>5318</v>
      </c>
      <c r="T1000" t="s">
        <v>4923</v>
      </c>
      <c r="U1000" t="s">
        <v>4924</v>
      </c>
      <c r="V1000" t="s">
        <v>9620</v>
      </c>
      <c r="W1000" t="s">
        <v>3667</v>
      </c>
      <c r="X1000">
        <v>100</v>
      </c>
    </row>
    <row r="1001" spans="1:24" x14ac:dyDescent="0.25">
      <c r="A1001" t="s">
        <v>5231</v>
      </c>
      <c r="B1001" t="s">
        <v>9564</v>
      </c>
      <c r="C1001" t="s">
        <v>9565</v>
      </c>
      <c r="D1001" t="s">
        <v>191</v>
      </c>
      <c r="E1001" t="s">
        <v>4913</v>
      </c>
      <c r="F1001" t="s">
        <v>9621</v>
      </c>
      <c r="G1001">
        <f>IF(K1001="Pick-up","PICKUPS",IF(K1001="Staff drop-off","STAFF_DROPOFF",IF(K1001="Replacements","REPLACEMENT",IF(K1001="Central Stores Dispatch","CENTRAL STORES DISPATCH",IFNA(IFNA(VLOOKUP(F1001,'Raw Platform Nov 4-6 2025'!C:C,1,FALSE),VLOOKUP(F1001,'Raw Platform Nov 4-6 2025'!D:D,1,FALSE)),IFNA(VLOOKUP(F1001,'Glovo Raw Nov 4-6 2025'!B:B,1,FALSE),"Not Matched"))))))</f>
      </c>
      <c r="H1001">
        <f>COUNTIF(F:F,F1001)</f>
      </c>
      <c r="I1001" t="s">
        <v>9622</v>
      </c>
      <c r="J1001" t="s">
        <v>5289</v>
      </c>
      <c r="K1001" t="s">
        <v>4927</v>
      </c>
      <c r="L1001" t="s">
        <v>9623</v>
      </c>
      <c r="M1001" t="s">
        <v>5234</v>
      </c>
      <c r="N1001" t="s">
        <v>9624</v>
      </c>
      <c r="O1001" t="s">
        <v>4956</v>
      </c>
      <c r="P1001" t="s">
        <v>6214</v>
      </c>
      <c r="Q1001">
        <v>0</v>
      </c>
      <c r="R1001" t="s">
        <v>5118</v>
      </c>
      <c r="S1001" t="s">
        <v>5293</v>
      </c>
      <c r="T1001" t="s">
        <v>4923</v>
      </c>
      <c r="U1001" t="s">
        <v>4924</v>
      </c>
      <c r="V1001" t="s">
        <v>9625</v>
      </c>
      <c r="W1001" t="s">
        <v>3667</v>
      </c>
      <c r="X1001">
        <v>100</v>
      </c>
    </row>
    <row r="1002" spans="1:24" x14ac:dyDescent="0.25">
      <c r="A1002" t="s">
        <v>5231</v>
      </c>
      <c r="B1002" t="s">
        <v>9564</v>
      </c>
      <c r="C1002" t="s">
        <v>9565</v>
      </c>
      <c r="D1002" t="s">
        <v>3667</v>
      </c>
      <c r="E1002" t="s">
        <v>4913</v>
      </c>
      <c r="F1002" t="s">
        <v>9626</v>
      </c>
      <c r="G1002">
        <f>IF(K1002="Pick-up","PICKUPS",IF(K1002="Staff drop-off","STAFF_DROPOFF",IF(K1002="Replacements","REPLACEMENT",IF(K1002="Central Stores Dispatch","CENTRAL STORES DISPATCH",IFNA(IFNA(VLOOKUP(F1002,'Raw Platform Nov 4-6 2025'!C:C,1,FALSE),VLOOKUP(F1002,'Raw Platform Nov 4-6 2025'!D:D,1,FALSE)),IFNA(VLOOKUP(F1002,'Glovo Raw Nov 4-6 2025'!B:B,1,FALSE),"Not Matched"))))))</f>
      </c>
      <c r="H1002">
        <f>COUNTIF(F:F,F1002)</f>
      </c>
      <c r="I1002" t="s">
        <v>9627</v>
      </c>
      <c r="J1002" t="s">
        <v>5028</v>
      </c>
      <c r="K1002" t="s">
        <v>4916</v>
      </c>
      <c r="L1002" t="s">
        <v>9623</v>
      </c>
      <c r="M1002" t="s">
        <v>9628</v>
      </c>
      <c r="N1002" t="s">
        <v>9629</v>
      </c>
      <c r="O1002" t="s">
        <v>6329</v>
      </c>
      <c r="P1002" t="s">
        <v>9630</v>
      </c>
      <c r="Q1002">
        <v>790</v>
      </c>
      <c r="R1002" t="s">
        <v>5118</v>
      </c>
      <c r="S1002" t="s">
        <v>3667</v>
      </c>
      <c r="T1002" t="s">
        <v>4923</v>
      </c>
      <c r="U1002" t="s">
        <v>4924</v>
      </c>
      <c r="V1002" t="s">
        <v>9631</v>
      </c>
      <c r="W1002" t="s">
        <v>3667</v>
      </c>
      <c r="X1002">
        <v>520.9</v>
      </c>
    </row>
    <row r="1003" spans="1:24" x14ac:dyDescent="0.25">
      <c r="A1003" t="s">
        <v>4910</v>
      </c>
      <c r="B1003" t="s">
        <v>9564</v>
      </c>
      <c r="C1003" t="s">
        <v>9565</v>
      </c>
      <c r="D1003" t="s">
        <v>13</v>
      </c>
      <c r="E1003" t="s">
        <v>4913</v>
      </c>
      <c r="F1003" t="s">
        <v>4239</v>
      </c>
      <c r="G1003">
        <f>IF(K1003="Pick-up","PICKUPS",IF(K1003="Staff drop-off","STAFF_DROPOFF",IF(K1003="Replacements","REPLACEMENT",IF(K1003="Central Stores Dispatch","CENTRAL STORES DISPATCH",IFNA(IFNA(VLOOKUP(F1003,'Raw Platform Nov 4-6 2025'!C:C,1,FALSE),VLOOKUP(F1003,'Raw Platform Nov 4-6 2025'!D:D,1,FALSE)),IFNA(VLOOKUP(F1003,'Glovo Raw Nov 4-6 2025'!B:B,1,FALSE),"Not Matched"))))))</f>
      </c>
      <c r="H1003">
        <f>COUNTIF(F:F,F1003)</f>
      </c>
      <c r="I1003" t="s">
        <v>9632</v>
      </c>
      <c r="J1003" t="s">
        <v>63</v>
      </c>
      <c r="K1003" t="s">
        <v>4927</v>
      </c>
      <c r="L1003" t="s">
        <v>9633</v>
      </c>
      <c r="M1003" t="s">
        <v>9634</v>
      </c>
      <c r="N1003" t="s">
        <v>9635</v>
      </c>
      <c r="O1003" t="s">
        <v>37</v>
      </c>
      <c r="P1003" t="s">
        <v>5685</v>
      </c>
      <c r="Q1003">
        <v>0</v>
      </c>
      <c r="R1003" t="s">
        <v>5118</v>
      </c>
      <c r="S1003" t="s">
        <v>12</v>
      </c>
      <c r="T1003" t="s">
        <v>4923</v>
      </c>
      <c r="U1003" t="s">
        <v>4924</v>
      </c>
      <c r="V1003" t="s">
        <v>9636</v>
      </c>
      <c r="W1003" t="s">
        <v>3667</v>
      </c>
      <c r="X1003">
        <v>261</v>
      </c>
    </row>
    <row r="1004" spans="1:24" x14ac:dyDescent="0.25">
      <c r="A1004" t="s">
        <v>5130</v>
      </c>
      <c r="B1004" t="s">
        <v>9564</v>
      </c>
      <c r="C1004" t="s">
        <v>9565</v>
      </c>
      <c r="D1004" t="s">
        <v>24</v>
      </c>
      <c r="E1004" t="s">
        <v>4913</v>
      </c>
      <c r="F1004" t="s">
        <v>2427</v>
      </c>
      <c r="G1004">
        <f>IF(K1004="Pick-up","PICKUPS",IF(K1004="Staff drop-off","STAFF_DROPOFF",IF(K1004="Replacements","REPLACEMENT",IF(K1004="Central Stores Dispatch","CENTRAL STORES DISPATCH",IFNA(IFNA(VLOOKUP(F1004,'Raw Platform Nov 4-6 2025'!C:C,1,FALSE),VLOOKUP(F1004,'Raw Platform Nov 4-6 2025'!D:D,1,FALSE)),IFNA(VLOOKUP(F1004,'Glovo Raw Nov 4-6 2025'!B:B,1,FALSE),"Not Matched"))))))</f>
      </c>
      <c r="H1004">
        <f>COUNTIF(F:F,F1004)</f>
      </c>
      <c r="I1004" t="s">
        <v>9637</v>
      </c>
      <c r="J1004" t="s">
        <v>4915</v>
      </c>
      <c r="K1004" t="s">
        <v>4927</v>
      </c>
      <c r="L1004" t="s">
        <v>9638</v>
      </c>
      <c r="M1004" t="s">
        <v>5217</v>
      </c>
      <c r="N1004" t="s">
        <v>5107</v>
      </c>
      <c r="O1004" t="s">
        <v>2009</v>
      </c>
      <c r="P1004" t="s">
        <v>5572</v>
      </c>
      <c r="Q1004">
        <v>0</v>
      </c>
      <c r="R1004" t="s">
        <v>5118</v>
      </c>
      <c r="S1004" t="s">
        <v>5136</v>
      </c>
      <c r="T1004" t="s">
        <v>4923</v>
      </c>
      <c r="U1004" t="s">
        <v>4924</v>
      </c>
      <c r="V1004" t="s">
        <v>9639</v>
      </c>
      <c r="W1004" t="s">
        <v>3667</v>
      </c>
      <c r="X1004">
        <v>125.3</v>
      </c>
    </row>
    <row r="1005" spans="1:24" x14ac:dyDescent="0.25">
      <c r="A1005" t="s">
        <v>4932</v>
      </c>
      <c r="B1005" t="s">
        <v>9640</v>
      </c>
      <c r="C1005" t="s">
        <v>9641</v>
      </c>
      <c r="D1005" t="s">
        <v>13</v>
      </c>
      <c r="E1005" t="s">
        <v>4913</v>
      </c>
      <c r="F1005" t="s">
        <v>1404</v>
      </c>
      <c r="G1005">
        <f>IF(K1005="Pick-up","PICKUPS",IF(K1005="Staff drop-off","STAFF_DROPOFF",IF(K1005="Replacements","REPLACEMENT",IF(K1005="Central Stores Dispatch","CENTRAL STORES DISPATCH",IFNA(IFNA(VLOOKUP(F1005,'Raw Platform Nov 4-6 2025'!C:C,1,FALSE),VLOOKUP(F1005,'Raw Platform Nov 4-6 2025'!D:D,1,FALSE)),IFNA(VLOOKUP(F1005,'Glovo Raw Nov 4-6 2025'!B:B,1,FALSE),"Not Matched"))))))</f>
      </c>
      <c r="H1005">
        <f>COUNTIF(F:F,F1005)</f>
      </c>
      <c r="I1005" t="s">
        <v>9642</v>
      </c>
      <c r="J1005" t="s">
        <v>4915</v>
      </c>
      <c r="K1005" t="s">
        <v>4927</v>
      </c>
      <c r="L1005" t="s">
        <v>9643</v>
      </c>
      <c r="M1005" t="s">
        <v>9644</v>
      </c>
      <c r="N1005" t="s">
        <v>5072</v>
      </c>
      <c r="O1005" t="s">
        <v>4949</v>
      </c>
      <c r="P1005" t="s">
        <v>4920</v>
      </c>
      <c r="Q1005">
        <v>0</v>
      </c>
      <c r="R1005" t="s">
        <v>5118</v>
      </c>
      <c r="S1005" t="s">
        <v>29</v>
      </c>
      <c r="T1005" t="s">
        <v>4923</v>
      </c>
      <c r="U1005" t="s">
        <v>4924</v>
      </c>
      <c r="V1005" t="s">
        <v>9645</v>
      </c>
      <c r="W1005" t="s">
        <v>3667</v>
      </c>
      <c r="X1005">
        <v>100</v>
      </c>
    </row>
    <row r="1006" spans="1:24" x14ac:dyDescent="0.25">
      <c r="A1006" t="s">
        <v>4932</v>
      </c>
      <c r="B1006" t="s">
        <v>9640</v>
      </c>
      <c r="C1006" t="s">
        <v>9641</v>
      </c>
      <c r="D1006" t="s">
        <v>13</v>
      </c>
      <c r="E1006" t="s">
        <v>4913</v>
      </c>
      <c r="F1006" t="s">
        <v>507</v>
      </c>
      <c r="G1006">
        <f>IF(K1006="Pick-up","PICKUPS",IF(K1006="Staff drop-off","STAFF_DROPOFF",IF(K1006="Replacements","REPLACEMENT",IF(K1006="Central Stores Dispatch","CENTRAL STORES DISPATCH",IFNA(IFNA(VLOOKUP(F1006,'Raw Platform Nov 4-6 2025'!C:C,1,FALSE),VLOOKUP(F1006,'Raw Platform Nov 4-6 2025'!D:D,1,FALSE)),IFNA(VLOOKUP(F1006,'Glovo Raw Nov 4-6 2025'!B:B,1,FALSE),"Not Matched"))))))</f>
      </c>
      <c r="H1006">
        <f>COUNTIF(F:F,F1006)</f>
      </c>
      <c r="I1006" t="s">
        <v>9646</v>
      </c>
      <c r="J1006" t="s">
        <v>4915</v>
      </c>
      <c r="K1006" t="s">
        <v>4927</v>
      </c>
      <c r="L1006" t="s">
        <v>9647</v>
      </c>
      <c r="M1006" t="s">
        <v>9648</v>
      </c>
      <c r="N1006" t="s">
        <v>9649</v>
      </c>
      <c r="O1006" t="s">
        <v>47</v>
      </c>
      <c r="P1006" t="s">
        <v>5001</v>
      </c>
      <c r="Q1006">
        <v>0</v>
      </c>
      <c r="R1006" t="s">
        <v>5118</v>
      </c>
      <c r="S1006" t="s">
        <v>29</v>
      </c>
      <c r="T1006" t="s">
        <v>4923</v>
      </c>
      <c r="U1006" t="s">
        <v>4924</v>
      </c>
      <c r="V1006" t="s">
        <v>9650</v>
      </c>
      <c r="W1006" t="s">
        <v>3667</v>
      </c>
      <c r="X1006">
        <v>120.7</v>
      </c>
    </row>
    <row r="1007" spans="1:24" x14ac:dyDescent="0.25">
      <c r="A1007" t="s">
        <v>4932</v>
      </c>
      <c r="B1007" t="s">
        <v>9640</v>
      </c>
      <c r="C1007" t="s">
        <v>9641</v>
      </c>
      <c r="D1007" t="s">
        <v>13</v>
      </c>
      <c r="E1007" t="s">
        <v>4913</v>
      </c>
      <c r="F1007" t="s">
        <v>994</v>
      </c>
      <c r="G1007">
        <f>IF(K1007="Pick-up","PICKUPS",IF(K1007="Staff drop-off","STAFF_DROPOFF",IF(K1007="Replacements","REPLACEMENT",IF(K1007="Central Stores Dispatch","CENTRAL STORES DISPATCH",IFNA(IFNA(VLOOKUP(F1007,'Raw Platform Nov 4-6 2025'!C:C,1,FALSE),VLOOKUP(F1007,'Raw Platform Nov 4-6 2025'!D:D,1,FALSE)),IFNA(VLOOKUP(F1007,'Glovo Raw Nov 4-6 2025'!B:B,1,FALSE),"Not Matched"))))))</f>
      </c>
      <c r="H1007">
        <f>COUNTIF(F:F,F1007)</f>
      </c>
      <c r="I1007" t="s">
        <v>9651</v>
      </c>
      <c r="J1007" t="s">
        <v>4915</v>
      </c>
      <c r="K1007" t="s">
        <v>4916</v>
      </c>
      <c r="L1007" t="s">
        <v>9652</v>
      </c>
      <c r="M1007" t="s">
        <v>9653</v>
      </c>
      <c r="N1007" t="s">
        <v>9654</v>
      </c>
      <c r="O1007" t="s">
        <v>113</v>
      </c>
      <c r="P1007" t="s">
        <v>5910</v>
      </c>
      <c r="Q1007">
        <v>2012</v>
      </c>
      <c r="R1007" t="s">
        <v>5118</v>
      </c>
      <c r="S1007" t="s">
        <v>29</v>
      </c>
      <c r="T1007" t="s">
        <v>4923</v>
      </c>
      <c r="U1007" t="s">
        <v>4924</v>
      </c>
      <c r="V1007" t="s">
        <v>9655</v>
      </c>
      <c r="W1007" t="s">
        <v>3667</v>
      </c>
      <c r="X1007">
        <v>297.8</v>
      </c>
    </row>
    <row r="1008" spans="1:24" x14ac:dyDescent="0.25">
      <c r="A1008" t="s">
        <v>4932</v>
      </c>
      <c r="B1008" t="s">
        <v>9640</v>
      </c>
      <c r="C1008" t="s">
        <v>9641</v>
      </c>
      <c r="D1008" t="s">
        <v>13</v>
      </c>
      <c r="E1008" t="s">
        <v>4913</v>
      </c>
      <c r="F1008" t="s">
        <v>778</v>
      </c>
      <c r="G1008">
        <f>IF(K1008="Pick-up","PICKUPS",IF(K1008="Staff drop-off","STAFF_DROPOFF",IF(K1008="Replacements","REPLACEMENT",IF(K1008="Central Stores Dispatch","CENTRAL STORES DISPATCH",IFNA(IFNA(VLOOKUP(F1008,'Raw Platform Nov 4-6 2025'!C:C,1,FALSE),VLOOKUP(F1008,'Raw Platform Nov 4-6 2025'!D:D,1,FALSE)),IFNA(VLOOKUP(F1008,'Glovo Raw Nov 4-6 2025'!B:B,1,FALSE),"Not Matched"))))))</f>
      </c>
      <c r="H1008">
        <f>COUNTIF(F:F,F1008)</f>
      </c>
      <c r="I1008" t="s">
        <v>9656</v>
      </c>
      <c r="J1008" t="s">
        <v>4915</v>
      </c>
      <c r="K1008" t="s">
        <v>4927</v>
      </c>
      <c r="L1008" t="s">
        <v>9657</v>
      </c>
      <c r="M1008" t="s">
        <v>9658</v>
      </c>
      <c r="N1008" t="s">
        <v>5958</v>
      </c>
      <c r="O1008" t="s">
        <v>123</v>
      </c>
      <c r="P1008" t="s">
        <v>5820</v>
      </c>
      <c r="Q1008">
        <v>0</v>
      </c>
      <c r="R1008" t="s">
        <v>5118</v>
      </c>
      <c r="S1008" t="s">
        <v>29</v>
      </c>
      <c r="T1008" t="s">
        <v>4923</v>
      </c>
      <c r="U1008" t="s">
        <v>4924</v>
      </c>
      <c r="V1008" t="s">
        <v>9659</v>
      </c>
      <c r="W1008" t="s">
        <v>3667</v>
      </c>
      <c r="X1008">
        <v>139.1</v>
      </c>
    </row>
    <row r="1009" spans="1:24" x14ac:dyDescent="0.25">
      <c r="A1009" t="s">
        <v>4932</v>
      </c>
      <c r="B1009" t="s">
        <v>9640</v>
      </c>
      <c r="C1009" t="s">
        <v>9641</v>
      </c>
      <c r="D1009" t="s">
        <v>13</v>
      </c>
      <c r="E1009" t="s">
        <v>4913</v>
      </c>
      <c r="F1009" t="s">
        <v>1134</v>
      </c>
      <c r="G1009">
        <f>IF(K1009="Pick-up","PICKUPS",IF(K1009="Staff drop-off","STAFF_DROPOFF",IF(K1009="Replacements","REPLACEMENT",IF(K1009="Central Stores Dispatch","CENTRAL STORES DISPATCH",IFNA(IFNA(VLOOKUP(F1009,'Raw Platform Nov 4-6 2025'!C:C,1,FALSE),VLOOKUP(F1009,'Raw Platform Nov 4-6 2025'!D:D,1,FALSE)),IFNA(VLOOKUP(F1009,'Glovo Raw Nov 4-6 2025'!B:B,1,FALSE),"Not Matched"))))))</f>
      </c>
      <c r="H1009">
        <f>COUNTIF(F:F,F1009)</f>
      </c>
      <c r="I1009" t="s">
        <v>9660</v>
      </c>
      <c r="J1009" t="s">
        <v>4915</v>
      </c>
      <c r="K1009" t="s">
        <v>4927</v>
      </c>
      <c r="L1009" t="s">
        <v>9661</v>
      </c>
      <c r="M1009" t="s">
        <v>9662</v>
      </c>
      <c r="N1009" t="s">
        <v>9663</v>
      </c>
      <c r="O1009" t="s">
        <v>6318</v>
      </c>
      <c r="P1009" t="s">
        <v>9664</v>
      </c>
      <c r="Q1009">
        <v>0</v>
      </c>
      <c r="R1009" t="s">
        <v>5118</v>
      </c>
      <c r="S1009" t="s">
        <v>29</v>
      </c>
      <c r="T1009" t="s">
        <v>4923</v>
      </c>
      <c r="U1009" t="s">
        <v>4924</v>
      </c>
      <c r="V1009" t="s">
        <v>9665</v>
      </c>
      <c r="W1009" t="s">
        <v>3667</v>
      </c>
      <c r="X1009">
        <v>470.3</v>
      </c>
    </row>
    <row r="1010" spans="1:24" x14ac:dyDescent="0.25">
      <c r="A1010" t="s">
        <v>4932</v>
      </c>
      <c r="B1010" t="s">
        <v>9640</v>
      </c>
      <c r="C1010" t="s">
        <v>9641</v>
      </c>
      <c r="D1010" t="s">
        <v>13</v>
      </c>
      <c r="E1010" t="s">
        <v>4913</v>
      </c>
      <c r="F1010" t="s">
        <v>1183</v>
      </c>
      <c r="G1010">
        <f>IF(K1010="Pick-up","PICKUPS",IF(K1010="Staff drop-off","STAFF_DROPOFF",IF(K1010="Replacements","REPLACEMENT",IF(K1010="Central Stores Dispatch","CENTRAL STORES DISPATCH",IFNA(IFNA(VLOOKUP(F1010,'Raw Platform Nov 4-6 2025'!C:C,1,FALSE),VLOOKUP(F1010,'Raw Platform Nov 4-6 2025'!D:D,1,FALSE)),IFNA(VLOOKUP(F1010,'Glovo Raw Nov 4-6 2025'!B:B,1,FALSE),"Not Matched"))))))</f>
      </c>
      <c r="H1010">
        <f>COUNTIF(F:F,F1010)</f>
      </c>
      <c r="I1010" t="s">
        <v>9666</v>
      </c>
      <c r="J1010" t="s">
        <v>4915</v>
      </c>
      <c r="K1010" t="s">
        <v>4916</v>
      </c>
      <c r="L1010" t="s">
        <v>9667</v>
      </c>
      <c r="M1010" t="s">
        <v>9668</v>
      </c>
      <c r="N1010" t="s">
        <v>8866</v>
      </c>
      <c r="O1010" t="s">
        <v>91</v>
      </c>
      <c r="P1010" t="s">
        <v>7940</v>
      </c>
      <c r="Q1010">
        <v>1206</v>
      </c>
      <c r="R1010" t="s">
        <v>5118</v>
      </c>
      <c r="S1010" t="s">
        <v>29</v>
      </c>
      <c r="T1010" t="s">
        <v>4923</v>
      </c>
      <c r="U1010" t="s">
        <v>4924</v>
      </c>
      <c r="V1010" t="s">
        <v>9669</v>
      </c>
      <c r="W1010" t="s">
        <v>3667</v>
      </c>
      <c r="X1010">
        <v>290.9</v>
      </c>
    </row>
    <row r="1011" spans="1:24" x14ac:dyDescent="0.25">
      <c r="A1011" t="s">
        <v>4932</v>
      </c>
      <c r="B1011" t="s">
        <v>9640</v>
      </c>
      <c r="C1011" t="s">
        <v>9641</v>
      </c>
      <c r="D1011" t="s">
        <v>13</v>
      </c>
      <c r="E1011" t="s">
        <v>4913</v>
      </c>
      <c r="F1011" t="s">
        <v>2014</v>
      </c>
      <c r="G1011">
        <f>IF(K1011="Pick-up","PICKUPS",IF(K1011="Staff drop-off","STAFF_DROPOFF",IF(K1011="Replacements","REPLACEMENT",IF(K1011="Central Stores Dispatch","CENTRAL STORES DISPATCH",IFNA(IFNA(VLOOKUP(F1011,'Raw Platform Nov 4-6 2025'!C:C,1,FALSE),VLOOKUP(F1011,'Raw Platform Nov 4-6 2025'!D:D,1,FALSE)),IFNA(VLOOKUP(F1011,'Glovo Raw Nov 4-6 2025'!B:B,1,FALSE),"Not Matched"))))))</f>
      </c>
      <c r="H1011">
        <f>COUNTIF(F:F,F1011)</f>
      </c>
      <c r="I1011" t="s">
        <v>9670</v>
      </c>
      <c r="J1011" t="s">
        <v>4915</v>
      </c>
      <c r="K1011" t="s">
        <v>4916</v>
      </c>
      <c r="L1011" t="s">
        <v>9212</v>
      </c>
      <c r="M1011" t="s">
        <v>9671</v>
      </c>
      <c r="N1011" t="s">
        <v>9214</v>
      </c>
      <c r="O1011" t="s">
        <v>7232</v>
      </c>
      <c r="P1011" t="s">
        <v>6299</v>
      </c>
      <c r="Q1011">
        <v>1336</v>
      </c>
      <c r="R1011" t="s">
        <v>5118</v>
      </c>
      <c r="S1011" t="s">
        <v>29</v>
      </c>
      <c r="T1011" t="s">
        <v>4923</v>
      </c>
      <c r="U1011" t="s">
        <v>4924</v>
      </c>
      <c r="V1011" t="s">
        <v>9672</v>
      </c>
      <c r="W1011" t="s">
        <v>3667</v>
      </c>
      <c r="X1011">
        <v>408.2</v>
      </c>
    </row>
    <row r="1012" spans="1:24" x14ac:dyDescent="0.25">
      <c r="A1012" t="s">
        <v>4932</v>
      </c>
      <c r="B1012" t="s">
        <v>9640</v>
      </c>
      <c r="C1012" t="s">
        <v>9641</v>
      </c>
      <c r="D1012" t="s">
        <v>13</v>
      </c>
      <c r="E1012" t="s">
        <v>4913</v>
      </c>
      <c r="F1012" t="s">
        <v>2176</v>
      </c>
      <c r="G1012">
        <f>IF(K1012="Pick-up","PICKUPS",IF(K1012="Staff drop-off","STAFF_DROPOFF",IF(K1012="Replacements","REPLACEMENT",IF(K1012="Central Stores Dispatch","CENTRAL STORES DISPATCH",IFNA(IFNA(VLOOKUP(F1012,'Raw Platform Nov 4-6 2025'!C:C,1,FALSE),VLOOKUP(F1012,'Raw Platform Nov 4-6 2025'!D:D,1,FALSE)),IFNA(VLOOKUP(F1012,'Glovo Raw Nov 4-6 2025'!B:B,1,FALSE),"Not Matched"))))))</f>
      </c>
      <c r="H1012">
        <f>COUNTIF(F:F,F1012)</f>
      </c>
      <c r="I1012" t="s">
        <v>9673</v>
      </c>
      <c r="J1012" t="s">
        <v>4915</v>
      </c>
      <c r="K1012" t="s">
        <v>4927</v>
      </c>
      <c r="L1012" t="s">
        <v>9674</v>
      </c>
      <c r="M1012" t="s">
        <v>9675</v>
      </c>
      <c r="N1012" t="s">
        <v>9676</v>
      </c>
      <c r="O1012" t="s">
        <v>113</v>
      </c>
      <c r="P1012" t="s">
        <v>6267</v>
      </c>
      <c r="Q1012">
        <v>0</v>
      </c>
      <c r="R1012" t="s">
        <v>5118</v>
      </c>
      <c r="S1012" t="s">
        <v>29</v>
      </c>
      <c r="T1012" t="s">
        <v>4923</v>
      </c>
      <c r="U1012" t="s">
        <v>4924</v>
      </c>
      <c r="V1012" t="s">
        <v>9677</v>
      </c>
      <c r="W1012" t="s">
        <v>3667</v>
      </c>
      <c r="X1012">
        <v>198.9</v>
      </c>
    </row>
    <row r="1013" spans="1:24" x14ac:dyDescent="0.25">
      <c r="A1013" t="s">
        <v>4932</v>
      </c>
      <c r="B1013" t="s">
        <v>9640</v>
      </c>
      <c r="C1013" t="s">
        <v>9641</v>
      </c>
      <c r="D1013" t="s">
        <v>13</v>
      </c>
      <c r="E1013" t="s">
        <v>4913</v>
      </c>
      <c r="F1013" t="s">
        <v>1680</v>
      </c>
      <c r="G1013">
        <f>IF(K1013="Pick-up","PICKUPS",IF(K1013="Staff drop-off","STAFF_DROPOFF",IF(K1013="Replacements","REPLACEMENT",IF(K1013="Central Stores Dispatch","CENTRAL STORES DISPATCH",IFNA(IFNA(VLOOKUP(F1013,'Raw Platform Nov 4-6 2025'!C:C,1,FALSE),VLOOKUP(F1013,'Raw Platform Nov 4-6 2025'!D:D,1,FALSE)),IFNA(VLOOKUP(F1013,'Glovo Raw Nov 4-6 2025'!B:B,1,FALSE),"Not Matched"))))))</f>
      </c>
      <c r="H1013">
        <f>COUNTIF(F:F,F1013)</f>
      </c>
      <c r="I1013" t="s">
        <v>9678</v>
      </c>
      <c r="J1013" t="s">
        <v>4915</v>
      </c>
      <c r="K1013" t="s">
        <v>4927</v>
      </c>
      <c r="L1013" t="s">
        <v>9679</v>
      </c>
      <c r="M1013" t="s">
        <v>9680</v>
      </c>
      <c r="N1013" t="s">
        <v>9681</v>
      </c>
      <c r="O1013" t="s">
        <v>73</v>
      </c>
      <c r="P1013" t="s">
        <v>7536</v>
      </c>
      <c r="Q1013">
        <v>0</v>
      </c>
      <c r="R1013" t="s">
        <v>5118</v>
      </c>
      <c r="S1013" t="s">
        <v>29</v>
      </c>
      <c r="T1013" t="s">
        <v>4923</v>
      </c>
      <c r="U1013" t="s">
        <v>4924</v>
      </c>
      <c r="V1013" t="s">
        <v>9682</v>
      </c>
      <c r="W1013" t="s">
        <v>3667</v>
      </c>
      <c r="X1013">
        <v>141.4</v>
      </c>
    </row>
    <row r="1014" spans="1:24" x14ac:dyDescent="0.25">
      <c r="A1014" t="s">
        <v>4932</v>
      </c>
      <c r="B1014" t="s">
        <v>9640</v>
      </c>
      <c r="C1014" t="s">
        <v>9641</v>
      </c>
      <c r="D1014" t="s">
        <v>13</v>
      </c>
      <c r="E1014" t="s">
        <v>4913</v>
      </c>
      <c r="F1014" t="s">
        <v>2937</v>
      </c>
      <c r="G1014">
        <f>IF(K1014="Pick-up","PICKUPS",IF(K1014="Staff drop-off","STAFF_DROPOFF",IF(K1014="Replacements","REPLACEMENT",IF(K1014="Central Stores Dispatch","CENTRAL STORES DISPATCH",IFNA(IFNA(VLOOKUP(F1014,'Raw Platform Nov 4-6 2025'!C:C,1,FALSE),VLOOKUP(F1014,'Raw Platform Nov 4-6 2025'!D:D,1,FALSE)),IFNA(VLOOKUP(F1014,'Glovo Raw Nov 4-6 2025'!B:B,1,FALSE),"Not Matched"))))))</f>
      </c>
      <c r="H1014">
        <f>COUNTIF(F:F,F1014)</f>
      </c>
      <c r="I1014" t="s">
        <v>9683</v>
      </c>
      <c r="J1014" t="s">
        <v>4915</v>
      </c>
      <c r="K1014" t="s">
        <v>4927</v>
      </c>
      <c r="L1014" t="s">
        <v>9684</v>
      </c>
      <c r="M1014" t="s">
        <v>9685</v>
      </c>
      <c r="N1014" t="s">
        <v>9686</v>
      </c>
      <c r="O1014" t="s">
        <v>5678</v>
      </c>
      <c r="P1014" t="s">
        <v>7458</v>
      </c>
      <c r="Q1014">
        <v>0</v>
      </c>
      <c r="R1014" t="s">
        <v>5118</v>
      </c>
      <c r="S1014" t="s">
        <v>29</v>
      </c>
      <c r="T1014" t="s">
        <v>4923</v>
      </c>
      <c r="U1014" t="s">
        <v>4924</v>
      </c>
      <c r="V1014" t="s">
        <v>9687</v>
      </c>
      <c r="W1014" t="s">
        <v>3667</v>
      </c>
      <c r="X1014">
        <v>486.4</v>
      </c>
    </row>
    <row r="1015" spans="1:24" x14ac:dyDescent="0.25">
      <c r="A1015" t="s">
        <v>4932</v>
      </c>
      <c r="B1015" t="s">
        <v>9640</v>
      </c>
      <c r="C1015" t="s">
        <v>9641</v>
      </c>
      <c r="D1015" t="s">
        <v>13</v>
      </c>
      <c r="E1015" t="s">
        <v>4913</v>
      </c>
      <c r="F1015" t="s">
        <v>9688</v>
      </c>
      <c r="G1015">
        <f>IF(K1015="Pick-up","PICKUPS",IF(K1015="Staff drop-off","STAFF_DROPOFF",IF(K1015="Replacements","REPLACEMENT",IF(K1015="Central Stores Dispatch","CENTRAL STORES DISPATCH",IFNA(IFNA(VLOOKUP(F1015,'Raw Platform Nov 4-6 2025'!C:C,1,FALSE),VLOOKUP(F1015,'Raw Platform Nov 4-6 2025'!D:D,1,FALSE)),IFNA(VLOOKUP(F1015,'Glovo Raw Nov 4-6 2025'!B:B,1,FALSE),"Not Matched"))))))</f>
      </c>
      <c r="H1015">
        <f>COUNTIF(F:F,F1015)</f>
      </c>
      <c r="I1015" t="s">
        <v>9689</v>
      </c>
      <c r="J1015" t="s">
        <v>4915</v>
      </c>
      <c r="K1015" t="s">
        <v>4927</v>
      </c>
      <c r="L1015" t="s">
        <v>9690</v>
      </c>
      <c r="M1015" t="s">
        <v>9691</v>
      </c>
      <c r="N1015" t="s">
        <v>7125</v>
      </c>
      <c r="O1015" t="s">
        <v>26</v>
      </c>
      <c r="P1015" t="s">
        <v>5436</v>
      </c>
      <c r="Q1015">
        <v>0</v>
      </c>
      <c r="R1015" t="s">
        <v>5118</v>
      </c>
      <c r="S1015" t="s">
        <v>29</v>
      </c>
      <c r="T1015" t="s">
        <v>4923</v>
      </c>
      <c r="U1015" t="s">
        <v>4924</v>
      </c>
      <c r="V1015" t="s">
        <v>9692</v>
      </c>
      <c r="W1015" t="s">
        <v>3667</v>
      </c>
      <c r="X1015">
        <v>164.4</v>
      </c>
    </row>
    <row r="1016" spans="1:24" x14ac:dyDescent="0.25">
      <c r="A1016" t="s">
        <v>4932</v>
      </c>
      <c r="B1016" t="s">
        <v>9640</v>
      </c>
      <c r="C1016" t="s">
        <v>9641</v>
      </c>
      <c r="D1016" t="s">
        <v>13</v>
      </c>
      <c r="E1016" t="s">
        <v>4913</v>
      </c>
      <c r="F1016" t="s">
        <v>3500</v>
      </c>
      <c r="G1016">
        <f>IF(K1016="Pick-up","PICKUPS",IF(K1016="Staff drop-off","STAFF_DROPOFF",IF(K1016="Replacements","REPLACEMENT",IF(K1016="Central Stores Dispatch","CENTRAL STORES DISPATCH",IFNA(IFNA(VLOOKUP(F1016,'Raw Platform Nov 4-6 2025'!C:C,1,FALSE),VLOOKUP(F1016,'Raw Platform Nov 4-6 2025'!D:D,1,FALSE)),IFNA(VLOOKUP(F1016,'Glovo Raw Nov 4-6 2025'!B:B,1,FALSE),"Not Matched"))))))</f>
      </c>
      <c r="H1016">
        <f>COUNTIF(F:F,F1016)</f>
      </c>
      <c r="I1016" t="s">
        <v>9693</v>
      </c>
      <c r="J1016" t="s">
        <v>63</v>
      </c>
      <c r="K1016" t="s">
        <v>4927</v>
      </c>
      <c r="L1016" t="s">
        <v>9694</v>
      </c>
      <c r="M1016" t="s">
        <v>9695</v>
      </c>
      <c r="N1016" t="s">
        <v>9696</v>
      </c>
      <c r="O1016" t="s">
        <v>5469</v>
      </c>
      <c r="P1016" t="s">
        <v>5470</v>
      </c>
      <c r="Q1016">
        <v>0</v>
      </c>
      <c r="R1016" t="s">
        <v>5118</v>
      </c>
      <c r="S1016" t="s">
        <v>29</v>
      </c>
      <c r="T1016" t="s">
        <v>4923</v>
      </c>
      <c r="U1016" t="s">
        <v>4924</v>
      </c>
      <c r="V1016" t="s">
        <v>9697</v>
      </c>
      <c r="W1016" t="s">
        <v>3667</v>
      </c>
      <c r="X1016">
        <v>348.4</v>
      </c>
    </row>
    <row r="1017" spans="1:24" x14ac:dyDescent="0.25">
      <c r="A1017" t="s">
        <v>4910</v>
      </c>
      <c r="B1017" t="s">
        <v>9640</v>
      </c>
      <c r="C1017" t="s">
        <v>9641</v>
      </c>
      <c r="D1017" t="s">
        <v>13</v>
      </c>
      <c r="E1017" t="s">
        <v>4913</v>
      </c>
      <c r="F1017" t="s">
        <v>3019</v>
      </c>
      <c r="G1017">
        <f>IF(K1017="Pick-up","PICKUPS",IF(K1017="Staff drop-off","STAFF_DROPOFF",IF(K1017="Replacements","REPLACEMENT",IF(K1017="Central Stores Dispatch","CENTRAL STORES DISPATCH",IFNA(IFNA(VLOOKUP(F1017,'Raw Platform Nov 4-6 2025'!C:C,1,FALSE),VLOOKUP(F1017,'Raw Platform Nov 4-6 2025'!D:D,1,FALSE)),IFNA(VLOOKUP(F1017,'Glovo Raw Nov 4-6 2025'!B:B,1,FALSE),"Not Matched"))))))</f>
      </c>
      <c r="H1017">
        <f>COUNTIF(F:F,F1017)</f>
      </c>
      <c r="I1017" t="s">
        <v>9698</v>
      </c>
      <c r="J1017" t="s">
        <v>5028</v>
      </c>
      <c r="K1017" t="s">
        <v>4927</v>
      </c>
      <c r="L1017" t="s">
        <v>7048</v>
      </c>
      <c r="M1017" t="s">
        <v>7049</v>
      </c>
      <c r="N1017" t="s">
        <v>7050</v>
      </c>
      <c r="O1017" t="s">
        <v>91</v>
      </c>
      <c r="P1017" t="s">
        <v>5910</v>
      </c>
      <c r="Q1017">
        <v>1660</v>
      </c>
      <c r="R1017" t="s">
        <v>5118</v>
      </c>
      <c r="S1017" t="s">
        <v>29</v>
      </c>
      <c r="T1017" t="s">
        <v>4923</v>
      </c>
      <c r="U1017" t="s">
        <v>4924</v>
      </c>
      <c r="V1017" t="s">
        <v>9699</v>
      </c>
      <c r="W1017" t="s">
        <v>3667</v>
      </c>
      <c r="X1017">
        <v>297.8</v>
      </c>
    </row>
    <row r="1018" spans="1:24" x14ac:dyDescent="0.25">
      <c r="A1018" t="s">
        <v>4932</v>
      </c>
      <c r="B1018" t="s">
        <v>9640</v>
      </c>
      <c r="C1018" t="s">
        <v>9641</v>
      </c>
      <c r="D1018" t="s">
        <v>13</v>
      </c>
      <c r="E1018" t="s">
        <v>4913</v>
      </c>
      <c r="F1018" t="s">
        <v>2569</v>
      </c>
      <c r="G1018">
        <f>IF(K1018="Pick-up","PICKUPS",IF(K1018="Staff drop-off","STAFF_DROPOFF",IF(K1018="Replacements","REPLACEMENT",IF(K1018="Central Stores Dispatch","CENTRAL STORES DISPATCH",IFNA(IFNA(VLOOKUP(F1018,'Raw Platform Nov 4-6 2025'!C:C,1,FALSE),VLOOKUP(F1018,'Raw Platform Nov 4-6 2025'!D:D,1,FALSE)),IFNA(VLOOKUP(F1018,'Glovo Raw Nov 4-6 2025'!B:B,1,FALSE),"Not Matched"))))))</f>
      </c>
      <c r="H1018">
        <f>COUNTIF(F:F,F1018)</f>
      </c>
      <c r="I1018" t="s">
        <v>9700</v>
      </c>
      <c r="J1018" t="s">
        <v>4915</v>
      </c>
      <c r="K1018" t="s">
        <v>4927</v>
      </c>
      <c r="L1018" t="s">
        <v>9701</v>
      </c>
      <c r="M1018" t="s">
        <v>9702</v>
      </c>
      <c r="N1018" t="s">
        <v>9575</v>
      </c>
      <c r="O1018" t="s">
        <v>16</v>
      </c>
      <c r="P1018" t="s">
        <v>9703</v>
      </c>
      <c r="Q1018">
        <v>0</v>
      </c>
      <c r="R1018" t="s">
        <v>5118</v>
      </c>
      <c r="S1018" t="s">
        <v>29</v>
      </c>
      <c r="T1018" t="s">
        <v>4923</v>
      </c>
      <c r="U1018" t="s">
        <v>4924</v>
      </c>
      <c r="V1018" t="s">
        <v>9704</v>
      </c>
      <c r="W1018" t="s">
        <v>3667</v>
      </c>
      <c r="X1018">
        <v>254.1</v>
      </c>
    </row>
    <row r="1019" spans="1:24" x14ac:dyDescent="0.25">
      <c r="A1019" t="s">
        <v>5176</v>
      </c>
      <c r="B1019" t="s">
        <v>9705</v>
      </c>
      <c r="C1019" t="s">
        <v>9706</v>
      </c>
      <c r="D1019" t="s">
        <v>30</v>
      </c>
      <c r="E1019" t="s">
        <v>4913</v>
      </c>
      <c r="F1019" t="s">
        <v>947</v>
      </c>
      <c r="G1019">
        <f>IF(K1019="Pick-up","PICKUPS",IF(K1019="Staff drop-off","STAFF_DROPOFF",IF(K1019="Replacements","REPLACEMENT",IF(K1019="Central Stores Dispatch","CENTRAL STORES DISPATCH",IFNA(IFNA(VLOOKUP(F1019,'Raw Platform Nov 4-6 2025'!C:C,1,FALSE),VLOOKUP(F1019,'Raw Platform Nov 4-6 2025'!D:D,1,FALSE)),IFNA(VLOOKUP(F1019,'Glovo Raw Nov 4-6 2025'!B:B,1,FALSE),"Not Matched"))))))</f>
      </c>
      <c r="H1019">
        <f>COUNTIF(F:F,F1019)</f>
      </c>
      <c r="I1019" t="s">
        <v>9707</v>
      </c>
      <c r="J1019" t="s">
        <v>4915</v>
      </c>
      <c r="K1019" t="s">
        <v>4916</v>
      </c>
      <c r="L1019" t="s">
        <v>9708</v>
      </c>
      <c r="M1019" t="s">
        <v>9709</v>
      </c>
      <c r="N1019" t="s">
        <v>9710</v>
      </c>
      <c r="O1019" t="s">
        <v>6079</v>
      </c>
      <c r="P1019" t="s">
        <v>5142</v>
      </c>
      <c r="Q1019">
        <v>1990</v>
      </c>
      <c r="R1019" t="s">
        <v>5118</v>
      </c>
      <c r="S1019" t="s">
        <v>116</v>
      </c>
      <c r="T1019" t="s">
        <v>4923</v>
      </c>
      <c r="U1019" t="s">
        <v>4924</v>
      </c>
      <c r="V1019" t="s">
        <v>5580</v>
      </c>
      <c r="W1019" t="s">
        <v>3667</v>
      </c>
      <c r="X1019">
        <v>281.7</v>
      </c>
    </row>
    <row r="1020" spans="1:24" x14ac:dyDescent="0.25">
      <c r="A1020" t="s">
        <v>5176</v>
      </c>
      <c r="B1020" t="s">
        <v>9705</v>
      </c>
      <c r="C1020" t="s">
        <v>9706</v>
      </c>
      <c r="D1020" t="s">
        <v>30</v>
      </c>
      <c r="E1020" t="s">
        <v>4913</v>
      </c>
      <c r="F1020" t="s">
        <v>1386</v>
      </c>
      <c r="G1020">
        <f>IF(K1020="Pick-up","PICKUPS",IF(K1020="Staff drop-off","STAFF_DROPOFF",IF(K1020="Replacements","REPLACEMENT",IF(K1020="Central Stores Dispatch","CENTRAL STORES DISPATCH",IFNA(IFNA(VLOOKUP(F1020,'Raw Platform Nov 4-6 2025'!C:C,1,FALSE),VLOOKUP(F1020,'Raw Platform Nov 4-6 2025'!D:D,1,FALSE)),IFNA(VLOOKUP(F1020,'Glovo Raw Nov 4-6 2025'!B:B,1,FALSE),"Not Matched"))))))</f>
      </c>
      <c r="H1020">
        <f>COUNTIF(F:F,F1020)</f>
      </c>
      <c r="I1020" t="s">
        <v>9711</v>
      </c>
      <c r="J1020" t="s">
        <v>4915</v>
      </c>
      <c r="K1020" t="s">
        <v>4916</v>
      </c>
      <c r="L1020" t="s">
        <v>9712</v>
      </c>
      <c r="M1020" t="s">
        <v>9713</v>
      </c>
      <c r="N1020" t="s">
        <v>9714</v>
      </c>
      <c r="O1020" t="s">
        <v>113</v>
      </c>
      <c r="P1020" t="s">
        <v>5516</v>
      </c>
      <c r="Q1020">
        <v>701</v>
      </c>
      <c r="R1020" t="s">
        <v>5118</v>
      </c>
      <c r="S1020" t="s">
        <v>172</v>
      </c>
      <c r="T1020" t="s">
        <v>4923</v>
      </c>
      <c r="U1020" t="s">
        <v>4924</v>
      </c>
      <c r="V1020" t="s">
        <v>9715</v>
      </c>
      <c r="W1020" t="s">
        <v>3667</v>
      </c>
      <c r="X1020">
        <v>169</v>
      </c>
    </row>
    <row r="1021" spans="1:24" x14ac:dyDescent="0.25">
      <c r="A1021" t="s">
        <v>5176</v>
      </c>
      <c r="B1021" t="s">
        <v>9705</v>
      </c>
      <c r="C1021" t="s">
        <v>9706</v>
      </c>
      <c r="D1021" t="s">
        <v>30</v>
      </c>
      <c r="E1021" t="s">
        <v>4913</v>
      </c>
      <c r="F1021" t="s">
        <v>1347</v>
      </c>
      <c r="G1021">
        <f>IF(K1021="Pick-up","PICKUPS",IF(K1021="Staff drop-off","STAFF_DROPOFF",IF(K1021="Replacements","REPLACEMENT",IF(K1021="Central Stores Dispatch","CENTRAL STORES DISPATCH",IFNA(IFNA(VLOOKUP(F1021,'Raw Platform Nov 4-6 2025'!C:C,1,FALSE),VLOOKUP(F1021,'Raw Platform Nov 4-6 2025'!D:D,1,FALSE)),IFNA(VLOOKUP(F1021,'Glovo Raw Nov 4-6 2025'!B:B,1,FALSE),"Not Matched"))))))</f>
      </c>
      <c r="H1021">
        <f>COUNTIF(F:F,F1021)</f>
      </c>
      <c r="I1021" t="s">
        <v>9716</v>
      </c>
      <c r="J1021" t="s">
        <v>4915</v>
      </c>
      <c r="K1021" t="s">
        <v>4916</v>
      </c>
      <c r="L1021" t="s">
        <v>6757</v>
      </c>
      <c r="M1021" t="s">
        <v>9717</v>
      </c>
      <c r="N1021" t="s">
        <v>7215</v>
      </c>
      <c r="O1021" t="s">
        <v>2009</v>
      </c>
      <c r="P1021" t="s">
        <v>4950</v>
      </c>
      <c r="Q1021">
        <v>1458</v>
      </c>
      <c r="R1021" t="s">
        <v>5118</v>
      </c>
      <c r="S1021" t="s">
        <v>29</v>
      </c>
      <c r="T1021" t="s">
        <v>4923</v>
      </c>
      <c r="U1021" t="s">
        <v>4924</v>
      </c>
      <c r="V1021" t="s">
        <v>9718</v>
      </c>
      <c r="W1021" t="s">
        <v>3667</v>
      </c>
      <c r="X1021">
        <v>100</v>
      </c>
    </row>
    <row r="1022" spans="1:24" x14ac:dyDescent="0.25">
      <c r="A1022" t="s">
        <v>5176</v>
      </c>
      <c r="B1022" t="s">
        <v>9705</v>
      </c>
      <c r="C1022" t="s">
        <v>9706</v>
      </c>
      <c r="D1022" t="s">
        <v>30</v>
      </c>
      <c r="E1022" t="s">
        <v>4913</v>
      </c>
      <c r="F1022" t="s">
        <v>262</v>
      </c>
      <c r="G1022">
        <f>IF(K1022="Pick-up","PICKUPS",IF(K1022="Staff drop-off","STAFF_DROPOFF",IF(K1022="Replacements","REPLACEMENT",IF(K1022="Central Stores Dispatch","CENTRAL STORES DISPATCH",IFNA(IFNA(VLOOKUP(F1022,'Raw Platform Nov 4-6 2025'!C:C,1,FALSE),VLOOKUP(F1022,'Raw Platform Nov 4-6 2025'!D:D,1,FALSE)),IFNA(VLOOKUP(F1022,'Glovo Raw Nov 4-6 2025'!B:B,1,FALSE),"Not Matched"))))))</f>
      </c>
      <c r="H1022">
        <f>COUNTIF(F:F,F1022)</f>
      </c>
      <c r="I1022" t="s">
        <v>9719</v>
      </c>
      <c r="J1022" t="s">
        <v>4915</v>
      </c>
      <c r="K1022" t="s">
        <v>4916</v>
      </c>
      <c r="L1022" t="s">
        <v>9720</v>
      </c>
      <c r="M1022" t="s">
        <v>9721</v>
      </c>
      <c r="N1022" t="s">
        <v>9722</v>
      </c>
      <c r="O1022" t="s">
        <v>16</v>
      </c>
      <c r="P1022" t="s">
        <v>6628</v>
      </c>
      <c r="Q1022">
        <v>1302</v>
      </c>
      <c r="R1022" t="s">
        <v>5118</v>
      </c>
      <c r="S1022" t="s">
        <v>172</v>
      </c>
      <c r="T1022" t="s">
        <v>4923</v>
      </c>
      <c r="U1022" t="s">
        <v>4924</v>
      </c>
      <c r="V1022" t="s">
        <v>9723</v>
      </c>
      <c r="W1022" t="s">
        <v>3667</v>
      </c>
      <c r="X1022">
        <v>231.1</v>
      </c>
    </row>
    <row r="1023" spans="1:24" x14ac:dyDescent="0.25">
      <c r="A1023" t="s">
        <v>5176</v>
      </c>
      <c r="B1023" t="s">
        <v>9705</v>
      </c>
      <c r="C1023" t="s">
        <v>9706</v>
      </c>
      <c r="D1023" t="s">
        <v>30</v>
      </c>
      <c r="E1023" t="s">
        <v>4913</v>
      </c>
      <c r="F1023" t="s">
        <v>9724</v>
      </c>
      <c r="G1023">
        <f>IF(K1023="Pick-up","PICKUPS",IF(K1023="Staff drop-off","STAFF_DROPOFF",IF(K1023="Replacements","REPLACEMENT",IF(K1023="Central Stores Dispatch","CENTRAL STORES DISPATCH",IFNA(IFNA(VLOOKUP(F1023,'Raw Platform Nov 4-6 2025'!C:C,1,FALSE),VLOOKUP(F1023,'Raw Platform Nov 4-6 2025'!D:D,1,FALSE)),IFNA(VLOOKUP(F1023,'Glovo Raw Nov 4-6 2025'!B:B,1,FALSE),"Not Matched"))))))</f>
      </c>
      <c r="H1023">
        <f>COUNTIF(F:F,F1023)</f>
      </c>
      <c r="I1023" t="s">
        <v>9725</v>
      </c>
      <c r="J1023" t="s">
        <v>4915</v>
      </c>
      <c r="K1023" t="s">
        <v>4927</v>
      </c>
      <c r="L1023" t="s">
        <v>9726</v>
      </c>
      <c r="M1023" t="s">
        <v>9727</v>
      </c>
      <c r="N1023" t="s">
        <v>9728</v>
      </c>
      <c r="O1023" t="s">
        <v>4956</v>
      </c>
      <c r="P1023" t="s">
        <v>5013</v>
      </c>
      <c r="Q1023">
        <v>0</v>
      </c>
      <c r="R1023" t="s">
        <v>5118</v>
      </c>
      <c r="S1023" t="s">
        <v>29</v>
      </c>
      <c r="T1023" t="s">
        <v>4923</v>
      </c>
      <c r="U1023" t="s">
        <v>4924</v>
      </c>
      <c r="V1023" t="s">
        <v>9729</v>
      </c>
      <c r="W1023" t="s">
        <v>3667</v>
      </c>
      <c r="X1023">
        <v>100</v>
      </c>
    </row>
    <row r="1024" spans="1:24" x14ac:dyDescent="0.25">
      <c r="A1024" t="s">
        <v>5176</v>
      </c>
      <c r="B1024" t="s">
        <v>9705</v>
      </c>
      <c r="C1024" t="s">
        <v>9706</v>
      </c>
      <c r="D1024" t="s">
        <v>30</v>
      </c>
      <c r="E1024" t="s">
        <v>4913</v>
      </c>
      <c r="F1024" t="s">
        <v>1012</v>
      </c>
      <c r="G1024">
        <f>IF(K1024="Pick-up","PICKUPS",IF(K1024="Staff drop-off","STAFF_DROPOFF",IF(K1024="Replacements","REPLACEMENT",IF(K1024="Central Stores Dispatch","CENTRAL STORES DISPATCH",IFNA(IFNA(VLOOKUP(F1024,'Raw Platform Nov 4-6 2025'!C:C,1,FALSE),VLOOKUP(F1024,'Raw Platform Nov 4-6 2025'!D:D,1,FALSE)),IFNA(VLOOKUP(F1024,'Glovo Raw Nov 4-6 2025'!B:B,1,FALSE),"Not Matched"))))))</f>
      </c>
      <c r="H1024">
        <f>COUNTIF(F:F,F1024)</f>
      </c>
      <c r="I1024" t="s">
        <v>9730</v>
      </c>
      <c r="J1024" t="s">
        <v>4915</v>
      </c>
      <c r="K1024" t="s">
        <v>4916</v>
      </c>
      <c r="L1024" t="s">
        <v>9731</v>
      </c>
      <c r="M1024" t="s">
        <v>9732</v>
      </c>
      <c r="N1024" t="s">
        <v>9733</v>
      </c>
      <c r="O1024" t="s">
        <v>9</v>
      </c>
      <c r="P1024" t="s">
        <v>5820</v>
      </c>
      <c r="Q1024">
        <v>1863</v>
      </c>
      <c r="R1024" t="s">
        <v>5118</v>
      </c>
      <c r="S1024" t="s">
        <v>12</v>
      </c>
      <c r="T1024" t="s">
        <v>4923</v>
      </c>
      <c r="U1024" t="s">
        <v>4924</v>
      </c>
      <c r="V1024" t="s">
        <v>9734</v>
      </c>
      <c r="W1024" t="s">
        <v>3667</v>
      </c>
      <c r="X1024">
        <v>139.1</v>
      </c>
    </row>
    <row r="1025" spans="1:24" x14ac:dyDescent="0.25">
      <c r="A1025" t="s">
        <v>5176</v>
      </c>
      <c r="B1025" t="s">
        <v>9705</v>
      </c>
      <c r="C1025" t="s">
        <v>9706</v>
      </c>
      <c r="D1025" t="s">
        <v>30</v>
      </c>
      <c r="E1025" t="s">
        <v>4913</v>
      </c>
      <c r="F1025" t="s">
        <v>574</v>
      </c>
      <c r="G1025">
        <f>IF(K1025="Pick-up","PICKUPS",IF(K1025="Staff drop-off","STAFF_DROPOFF",IF(K1025="Replacements","REPLACEMENT",IF(K1025="Central Stores Dispatch","CENTRAL STORES DISPATCH",IFNA(IFNA(VLOOKUP(F1025,'Raw Platform Nov 4-6 2025'!C:C,1,FALSE),VLOOKUP(F1025,'Raw Platform Nov 4-6 2025'!D:D,1,FALSE)),IFNA(VLOOKUP(F1025,'Glovo Raw Nov 4-6 2025'!B:B,1,FALSE),"Not Matched"))))))</f>
      </c>
      <c r="H1025">
        <f>COUNTIF(F:F,F1025)</f>
      </c>
      <c r="I1025" t="s">
        <v>9735</v>
      </c>
      <c r="J1025" t="s">
        <v>4915</v>
      </c>
      <c r="K1025" t="s">
        <v>4927</v>
      </c>
      <c r="L1025" t="s">
        <v>9439</v>
      </c>
      <c r="M1025" t="s">
        <v>9440</v>
      </c>
      <c r="N1025" t="s">
        <v>5972</v>
      </c>
      <c r="O1025" t="s">
        <v>123</v>
      </c>
      <c r="P1025" t="s">
        <v>5820</v>
      </c>
      <c r="Q1025">
        <v>0</v>
      </c>
      <c r="R1025" t="s">
        <v>5118</v>
      </c>
      <c r="S1025" t="s">
        <v>29</v>
      </c>
      <c r="T1025" t="s">
        <v>4923</v>
      </c>
      <c r="U1025" t="s">
        <v>4924</v>
      </c>
      <c r="V1025" t="s">
        <v>9736</v>
      </c>
      <c r="W1025" t="s">
        <v>3667</v>
      </c>
      <c r="X1025">
        <v>139.1</v>
      </c>
    </row>
    <row r="1026" spans="1:24" x14ac:dyDescent="0.25">
      <c r="A1026" t="s">
        <v>5176</v>
      </c>
      <c r="B1026" t="s">
        <v>9705</v>
      </c>
      <c r="C1026" t="s">
        <v>9706</v>
      </c>
      <c r="D1026" t="s">
        <v>30</v>
      </c>
      <c r="E1026" t="s">
        <v>4913</v>
      </c>
      <c r="F1026" t="s">
        <v>3379</v>
      </c>
      <c r="G1026">
        <f>IF(K1026="Pick-up","PICKUPS",IF(K1026="Staff drop-off","STAFF_DROPOFF",IF(K1026="Replacements","REPLACEMENT",IF(K1026="Central Stores Dispatch","CENTRAL STORES DISPATCH",IFNA(IFNA(VLOOKUP(F1026,'Raw Platform Nov 4-6 2025'!C:C,1,FALSE),VLOOKUP(F1026,'Raw Platform Nov 4-6 2025'!D:D,1,FALSE)),IFNA(VLOOKUP(F1026,'Glovo Raw Nov 4-6 2025'!B:B,1,FALSE),"Not Matched"))))))</f>
      </c>
      <c r="H1026">
        <f>COUNTIF(F:F,F1026)</f>
      </c>
      <c r="I1026" t="s">
        <v>9737</v>
      </c>
      <c r="J1026" t="s">
        <v>4915</v>
      </c>
      <c r="K1026" t="s">
        <v>4927</v>
      </c>
      <c r="L1026" t="s">
        <v>9738</v>
      </c>
      <c r="M1026" t="s">
        <v>9739</v>
      </c>
      <c r="N1026" t="s">
        <v>5424</v>
      </c>
      <c r="O1026" t="s">
        <v>2009</v>
      </c>
      <c r="P1026" t="s">
        <v>5019</v>
      </c>
      <c r="Q1026">
        <v>0</v>
      </c>
      <c r="R1026" t="s">
        <v>5118</v>
      </c>
      <c r="S1026" t="s">
        <v>172</v>
      </c>
      <c r="T1026" t="s">
        <v>4923</v>
      </c>
      <c r="U1026" t="s">
        <v>4924</v>
      </c>
      <c r="V1026" t="s">
        <v>9740</v>
      </c>
      <c r="W1026" t="s">
        <v>3667</v>
      </c>
      <c r="X1026">
        <v>100</v>
      </c>
    </row>
    <row r="1027" spans="1:24" x14ac:dyDescent="0.25">
      <c r="A1027" t="s">
        <v>5176</v>
      </c>
      <c r="B1027" t="s">
        <v>9705</v>
      </c>
      <c r="C1027" t="s">
        <v>9706</v>
      </c>
      <c r="D1027" t="s">
        <v>30</v>
      </c>
      <c r="E1027" t="s">
        <v>4913</v>
      </c>
      <c r="F1027" t="s">
        <v>9741</v>
      </c>
      <c r="G1027">
        <f>IF(K1027="Pick-up","PICKUPS",IF(K1027="Staff drop-off","STAFF_DROPOFF",IF(K1027="Replacements","REPLACEMENT",IF(K1027="Central Stores Dispatch","CENTRAL STORES DISPATCH",IFNA(IFNA(VLOOKUP(F1027,'Raw Platform Nov 4-6 2025'!C:C,1,FALSE),VLOOKUP(F1027,'Raw Platform Nov 4-6 2025'!D:D,1,FALSE)),IFNA(VLOOKUP(F1027,'Glovo Raw Nov 4-6 2025'!B:B,1,FALSE),"Not Matched"))))))</f>
      </c>
      <c r="H1027">
        <f>COUNTIF(F:F,F1027)</f>
      </c>
      <c r="I1027" t="s">
        <v>9742</v>
      </c>
      <c r="J1027" t="s">
        <v>5289</v>
      </c>
      <c r="K1027" t="s">
        <v>4927</v>
      </c>
      <c r="L1027" t="s">
        <v>5326</v>
      </c>
      <c r="M1027" t="s">
        <v>5327</v>
      </c>
      <c r="N1027" t="s">
        <v>5292</v>
      </c>
      <c r="O1027" t="s">
        <v>100</v>
      </c>
      <c r="P1027" t="s">
        <v>5328</v>
      </c>
      <c r="Q1027">
        <v>0</v>
      </c>
      <c r="R1027" t="s">
        <v>5118</v>
      </c>
      <c r="S1027" t="s">
        <v>116</v>
      </c>
      <c r="T1027" t="s">
        <v>4923</v>
      </c>
      <c r="U1027" t="s">
        <v>4924</v>
      </c>
      <c r="V1027" t="s">
        <v>9743</v>
      </c>
      <c r="W1027" t="s">
        <v>3667</v>
      </c>
      <c r="X1027">
        <v>205.8</v>
      </c>
    </row>
    <row r="1028" spans="1:24" x14ac:dyDescent="0.25">
      <c r="A1028" t="s">
        <v>5176</v>
      </c>
      <c r="B1028" t="s">
        <v>9705</v>
      </c>
      <c r="C1028" t="s">
        <v>9706</v>
      </c>
      <c r="D1028" t="s">
        <v>30</v>
      </c>
      <c r="E1028" t="s">
        <v>4913</v>
      </c>
      <c r="F1028" t="s">
        <v>3408</v>
      </c>
      <c r="G1028">
        <f>IF(K1028="Pick-up","PICKUPS",IF(K1028="Staff drop-off","STAFF_DROPOFF",IF(K1028="Replacements","REPLACEMENT",IF(K1028="Central Stores Dispatch","CENTRAL STORES DISPATCH",IFNA(IFNA(VLOOKUP(F1028,'Raw Platform Nov 4-6 2025'!C:C,1,FALSE),VLOOKUP(F1028,'Raw Platform Nov 4-6 2025'!D:D,1,FALSE)),IFNA(VLOOKUP(F1028,'Glovo Raw Nov 4-6 2025'!B:B,1,FALSE),"Not Matched"))))))</f>
      </c>
      <c r="H1028">
        <f>COUNTIF(F:F,F1028)</f>
      </c>
      <c r="I1028" t="s">
        <v>9744</v>
      </c>
      <c r="J1028" t="s">
        <v>4915</v>
      </c>
      <c r="K1028" t="s">
        <v>4927</v>
      </c>
      <c r="L1028" t="s">
        <v>8848</v>
      </c>
      <c r="M1028" t="s">
        <v>5258</v>
      </c>
      <c r="N1028" t="s">
        <v>8849</v>
      </c>
      <c r="O1028" t="s">
        <v>47</v>
      </c>
      <c r="P1028" t="s">
        <v>5541</v>
      </c>
      <c r="Q1028">
        <v>0</v>
      </c>
      <c r="R1028" t="s">
        <v>5118</v>
      </c>
      <c r="S1028" t="s">
        <v>172</v>
      </c>
      <c r="T1028" t="s">
        <v>4923</v>
      </c>
      <c r="U1028" t="s">
        <v>4924</v>
      </c>
      <c r="V1028" t="s">
        <v>9745</v>
      </c>
      <c r="W1028" t="s">
        <v>3667</v>
      </c>
      <c r="X1028">
        <v>100</v>
      </c>
    </row>
    <row r="1029" spans="1:24" x14ac:dyDescent="0.25">
      <c r="A1029" t="s">
        <v>5176</v>
      </c>
      <c r="B1029" t="s">
        <v>9705</v>
      </c>
      <c r="C1029" t="s">
        <v>9706</v>
      </c>
      <c r="D1029" t="s">
        <v>30</v>
      </c>
      <c r="E1029" t="s">
        <v>4913</v>
      </c>
      <c r="F1029" t="s">
        <v>2779</v>
      </c>
      <c r="G1029">
        <f>IF(K1029="Pick-up","PICKUPS",IF(K1029="Staff drop-off","STAFF_DROPOFF",IF(K1029="Replacements","REPLACEMENT",IF(K1029="Central Stores Dispatch","CENTRAL STORES DISPATCH",IFNA(IFNA(VLOOKUP(F1029,'Raw Platform Nov 4-6 2025'!C:C,1,FALSE),VLOOKUP(F1029,'Raw Platform Nov 4-6 2025'!D:D,1,FALSE)),IFNA(VLOOKUP(F1029,'Glovo Raw Nov 4-6 2025'!B:B,1,FALSE),"Not Matched"))))))</f>
      </c>
      <c r="H1029">
        <f>COUNTIF(F:F,F1029)</f>
      </c>
      <c r="I1029" t="s">
        <v>9746</v>
      </c>
      <c r="J1029" t="s">
        <v>4915</v>
      </c>
      <c r="K1029" t="s">
        <v>4927</v>
      </c>
      <c r="L1029" t="s">
        <v>9747</v>
      </c>
      <c r="M1029" t="s">
        <v>5327</v>
      </c>
      <c r="N1029" t="s">
        <v>8286</v>
      </c>
      <c r="O1029" t="s">
        <v>9</v>
      </c>
      <c r="P1029" t="s">
        <v>5032</v>
      </c>
      <c r="Q1029">
        <v>0</v>
      </c>
      <c r="R1029" t="s">
        <v>5118</v>
      </c>
      <c r="S1029" t="s">
        <v>29</v>
      </c>
      <c r="T1029" t="s">
        <v>4923</v>
      </c>
      <c r="U1029" t="s">
        <v>4924</v>
      </c>
      <c r="V1029" t="s">
        <v>9748</v>
      </c>
      <c r="W1029" t="s">
        <v>3667</v>
      </c>
      <c r="X1029">
        <v>159.8</v>
      </c>
    </row>
    <row r="1030" spans="1:24" x14ac:dyDescent="0.25">
      <c r="A1030" t="s">
        <v>5176</v>
      </c>
      <c r="B1030" t="s">
        <v>9705</v>
      </c>
      <c r="C1030" t="s">
        <v>9706</v>
      </c>
      <c r="D1030" t="s">
        <v>30</v>
      </c>
      <c r="E1030" t="s">
        <v>4913</v>
      </c>
      <c r="F1030" t="s">
        <v>3489</v>
      </c>
      <c r="G1030">
        <f>IF(K1030="Pick-up","PICKUPS",IF(K1030="Staff drop-off","STAFF_DROPOFF",IF(K1030="Replacements","REPLACEMENT",IF(K1030="Central Stores Dispatch","CENTRAL STORES DISPATCH",IFNA(IFNA(VLOOKUP(F1030,'Raw Platform Nov 4-6 2025'!C:C,1,FALSE),VLOOKUP(F1030,'Raw Platform Nov 4-6 2025'!D:D,1,FALSE)),IFNA(VLOOKUP(F1030,'Glovo Raw Nov 4-6 2025'!B:B,1,FALSE),"Not Matched"))))))</f>
      </c>
      <c r="H1030">
        <f>COUNTIF(F:F,F1030)</f>
      </c>
      <c r="I1030" t="s">
        <v>9749</v>
      </c>
      <c r="J1030" t="s">
        <v>4915</v>
      </c>
      <c r="K1030" t="s">
        <v>4927</v>
      </c>
      <c r="L1030" t="s">
        <v>5523</v>
      </c>
      <c r="M1030" t="s">
        <v>5524</v>
      </c>
      <c r="N1030" t="s">
        <v>4973</v>
      </c>
      <c r="O1030" t="s">
        <v>123</v>
      </c>
      <c r="P1030" t="s">
        <v>5820</v>
      </c>
      <c r="Q1030">
        <v>0</v>
      </c>
      <c r="R1030" t="s">
        <v>5118</v>
      </c>
      <c r="S1030" t="s">
        <v>12</v>
      </c>
      <c r="T1030" t="s">
        <v>4923</v>
      </c>
      <c r="U1030" t="s">
        <v>4924</v>
      </c>
      <c r="V1030" t="s">
        <v>9750</v>
      </c>
      <c r="W1030" t="s">
        <v>3667</v>
      </c>
      <c r="X1030">
        <v>139.1</v>
      </c>
    </row>
    <row r="1031" spans="1:24" x14ac:dyDescent="0.25">
      <c r="A1031" t="s">
        <v>5176</v>
      </c>
      <c r="B1031" t="s">
        <v>9705</v>
      </c>
      <c r="C1031" t="s">
        <v>9706</v>
      </c>
      <c r="D1031" t="s">
        <v>30</v>
      </c>
      <c r="E1031" t="s">
        <v>4913</v>
      </c>
      <c r="F1031" t="s">
        <v>2660</v>
      </c>
      <c r="G1031">
        <f>IF(K1031="Pick-up","PICKUPS",IF(K1031="Staff drop-off","STAFF_DROPOFF",IF(K1031="Replacements","REPLACEMENT",IF(K1031="Central Stores Dispatch","CENTRAL STORES DISPATCH",IFNA(IFNA(VLOOKUP(F1031,'Raw Platform Nov 4-6 2025'!C:C,1,FALSE),VLOOKUP(F1031,'Raw Platform Nov 4-6 2025'!D:D,1,FALSE)),IFNA(VLOOKUP(F1031,'Glovo Raw Nov 4-6 2025'!B:B,1,FALSE),"Not Matched"))))))</f>
      </c>
      <c r="H1031">
        <f>COUNTIF(F:F,F1031)</f>
      </c>
      <c r="I1031" t="s">
        <v>9751</v>
      </c>
      <c r="J1031" t="s">
        <v>4915</v>
      </c>
      <c r="K1031" t="s">
        <v>4927</v>
      </c>
      <c r="L1031" t="s">
        <v>9752</v>
      </c>
      <c r="M1031" t="s">
        <v>5327</v>
      </c>
      <c r="N1031" t="s">
        <v>9753</v>
      </c>
      <c r="O1031" t="s">
        <v>4956</v>
      </c>
      <c r="P1031" t="s">
        <v>5007</v>
      </c>
      <c r="Q1031">
        <v>0</v>
      </c>
      <c r="R1031" t="s">
        <v>5118</v>
      </c>
      <c r="S1031" t="s">
        <v>172</v>
      </c>
      <c r="T1031" t="s">
        <v>4923</v>
      </c>
      <c r="U1031" t="s">
        <v>4924</v>
      </c>
      <c r="V1031" t="s">
        <v>9754</v>
      </c>
      <c r="W1031" t="s">
        <v>3667</v>
      </c>
      <c r="X1031">
        <v>100</v>
      </c>
    </row>
    <row r="1032" spans="1:24" x14ac:dyDescent="0.25">
      <c r="A1032" t="s">
        <v>5176</v>
      </c>
      <c r="B1032" t="s">
        <v>9705</v>
      </c>
      <c r="C1032" t="s">
        <v>9706</v>
      </c>
      <c r="D1032" t="s">
        <v>30</v>
      </c>
      <c r="E1032" t="s">
        <v>4913</v>
      </c>
      <c r="F1032" t="s">
        <v>3343</v>
      </c>
      <c r="G1032">
        <f>IF(K1032="Pick-up","PICKUPS",IF(K1032="Staff drop-off","STAFF_DROPOFF",IF(K1032="Replacements","REPLACEMENT",IF(K1032="Central Stores Dispatch","CENTRAL STORES DISPATCH",IFNA(IFNA(VLOOKUP(F1032,'Raw Platform Nov 4-6 2025'!C:C,1,FALSE),VLOOKUP(F1032,'Raw Platform Nov 4-6 2025'!D:D,1,FALSE)),IFNA(VLOOKUP(F1032,'Glovo Raw Nov 4-6 2025'!B:B,1,FALSE),"Not Matched"))))))</f>
      </c>
      <c r="H1032">
        <f>COUNTIF(F:F,F1032)</f>
      </c>
      <c r="I1032" t="s">
        <v>9755</v>
      </c>
      <c r="J1032" t="s">
        <v>4915</v>
      </c>
      <c r="K1032" t="s">
        <v>4927</v>
      </c>
      <c r="L1032" t="s">
        <v>9756</v>
      </c>
      <c r="M1032" t="s">
        <v>9757</v>
      </c>
      <c r="N1032" t="s">
        <v>9758</v>
      </c>
      <c r="O1032" t="s">
        <v>47</v>
      </c>
      <c r="P1032" t="s">
        <v>5019</v>
      </c>
      <c r="Q1032">
        <v>0</v>
      </c>
      <c r="R1032" t="s">
        <v>5118</v>
      </c>
      <c r="S1032" t="s">
        <v>172</v>
      </c>
      <c r="T1032" t="s">
        <v>4923</v>
      </c>
      <c r="U1032" t="s">
        <v>4924</v>
      </c>
      <c r="V1032" t="s">
        <v>9759</v>
      </c>
      <c r="W1032" t="s">
        <v>3667</v>
      </c>
      <c r="X1032">
        <v>100</v>
      </c>
    </row>
    <row r="1033" spans="1:24" x14ac:dyDescent="0.25">
      <c r="A1033" t="s">
        <v>5176</v>
      </c>
      <c r="B1033" t="s">
        <v>9705</v>
      </c>
      <c r="C1033" t="s">
        <v>9706</v>
      </c>
      <c r="D1033" t="s">
        <v>30</v>
      </c>
      <c r="E1033" t="s">
        <v>4913</v>
      </c>
      <c r="F1033" t="s">
        <v>2976</v>
      </c>
      <c r="G1033">
        <f>IF(K1033="Pick-up","PICKUPS",IF(K1033="Staff drop-off","STAFF_DROPOFF",IF(K1033="Replacements","REPLACEMENT",IF(K1033="Central Stores Dispatch","CENTRAL STORES DISPATCH",IFNA(IFNA(VLOOKUP(F1033,'Raw Platform Nov 4-6 2025'!C:C,1,FALSE),VLOOKUP(F1033,'Raw Platform Nov 4-6 2025'!D:D,1,FALSE)),IFNA(VLOOKUP(F1033,'Glovo Raw Nov 4-6 2025'!B:B,1,FALSE),"Not Matched"))))))</f>
      </c>
      <c r="H1033">
        <f>COUNTIF(F:F,F1033)</f>
      </c>
      <c r="I1033" t="s">
        <v>9760</v>
      </c>
      <c r="J1033" t="s">
        <v>5028</v>
      </c>
      <c r="K1033" t="s">
        <v>4927</v>
      </c>
      <c r="L1033" t="s">
        <v>7743</v>
      </c>
      <c r="M1033" t="s">
        <v>9761</v>
      </c>
      <c r="N1033" t="s">
        <v>9762</v>
      </c>
      <c r="O1033" t="s">
        <v>53</v>
      </c>
      <c r="P1033" t="s">
        <v>4990</v>
      </c>
      <c r="Q1033">
        <v>1280</v>
      </c>
      <c r="R1033" t="s">
        <v>5118</v>
      </c>
      <c r="S1033" t="s">
        <v>29</v>
      </c>
      <c r="T1033" t="s">
        <v>4923</v>
      </c>
      <c r="U1033" t="s">
        <v>4924</v>
      </c>
      <c r="V1033" t="s">
        <v>9763</v>
      </c>
      <c r="W1033" t="s">
        <v>3667</v>
      </c>
      <c r="X1033">
        <v>111.5</v>
      </c>
    </row>
    <row r="1034" spans="1:24" x14ac:dyDescent="0.25">
      <c r="A1034" t="s">
        <v>5176</v>
      </c>
      <c r="B1034" t="s">
        <v>9705</v>
      </c>
      <c r="C1034" t="s">
        <v>9706</v>
      </c>
      <c r="D1034" t="s">
        <v>30</v>
      </c>
      <c r="E1034" t="s">
        <v>5034</v>
      </c>
      <c r="F1034" t="s">
        <v>2814</v>
      </c>
      <c r="G1034">
        <f>IF(K1034="Pick-up","PICKUPS",IF(K1034="Staff drop-off","STAFF_DROPOFF",IF(K1034="Replacements","REPLACEMENT",IF(K1034="Central Stores Dispatch","CENTRAL STORES DISPATCH",IFNA(IFNA(VLOOKUP(F1034,'Raw Platform Nov 4-6 2025'!C:C,1,FALSE),VLOOKUP(F1034,'Raw Platform Nov 4-6 2025'!D:D,1,FALSE)),IFNA(VLOOKUP(F1034,'Glovo Raw Nov 4-6 2025'!B:B,1,FALSE),"Not Matched"))))))</f>
      </c>
      <c r="H1034">
        <f>COUNTIF(F:F,F1034)</f>
      </c>
      <c r="I1034" t="s">
        <v>9764</v>
      </c>
      <c r="J1034" t="s">
        <v>4915</v>
      </c>
      <c r="K1034" t="s">
        <v>4927</v>
      </c>
      <c r="L1034" t="s">
        <v>6790</v>
      </c>
      <c r="M1034" t="s">
        <v>6791</v>
      </c>
      <c r="N1034" t="s">
        <v>4973</v>
      </c>
      <c r="O1034" t="s">
        <v>123</v>
      </c>
      <c r="P1034" t="s">
        <v>5820</v>
      </c>
      <c r="Q1034">
        <v>0</v>
      </c>
      <c r="R1034" t="s">
        <v>5118</v>
      </c>
      <c r="S1034" t="s">
        <v>12</v>
      </c>
      <c r="T1034" t="s">
        <v>4923</v>
      </c>
      <c r="U1034" t="s">
        <v>4923</v>
      </c>
      <c r="V1034" t="s">
        <v>9765</v>
      </c>
      <c r="W1034" t="s">
        <v>3667</v>
      </c>
      <c r="X1034">
        <v>0</v>
      </c>
    </row>
    <row r="1035" spans="1:24" x14ac:dyDescent="0.25">
      <c r="A1035" t="s">
        <v>5176</v>
      </c>
      <c r="B1035" t="s">
        <v>9705</v>
      </c>
      <c r="C1035" t="s">
        <v>9706</v>
      </c>
      <c r="D1035" t="s">
        <v>30</v>
      </c>
      <c r="E1035" t="s">
        <v>4913</v>
      </c>
      <c r="F1035" t="s">
        <v>2814</v>
      </c>
      <c r="G1035">
        <f>IF(K1035="Pick-up","PICKUPS",IF(K1035="Staff drop-off","STAFF_DROPOFF",IF(K1035="Replacements","REPLACEMENT",IF(K1035="Central Stores Dispatch","CENTRAL STORES DISPATCH",IFNA(IFNA(VLOOKUP(F1035,'Raw Platform Nov 4-6 2025'!C:C,1,FALSE),VLOOKUP(F1035,'Raw Platform Nov 4-6 2025'!D:D,1,FALSE)),IFNA(VLOOKUP(F1035,'Glovo Raw Nov 4-6 2025'!B:B,1,FALSE),"Not Matched"))))))</f>
      </c>
      <c r="H1035">
        <f>COUNTIF(F:F,F1035)</f>
      </c>
      <c r="I1035" t="s">
        <v>9764</v>
      </c>
      <c r="J1035" t="s">
        <v>4915</v>
      </c>
      <c r="K1035" t="s">
        <v>4927</v>
      </c>
      <c r="L1035" t="s">
        <v>6790</v>
      </c>
      <c r="M1035" t="s">
        <v>6791</v>
      </c>
      <c r="N1035" t="s">
        <v>4973</v>
      </c>
      <c r="O1035" t="s">
        <v>123</v>
      </c>
      <c r="P1035" t="s">
        <v>5820</v>
      </c>
      <c r="Q1035">
        <v>0</v>
      </c>
      <c r="R1035" t="s">
        <v>5118</v>
      </c>
      <c r="S1035" t="s">
        <v>12</v>
      </c>
      <c r="T1035" t="s">
        <v>4923</v>
      </c>
      <c r="U1035" t="s">
        <v>4924</v>
      </c>
      <c r="V1035" t="s">
        <v>9766</v>
      </c>
      <c r="W1035" t="s">
        <v>3667</v>
      </c>
      <c r="X1035">
        <v>139.1</v>
      </c>
    </row>
    <row r="1036" spans="1:24" x14ac:dyDescent="0.25">
      <c r="A1036" t="s">
        <v>4910</v>
      </c>
      <c r="B1036" t="s">
        <v>9767</v>
      </c>
      <c r="C1036" t="s">
        <v>9768</v>
      </c>
      <c r="D1036" t="s">
        <v>13</v>
      </c>
      <c r="E1036" t="s">
        <v>4913</v>
      </c>
      <c r="F1036" t="s">
        <v>1402</v>
      </c>
      <c r="G1036">
        <f>IF(K1036="Pick-up","PICKUPS",IF(K1036="Staff drop-off","STAFF_DROPOFF",IF(K1036="Replacements","REPLACEMENT",IF(K1036="Central Stores Dispatch","CENTRAL STORES DISPATCH",IFNA(IFNA(VLOOKUP(F1036,'Raw Platform Nov 4-6 2025'!C:C,1,FALSE),VLOOKUP(F1036,'Raw Platform Nov 4-6 2025'!D:D,1,FALSE)),IFNA(VLOOKUP(F1036,'Glovo Raw Nov 4-6 2025'!B:B,1,FALSE),"Not Matched"))))))</f>
      </c>
      <c r="H1036">
        <f>COUNTIF(F:F,F1036)</f>
      </c>
      <c r="I1036" t="s">
        <v>9769</v>
      </c>
      <c r="J1036" t="s">
        <v>4915</v>
      </c>
      <c r="K1036" t="s">
        <v>4927</v>
      </c>
      <c r="L1036" t="s">
        <v>9770</v>
      </c>
      <c r="M1036" t="s">
        <v>9771</v>
      </c>
      <c r="N1036" t="s">
        <v>9772</v>
      </c>
      <c r="O1036" t="s">
        <v>4962</v>
      </c>
      <c r="P1036" t="s">
        <v>5541</v>
      </c>
      <c r="Q1036">
        <v>0</v>
      </c>
      <c r="R1036" t="s">
        <v>4922</v>
      </c>
      <c r="S1036" t="s">
        <v>12</v>
      </c>
      <c r="T1036" t="s">
        <v>4923</v>
      </c>
      <c r="U1036" t="s">
        <v>4924</v>
      </c>
      <c r="V1036" t="s">
        <v>9773</v>
      </c>
      <c r="W1036" t="s">
        <v>3667</v>
      </c>
      <c r="X1036">
        <v>100</v>
      </c>
    </row>
    <row r="1037" spans="1:24" x14ac:dyDescent="0.25">
      <c r="A1037" t="s">
        <v>4910</v>
      </c>
      <c r="B1037" t="s">
        <v>9767</v>
      </c>
      <c r="C1037" t="s">
        <v>9768</v>
      </c>
      <c r="D1037" t="s">
        <v>13</v>
      </c>
      <c r="E1037" t="s">
        <v>4913</v>
      </c>
      <c r="F1037" t="s">
        <v>411</v>
      </c>
      <c r="G1037">
        <f>IF(K1037="Pick-up","PICKUPS",IF(K1037="Staff drop-off","STAFF_DROPOFF",IF(K1037="Replacements","REPLACEMENT",IF(K1037="Central Stores Dispatch","CENTRAL STORES DISPATCH",IFNA(IFNA(VLOOKUP(F1037,'Raw Platform Nov 4-6 2025'!C:C,1,FALSE),VLOOKUP(F1037,'Raw Platform Nov 4-6 2025'!D:D,1,FALSE)),IFNA(VLOOKUP(F1037,'Glovo Raw Nov 4-6 2025'!B:B,1,FALSE),"Not Matched"))))))</f>
      </c>
      <c r="H1037">
        <f>COUNTIF(F:F,F1037)</f>
      </c>
      <c r="I1037" t="s">
        <v>9774</v>
      </c>
      <c r="J1037" t="s">
        <v>4915</v>
      </c>
      <c r="K1037" t="s">
        <v>4927</v>
      </c>
      <c r="L1037" t="s">
        <v>9775</v>
      </c>
      <c r="M1037" t="s">
        <v>4918</v>
      </c>
      <c r="N1037" t="s">
        <v>5072</v>
      </c>
      <c r="O1037" t="s">
        <v>4949</v>
      </c>
      <c r="P1037" t="s">
        <v>4920</v>
      </c>
      <c r="Q1037">
        <v>0</v>
      </c>
      <c r="R1037" t="s">
        <v>4922</v>
      </c>
      <c r="S1037" t="s">
        <v>12</v>
      </c>
      <c r="T1037" t="s">
        <v>4923</v>
      </c>
      <c r="U1037" t="s">
        <v>4924</v>
      </c>
      <c r="V1037" t="s">
        <v>9776</v>
      </c>
      <c r="W1037" t="s">
        <v>3667</v>
      </c>
      <c r="X1037">
        <v>100</v>
      </c>
    </row>
    <row r="1038" spans="1:24" x14ac:dyDescent="0.25">
      <c r="A1038" t="s">
        <v>4910</v>
      </c>
      <c r="B1038" t="s">
        <v>9767</v>
      </c>
      <c r="C1038" t="s">
        <v>9768</v>
      </c>
      <c r="D1038" t="s">
        <v>13</v>
      </c>
      <c r="E1038" t="s">
        <v>4913</v>
      </c>
      <c r="F1038" t="s">
        <v>901</v>
      </c>
      <c r="G1038">
        <f>IF(K1038="Pick-up","PICKUPS",IF(K1038="Staff drop-off","STAFF_DROPOFF",IF(K1038="Replacements","REPLACEMENT",IF(K1038="Central Stores Dispatch","CENTRAL STORES DISPATCH",IFNA(IFNA(VLOOKUP(F1038,'Raw Platform Nov 4-6 2025'!C:C,1,FALSE),VLOOKUP(F1038,'Raw Platform Nov 4-6 2025'!D:D,1,FALSE)),IFNA(VLOOKUP(F1038,'Glovo Raw Nov 4-6 2025'!B:B,1,FALSE),"Not Matched"))))))</f>
      </c>
      <c r="H1038">
        <f>COUNTIF(F:F,F1038)</f>
      </c>
      <c r="I1038" t="s">
        <v>9777</v>
      </c>
      <c r="J1038" t="s">
        <v>4915</v>
      </c>
      <c r="K1038" t="s">
        <v>4916</v>
      </c>
      <c r="L1038" t="s">
        <v>9778</v>
      </c>
      <c r="M1038" t="s">
        <v>9779</v>
      </c>
      <c r="N1038" t="s">
        <v>9780</v>
      </c>
      <c r="O1038" t="s">
        <v>47</v>
      </c>
      <c r="P1038" t="s">
        <v>5820</v>
      </c>
      <c r="Q1038">
        <v>1610</v>
      </c>
      <c r="R1038" t="s">
        <v>4922</v>
      </c>
      <c r="S1038" t="s">
        <v>12</v>
      </c>
      <c r="T1038" t="s">
        <v>4923</v>
      </c>
      <c r="U1038" t="s">
        <v>4924</v>
      </c>
      <c r="V1038" t="s">
        <v>9781</v>
      </c>
      <c r="W1038" t="s">
        <v>3667</v>
      </c>
      <c r="X1038">
        <v>139.1</v>
      </c>
    </row>
    <row r="1039" spans="1:24" x14ac:dyDescent="0.25">
      <c r="A1039" t="s">
        <v>4932</v>
      </c>
      <c r="B1039" t="s">
        <v>9767</v>
      </c>
      <c r="C1039" t="s">
        <v>9768</v>
      </c>
      <c r="D1039" t="s">
        <v>13</v>
      </c>
      <c r="E1039" t="s">
        <v>4913</v>
      </c>
      <c r="F1039" t="s">
        <v>1354</v>
      </c>
      <c r="G1039">
        <f>IF(K1039="Pick-up","PICKUPS",IF(K1039="Staff drop-off","STAFF_DROPOFF",IF(K1039="Replacements","REPLACEMENT",IF(K1039="Central Stores Dispatch","CENTRAL STORES DISPATCH",IFNA(IFNA(VLOOKUP(F1039,'Raw Platform Nov 4-6 2025'!C:C,1,FALSE),VLOOKUP(F1039,'Raw Platform Nov 4-6 2025'!D:D,1,FALSE)),IFNA(VLOOKUP(F1039,'Glovo Raw Nov 4-6 2025'!B:B,1,FALSE),"Not Matched"))))))</f>
      </c>
      <c r="H1039">
        <f>COUNTIF(F:F,F1039)</f>
      </c>
      <c r="I1039" t="s">
        <v>9782</v>
      </c>
      <c r="J1039" t="s">
        <v>4915</v>
      </c>
      <c r="K1039" t="s">
        <v>4927</v>
      </c>
      <c r="L1039" t="s">
        <v>9783</v>
      </c>
      <c r="M1039" t="s">
        <v>9784</v>
      </c>
      <c r="N1039" t="s">
        <v>9785</v>
      </c>
      <c r="O1039" t="s">
        <v>4962</v>
      </c>
      <c r="P1039" t="s">
        <v>5097</v>
      </c>
      <c r="Q1039">
        <v>0</v>
      </c>
      <c r="R1039" t="s">
        <v>4922</v>
      </c>
      <c r="S1039" t="s">
        <v>29</v>
      </c>
      <c r="T1039" t="s">
        <v>4923</v>
      </c>
      <c r="U1039" t="s">
        <v>4924</v>
      </c>
      <c r="V1039" t="s">
        <v>9786</v>
      </c>
      <c r="W1039" t="s">
        <v>3667</v>
      </c>
      <c r="X1039">
        <v>100</v>
      </c>
    </row>
    <row r="1040" spans="1:24" x14ac:dyDescent="0.25">
      <c r="A1040" t="s">
        <v>4932</v>
      </c>
      <c r="B1040" t="s">
        <v>9767</v>
      </c>
      <c r="C1040" t="s">
        <v>9768</v>
      </c>
      <c r="D1040" t="s">
        <v>13</v>
      </c>
      <c r="E1040" t="s">
        <v>4913</v>
      </c>
      <c r="F1040" t="s">
        <v>9787</v>
      </c>
      <c r="G1040">
        <f>IF(K1040="Pick-up","PICKUPS",IF(K1040="Staff drop-off","STAFF_DROPOFF",IF(K1040="Replacements","REPLACEMENT",IF(K1040="Central Stores Dispatch","CENTRAL STORES DISPATCH",IFNA(IFNA(VLOOKUP(F1040,'Raw Platform Nov 4-6 2025'!C:C,1,FALSE),VLOOKUP(F1040,'Raw Platform Nov 4-6 2025'!D:D,1,FALSE)),IFNA(VLOOKUP(F1040,'Glovo Raw Nov 4-6 2025'!B:B,1,FALSE),"Not Matched"))))))</f>
      </c>
      <c r="H1040">
        <f>COUNTIF(F:F,F1040)</f>
      </c>
      <c r="I1040" t="s">
        <v>9788</v>
      </c>
      <c r="J1040" t="s">
        <v>5289</v>
      </c>
      <c r="K1040" t="s">
        <v>4927</v>
      </c>
      <c r="L1040" t="s">
        <v>5290</v>
      </c>
      <c r="M1040" t="s">
        <v>5291</v>
      </c>
      <c r="N1040" t="s">
        <v>8987</v>
      </c>
      <c r="O1040" t="s">
        <v>5013</v>
      </c>
      <c r="P1040" t="s">
        <v>5810</v>
      </c>
      <c r="Q1040">
        <v>0</v>
      </c>
      <c r="R1040" t="s">
        <v>4922</v>
      </c>
      <c r="S1040" t="s">
        <v>29</v>
      </c>
      <c r="T1040" t="s">
        <v>4923</v>
      </c>
      <c r="U1040" t="s">
        <v>4924</v>
      </c>
      <c r="V1040" t="s">
        <v>9789</v>
      </c>
      <c r="W1040" t="s">
        <v>3667</v>
      </c>
      <c r="X1040">
        <v>100</v>
      </c>
    </row>
    <row r="1041" spans="1:24" x14ac:dyDescent="0.25">
      <c r="A1041" t="s">
        <v>4910</v>
      </c>
      <c r="B1041" t="s">
        <v>9767</v>
      </c>
      <c r="C1041" t="s">
        <v>9768</v>
      </c>
      <c r="D1041" t="s">
        <v>13</v>
      </c>
      <c r="E1041" t="s">
        <v>4913</v>
      </c>
      <c r="F1041" t="s">
        <v>9790</v>
      </c>
      <c r="G1041">
        <f>IF(K1041="Pick-up","PICKUPS",IF(K1041="Staff drop-off","STAFF_DROPOFF",IF(K1041="Replacements","REPLACEMENT",IF(K1041="Central Stores Dispatch","CENTRAL STORES DISPATCH",IFNA(IFNA(VLOOKUP(F1041,'Raw Platform Nov 4-6 2025'!C:C,1,FALSE),VLOOKUP(F1041,'Raw Platform Nov 4-6 2025'!D:D,1,FALSE)),IFNA(VLOOKUP(F1041,'Glovo Raw Nov 4-6 2025'!B:B,1,FALSE),"Not Matched"))))))</f>
      </c>
      <c r="H1041">
        <f>COUNTIF(F:F,F1041)</f>
      </c>
      <c r="I1041" t="s">
        <v>9791</v>
      </c>
      <c r="J1041" t="s">
        <v>5289</v>
      </c>
      <c r="K1041" t="s">
        <v>4927</v>
      </c>
      <c r="L1041" t="s">
        <v>9792</v>
      </c>
      <c r="M1041" t="s">
        <v>4918</v>
      </c>
      <c r="N1041" t="s">
        <v>5292</v>
      </c>
      <c r="O1041" t="s">
        <v>3676</v>
      </c>
      <c r="P1041" t="s">
        <v>3676</v>
      </c>
      <c r="Q1041">
        <v>0</v>
      </c>
      <c r="R1041" t="s">
        <v>4922</v>
      </c>
      <c r="S1041" t="s">
        <v>5293</v>
      </c>
      <c r="T1041" t="s">
        <v>4923</v>
      </c>
      <c r="U1041" t="s">
        <v>4924</v>
      </c>
      <c r="V1041" t="s">
        <v>9576</v>
      </c>
      <c r="W1041" t="s">
        <v>3667</v>
      </c>
      <c r="X1041">
        <v>100</v>
      </c>
    </row>
    <row r="1042" spans="1:24" x14ac:dyDescent="0.25">
      <c r="A1042" t="s">
        <v>4910</v>
      </c>
      <c r="B1042" t="s">
        <v>9767</v>
      </c>
      <c r="C1042" t="s">
        <v>9768</v>
      </c>
      <c r="D1042" t="s">
        <v>13</v>
      </c>
      <c r="E1042" t="s">
        <v>4913</v>
      </c>
      <c r="F1042" t="s">
        <v>647</v>
      </c>
      <c r="G1042">
        <f>IF(K1042="Pick-up","PICKUPS",IF(K1042="Staff drop-off","STAFF_DROPOFF",IF(K1042="Replacements","REPLACEMENT",IF(K1042="Central Stores Dispatch","CENTRAL STORES DISPATCH",IFNA(IFNA(VLOOKUP(F1042,'Raw Platform Nov 4-6 2025'!C:C,1,FALSE),VLOOKUP(F1042,'Raw Platform Nov 4-6 2025'!D:D,1,FALSE)),IFNA(VLOOKUP(F1042,'Glovo Raw Nov 4-6 2025'!B:B,1,FALSE),"Not Matched"))))))</f>
      </c>
      <c r="H1042">
        <f>COUNTIF(F:F,F1042)</f>
      </c>
      <c r="I1042" t="s">
        <v>9793</v>
      </c>
      <c r="J1042" t="s">
        <v>63</v>
      </c>
      <c r="K1042" t="s">
        <v>4916</v>
      </c>
      <c r="L1042" t="s">
        <v>9794</v>
      </c>
      <c r="M1042" t="s">
        <v>4918</v>
      </c>
      <c r="N1042" t="s">
        <v>9795</v>
      </c>
      <c r="O1042" t="s">
        <v>2009</v>
      </c>
      <c r="P1042" t="s">
        <v>4984</v>
      </c>
      <c r="Q1042">
        <v>600</v>
      </c>
      <c r="R1042" t="s">
        <v>4922</v>
      </c>
      <c r="S1042" t="s">
        <v>12</v>
      </c>
      <c r="T1042" t="s">
        <v>4923</v>
      </c>
      <c r="U1042" t="s">
        <v>4924</v>
      </c>
      <c r="V1042" t="s">
        <v>9796</v>
      </c>
      <c r="W1042" t="s">
        <v>3667</v>
      </c>
      <c r="X1042">
        <v>100</v>
      </c>
    </row>
    <row r="1043" spans="1:24" x14ac:dyDescent="0.25">
      <c r="A1043" t="s">
        <v>4932</v>
      </c>
      <c r="B1043" t="s">
        <v>9767</v>
      </c>
      <c r="C1043" t="s">
        <v>9768</v>
      </c>
      <c r="D1043" t="s">
        <v>13</v>
      </c>
      <c r="E1043" t="s">
        <v>4913</v>
      </c>
      <c r="F1043" t="s">
        <v>1258</v>
      </c>
      <c r="G1043">
        <f>IF(K1043="Pick-up","PICKUPS",IF(K1043="Staff drop-off","STAFF_DROPOFF",IF(K1043="Replacements","REPLACEMENT",IF(K1043="Central Stores Dispatch","CENTRAL STORES DISPATCH",IFNA(IFNA(VLOOKUP(F1043,'Raw Platform Nov 4-6 2025'!C:C,1,FALSE),VLOOKUP(F1043,'Raw Platform Nov 4-6 2025'!D:D,1,FALSE)),IFNA(VLOOKUP(F1043,'Glovo Raw Nov 4-6 2025'!B:B,1,FALSE),"Not Matched"))))))</f>
      </c>
      <c r="H1043">
        <f>COUNTIF(F:F,F1043)</f>
      </c>
      <c r="I1043" t="s">
        <v>9797</v>
      </c>
      <c r="J1043" t="s">
        <v>4915</v>
      </c>
      <c r="K1043" t="s">
        <v>4927</v>
      </c>
      <c r="L1043" t="s">
        <v>5605</v>
      </c>
      <c r="M1043" t="s">
        <v>9798</v>
      </c>
      <c r="N1043" t="s">
        <v>5607</v>
      </c>
      <c r="O1043" t="s">
        <v>53</v>
      </c>
      <c r="P1043" t="s">
        <v>5001</v>
      </c>
      <c r="Q1043">
        <v>0</v>
      </c>
      <c r="R1043" t="s">
        <v>4922</v>
      </c>
      <c r="S1043" t="s">
        <v>29</v>
      </c>
      <c r="T1043" t="s">
        <v>4923</v>
      </c>
      <c r="U1043" t="s">
        <v>4924</v>
      </c>
      <c r="V1043" t="s">
        <v>9799</v>
      </c>
      <c r="W1043" t="s">
        <v>3667</v>
      </c>
      <c r="X1043">
        <v>120.7</v>
      </c>
    </row>
    <row r="1044" spans="1:24" x14ac:dyDescent="0.25">
      <c r="A1044" t="s">
        <v>4910</v>
      </c>
      <c r="B1044" t="s">
        <v>9767</v>
      </c>
      <c r="C1044" t="s">
        <v>9768</v>
      </c>
      <c r="D1044" t="s">
        <v>13</v>
      </c>
      <c r="E1044" t="s">
        <v>4913</v>
      </c>
      <c r="F1044" t="s">
        <v>10</v>
      </c>
      <c r="G1044">
        <f>IF(K1044="Pick-up","PICKUPS",IF(K1044="Staff drop-off","STAFF_DROPOFF",IF(K1044="Replacements","REPLACEMENT",IF(K1044="Central Stores Dispatch","CENTRAL STORES DISPATCH",IFNA(IFNA(VLOOKUP(F1044,'Raw Platform Nov 4-6 2025'!C:C,1,FALSE),VLOOKUP(F1044,'Raw Platform Nov 4-6 2025'!D:D,1,FALSE)),IFNA(VLOOKUP(F1044,'Glovo Raw Nov 4-6 2025'!B:B,1,FALSE),"Not Matched"))))))</f>
      </c>
      <c r="H1044">
        <f>COUNTIF(F:F,F1044)</f>
      </c>
      <c r="I1044" t="s">
        <v>9800</v>
      </c>
      <c r="J1044" t="s">
        <v>4915</v>
      </c>
      <c r="K1044" t="s">
        <v>4927</v>
      </c>
      <c r="L1044" t="s">
        <v>9801</v>
      </c>
      <c r="M1044" t="s">
        <v>4918</v>
      </c>
      <c r="N1044" t="s">
        <v>9802</v>
      </c>
      <c r="O1044" t="s">
        <v>2009</v>
      </c>
      <c r="P1044" t="s">
        <v>5572</v>
      </c>
      <c r="Q1044">
        <v>0</v>
      </c>
      <c r="R1044" t="s">
        <v>4922</v>
      </c>
      <c r="S1044" t="s">
        <v>12</v>
      </c>
      <c r="T1044" t="s">
        <v>4923</v>
      </c>
      <c r="U1044" t="s">
        <v>4924</v>
      </c>
      <c r="V1044" t="s">
        <v>9803</v>
      </c>
      <c r="W1044" t="s">
        <v>3667</v>
      </c>
      <c r="X1044">
        <v>125.3</v>
      </c>
    </row>
    <row r="1045" spans="1:24" x14ac:dyDescent="0.25">
      <c r="A1045" t="s">
        <v>4910</v>
      </c>
      <c r="B1045" t="s">
        <v>9767</v>
      </c>
      <c r="C1045" t="s">
        <v>9768</v>
      </c>
      <c r="D1045" t="s">
        <v>13</v>
      </c>
      <c r="E1045" t="s">
        <v>4913</v>
      </c>
      <c r="F1045" t="s">
        <v>118</v>
      </c>
      <c r="G1045">
        <f>IF(K1045="Pick-up","PICKUPS",IF(K1045="Staff drop-off","STAFF_DROPOFF",IF(K1045="Replacements","REPLACEMENT",IF(K1045="Central Stores Dispatch","CENTRAL STORES DISPATCH",IFNA(IFNA(VLOOKUP(F1045,'Raw Platform Nov 4-6 2025'!C:C,1,FALSE),VLOOKUP(F1045,'Raw Platform Nov 4-6 2025'!D:D,1,FALSE)),IFNA(VLOOKUP(F1045,'Glovo Raw Nov 4-6 2025'!B:B,1,FALSE),"Not Matched"))))))</f>
      </c>
      <c r="H1045">
        <f>COUNTIF(F:F,F1045)</f>
      </c>
      <c r="I1045" t="s">
        <v>9804</v>
      </c>
      <c r="J1045" t="s">
        <v>4915</v>
      </c>
      <c r="K1045" t="s">
        <v>4927</v>
      </c>
      <c r="L1045" t="s">
        <v>5645</v>
      </c>
      <c r="M1045" t="s">
        <v>4918</v>
      </c>
      <c r="N1045" t="s">
        <v>9805</v>
      </c>
      <c r="O1045" t="s">
        <v>4962</v>
      </c>
      <c r="P1045" t="s">
        <v>4984</v>
      </c>
      <c r="Q1045">
        <v>0</v>
      </c>
      <c r="R1045" t="s">
        <v>4922</v>
      </c>
      <c r="S1045" t="s">
        <v>12</v>
      </c>
      <c r="T1045" t="s">
        <v>4923</v>
      </c>
      <c r="U1045" t="s">
        <v>4924</v>
      </c>
      <c r="V1045" t="s">
        <v>9806</v>
      </c>
      <c r="W1045" t="s">
        <v>3667</v>
      </c>
      <c r="X1045">
        <v>100</v>
      </c>
    </row>
    <row r="1046" spans="1:24" x14ac:dyDescent="0.25">
      <c r="A1046" t="s">
        <v>4910</v>
      </c>
      <c r="B1046" t="s">
        <v>9767</v>
      </c>
      <c r="C1046" t="s">
        <v>9768</v>
      </c>
      <c r="D1046" t="s">
        <v>13</v>
      </c>
      <c r="E1046" t="s">
        <v>4913</v>
      </c>
      <c r="F1046" t="s">
        <v>500</v>
      </c>
      <c r="G1046">
        <f>IF(K1046="Pick-up","PICKUPS",IF(K1046="Staff drop-off","STAFF_DROPOFF",IF(K1046="Replacements","REPLACEMENT",IF(K1046="Central Stores Dispatch","CENTRAL STORES DISPATCH",IFNA(IFNA(VLOOKUP(F1046,'Raw Platform Nov 4-6 2025'!C:C,1,FALSE),VLOOKUP(F1046,'Raw Platform Nov 4-6 2025'!D:D,1,FALSE)),IFNA(VLOOKUP(F1046,'Glovo Raw Nov 4-6 2025'!B:B,1,FALSE),"Not Matched"))))))</f>
      </c>
      <c r="H1046">
        <f>COUNTIF(F:F,F1046)</f>
      </c>
      <c r="I1046" t="s">
        <v>9807</v>
      </c>
      <c r="J1046" t="s">
        <v>4915</v>
      </c>
      <c r="K1046" t="s">
        <v>4927</v>
      </c>
      <c r="L1046" t="s">
        <v>9808</v>
      </c>
      <c r="M1046" t="s">
        <v>4918</v>
      </c>
      <c r="N1046" t="s">
        <v>5107</v>
      </c>
      <c r="O1046" t="s">
        <v>47</v>
      </c>
      <c r="P1046" t="s">
        <v>5062</v>
      </c>
      <c r="Q1046">
        <v>0</v>
      </c>
      <c r="R1046" t="s">
        <v>4922</v>
      </c>
      <c r="S1046" t="s">
        <v>12</v>
      </c>
      <c r="T1046" t="s">
        <v>4923</v>
      </c>
      <c r="U1046" t="s">
        <v>4924</v>
      </c>
      <c r="V1046" t="s">
        <v>9809</v>
      </c>
      <c r="W1046" t="s">
        <v>3667</v>
      </c>
      <c r="X1046">
        <v>127.6</v>
      </c>
    </row>
    <row r="1047" spans="1:24" x14ac:dyDescent="0.25">
      <c r="A1047" t="s">
        <v>5130</v>
      </c>
      <c r="B1047" t="s">
        <v>9767</v>
      </c>
      <c r="C1047" t="s">
        <v>9768</v>
      </c>
      <c r="D1047" t="s">
        <v>13</v>
      </c>
      <c r="E1047" t="s">
        <v>4913</v>
      </c>
      <c r="F1047" t="s">
        <v>368</v>
      </c>
      <c r="G1047">
        <f>IF(K1047="Pick-up","PICKUPS",IF(K1047="Staff drop-off","STAFF_DROPOFF",IF(K1047="Replacements","REPLACEMENT",IF(K1047="Central Stores Dispatch","CENTRAL STORES DISPATCH",IFNA(IFNA(VLOOKUP(F1047,'Raw Platform Nov 4-6 2025'!C:C,1,FALSE),VLOOKUP(F1047,'Raw Platform Nov 4-6 2025'!D:D,1,FALSE)),IFNA(VLOOKUP(F1047,'Glovo Raw Nov 4-6 2025'!B:B,1,FALSE),"Not Matched"))))))</f>
      </c>
      <c r="H1047">
        <f>COUNTIF(F:F,F1047)</f>
      </c>
      <c r="I1047" t="s">
        <v>9810</v>
      </c>
      <c r="J1047" t="s">
        <v>4915</v>
      </c>
      <c r="K1047" t="s">
        <v>4927</v>
      </c>
      <c r="L1047" t="s">
        <v>9811</v>
      </c>
      <c r="M1047" t="s">
        <v>4918</v>
      </c>
      <c r="N1047" t="s">
        <v>4936</v>
      </c>
      <c r="O1047" t="s">
        <v>4920</v>
      </c>
      <c r="P1047" t="s">
        <v>4937</v>
      </c>
      <c r="Q1047">
        <v>0</v>
      </c>
      <c r="R1047" t="s">
        <v>4922</v>
      </c>
      <c r="S1047" t="s">
        <v>12</v>
      </c>
      <c r="T1047" t="s">
        <v>4923</v>
      </c>
      <c r="U1047" t="s">
        <v>4924</v>
      </c>
      <c r="V1047" t="s">
        <v>9812</v>
      </c>
      <c r="W1047" t="s">
        <v>3667</v>
      </c>
      <c r="X1047">
        <v>100</v>
      </c>
    </row>
    <row r="1048" spans="1:24" x14ac:dyDescent="0.25">
      <c r="A1048" t="s">
        <v>4910</v>
      </c>
      <c r="B1048" t="s">
        <v>9767</v>
      </c>
      <c r="C1048" t="s">
        <v>9768</v>
      </c>
      <c r="D1048" t="s">
        <v>13</v>
      </c>
      <c r="E1048" t="s">
        <v>4913</v>
      </c>
      <c r="F1048" t="s">
        <v>723</v>
      </c>
      <c r="G1048">
        <f>IF(K1048="Pick-up","PICKUPS",IF(K1048="Staff drop-off","STAFF_DROPOFF",IF(K1048="Replacements","REPLACEMENT",IF(K1048="Central Stores Dispatch","CENTRAL STORES DISPATCH",IFNA(IFNA(VLOOKUP(F1048,'Raw Platform Nov 4-6 2025'!C:C,1,FALSE),VLOOKUP(F1048,'Raw Platform Nov 4-6 2025'!D:D,1,FALSE)),IFNA(VLOOKUP(F1048,'Glovo Raw Nov 4-6 2025'!B:B,1,FALSE),"Not Matched"))))))</f>
      </c>
      <c r="H1048">
        <f>COUNTIF(F:F,F1048)</f>
      </c>
      <c r="I1048" t="s">
        <v>9813</v>
      </c>
      <c r="J1048" t="s">
        <v>4915</v>
      </c>
      <c r="K1048" t="s">
        <v>4927</v>
      </c>
      <c r="L1048" t="s">
        <v>9814</v>
      </c>
      <c r="M1048" t="s">
        <v>9815</v>
      </c>
      <c r="N1048" t="s">
        <v>5429</v>
      </c>
      <c r="O1048" t="s">
        <v>4920</v>
      </c>
      <c r="P1048" t="s">
        <v>5430</v>
      </c>
      <c r="Q1048">
        <v>0</v>
      </c>
      <c r="R1048" t="s">
        <v>4922</v>
      </c>
      <c r="S1048" t="s">
        <v>12</v>
      </c>
      <c r="T1048" t="s">
        <v>4923</v>
      </c>
      <c r="U1048" t="s">
        <v>4924</v>
      </c>
      <c r="V1048" t="s">
        <v>9816</v>
      </c>
      <c r="W1048" t="s">
        <v>3667</v>
      </c>
      <c r="X1048">
        <v>100</v>
      </c>
    </row>
    <row r="1049" spans="1:24" x14ac:dyDescent="0.25">
      <c r="A1049" t="s">
        <v>4932</v>
      </c>
      <c r="B1049" t="s">
        <v>9767</v>
      </c>
      <c r="C1049" t="s">
        <v>9768</v>
      </c>
      <c r="D1049" t="s">
        <v>13</v>
      </c>
      <c r="E1049" t="s">
        <v>4913</v>
      </c>
      <c r="F1049" t="s">
        <v>1365</v>
      </c>
      <c r="G1049">
        <f>IF(K1049="Pick-up","PICKUPS",IF(K1049="Staff drop-off","STAFF_DROPOFF",IF(K1049="Replacements","REPLACEMENT",IF(K1049="Central Stores Dispatch","CENTRAL STORES DISPATCH",IFNA(IFNA(VLOOKUP(F1049,'Raw Platform Nov 4-6 2025'!C:C,1,FALSE),VLOOKUP(F1049,'Raw Platform Nov 4-6 2025'!D:D,1,FALSE)),IFNA(VLOOKUP(F1049,'Glovo Raw Nov 4-6 2025'!B:B,1,FALSE),"Not Matched"))))))</f>
      </c>
      <c r="H1049">
        <f>COUNTIF(F:F,F1049)</f>
      </c>
      <c r="I1049" t="s">
        <v>9817</v>
      </c>
      <c r="J1049" t="s">
        <v>63</v>
      </c>
      <c r="K1049" t="s">
        <v>4927</v>
      </c>
      <c r="L1049" t="s">
        <v>9818</v>
      </c>
      <c r="M1049" t="s">
        <v>9819</v>
      </c>
      <c r="N1049" t="s">
        <v>9820</v>
      </c>
      <c r="O1049" t="s">
        <v>2009</v>
      </c>
      <c r="P1049" t="s">
        <v>4984</v>
      </c>
      <c r="Q1049">
        <v>0</v>
      </c>
      <c r="R1049" t="s">
        <v>4922</v>
      </c>
      <c r="S1049" t="s">
        <v>29</v>
      </c>
      <c r="T1049" t="s">
        <v>4923</v>
      </c>
      <c r="U1049" t="s">
        <v>4924</v>
      </c>
      <c r="V1049" t="s">
        <v>9821</v>
      </c>
      <c r="W1049" t="s">
        <v>3667</v>
      </c>
      <c r="X1049">
        <v>100</v>
      </c>
    </row>
    <row r="1050" spans="1:24" x14ac:dyDescent="0.25">
      <c r="A1050" t="s">
        <v>4910</v>
      </c>
      <c r="B1050" t="s">
        <v>9767</v>
      </c>
      <c r="C1050" t="s">
        <v>9768</v>
      </c>
      <c r="D1050" t="s">
        <v>13</v>
      </c>
      <c r="E1050" t="s">
        <v>4913</v>
      </c>
      <c r="F1050" t="s">
        <v>1328</v>
      </c>
      <c r="G1050">
        <f>IF(K1050="Pick-up","PICKUPS",IF(K1050="Staff drop-off","STAFF_DROPOFF",IF(K1050="Replacements","REPLACEMENT",IF(K1050="Central Stores Dispatch","CENTRAL STORES DISPATCH",IFNA(IFNA(VLOOKUP(F1050,'Raw Platform Nov 4-6 2025'!C:C,1,FALSE),VLOOKUP(F1050,'Raw Platform Nov 4-6 2025'!D:D,1,FALSE)),IFNA(VLOOKUP(F1050,'Glovo Raw Nov 4-6 2025'!B:B,1,FALSE),"Not Matched"))))))</f>
      </c>
      <c r="H1050">
        <f>COUNTIF(F:F,F1050)</f>
      </c>
      <c r="I1050" t="s">
        <v>9822</v>
      </c>
      <c r="J1050" t="s">
        <v>63</v>
      </c>
      <c r="K1050" t="s">
        <v>4927</v>
      </c>
      <c r="L1050" t="s">
        <v>5016</v>
      </c>
      <c r="M1050" t="s">
        <v>5017</v>
      </c>
      <c r="N1050" t="s">
        <v>5018</v>
      </c>
      <c r="O1050" t="s">
        <v>47</v>
      </c>
      <c r="P1050" t="s">
        <v>5019</v>
      </c>
      <c r="Q1050">
        <v>0</v>
      </c>
      <c r="R1050" t="s">
        <v>4922</v>
      </c>
      <c r="S1050" t="s">
        <v>12</v>
      </c>
      <c r="T1050" t="s">
        <v>4923</v>
      </c>
      <c r="U1050" t="s">
        <v>4924</v>
      </c>
      <c r="V1050" t="s">
        <v>9823</v>
      </c>
      <c r="W1050" t="s">
        <v>3667</v>
      </c>
      <c r="X1050">
        <v>100</v>
      </c>
    </row>
    <row r="1051" spans="1:24" x14ac:dyDescent="0.25">
      <c r="A1051" t="s">
        <v>4910</v>
      </c>
      <c r="B1051" t="s">
        <v>9767</v>
      </c>
      <c r="C1051" t="s">
        <v>9768</v>
      </c>
      <c r="D1051" t="s">
        <v>13</v>
      </c>
      <c r="E1051" t="s">
        <v>4913</v>
      </c>
      <c r="F1051" t="s">
        <v>9824</v>
      </c>
      <c r="G1051">
        <f>IF(K1051="Pick-up","PICKUPS",IF(K1051="Staff drop-off","STAFF_DROPOFF",IF(K1051="Replacements","REPLACEMENT",IF(K1051="Central Stores Dispatch","CENTRAL STORES DISPATCH",IFNA(IFNA(VLOOKUP(F1051,'Raw Platform Nov 4-6 2025'!C:C,1,FALSE),VLOOKUP(F1051,'Raw Platform Nov 4-6 2025'!D:D,1,FALSE)),IFNA(VLOOKUP(F1051,'Glovo Raw Nov 4-6 2025'!B:B,1,FALSE),"Not Matched"))))))</f>
      </c>
      <c r="H1051">
        <f>COUNTIF(F:F,F1051)</f>
      </c>
      <c r="I1051" t="s">
        <v>9825</v>
      </c>
      <c r="J1051" t="s">
        <v>5289</v>
      </c>
      <c r="K1051" t="s">
        <v>4927</v>
      </c>
      <c r="L1051" t="s">
        <v>9792</v>
      </c>
      <c r="M1051" t="s">
        <v>4918</v>
      </c>
      <c r="N1051" t="s">
        <v>9624</v>
      </c>
      <c r="O1051" t="s">
        <v>4956</v>
      </c>
      <c r="P1051" t="s">
        <v>6214</v>
      </c>
      <c r="Q1051">
        <v>0</v>
      </c>
      <c r="R1051" t="s">
        <v>4922</v>
      </c>
      <c r="S1051" t="s">
        <v>12</v>
      </c>
      <c r="T1051" t="s">
        <v>4923</v>
      </c>
      <c r="U1051" t="s">
        <v>4924</v>
      </c>
      <c r="V1051" t="s">
        <v>9826</v>
      </c>
      <c r="W1051" t="s">
        <v>3667</v>
      </c>
      <c r="X1051">
        <v>100</v>
      </c>
    </row>
    <row r="1052" spans="1:24" x14ac:dyDescent="0.25">
      <c r="A1052" t="s">
        <v>4932</v>
      </c>
      <c r="B1052" t="s">
        <v>9767</v>
      </c>
      <c r="C1052" t="s">
        <v>9768</v>
      </c>
      <c r="D1052" t="s">
        <v>13</v>
      </c>
      <c r="E1052" t="s">
        <v>4913</v>
      </c>
      <c r="F1052" t="s">
        <v>1662</v>
      </c>
      <c r="G1052">
        <f>IF(K1052="Pick-up","PICKUPS",IF(K1052="Staff drop-off","STAFF_DROPOFF",IF(K1052="Replacements","REPLACEMENT",IF(K1052="Central Stores Dispatch","CENTRAL STORES DISPATCH",IFNA(IFNA(VLOOKUP(F1052,'Raw Platform Nov 4-6 2025'!C:C,1,FALSE),VLOOKUP(F1052,'Raw Platform Nov 4-6 2025'!D:D,1,FALSE)),IFNA(VLOOKUP(F1052,'Glovo Raw Nov 4-6 2025'!B:B,1,FALSE),"Not Matched"))))))</f>
      </c>
      <c r="H1052">
        <f>COUNTIF(F:F,F1052)</f>
      </c>
      <c r="I1052" t="s">
        <v>9827</v>
      </c>
      <c r="J1052" t="s">
        <v>4915</v>
      </c>
      <c r="K1052" t="s">
        <v>4927</v>
      </c>
      <c r="L1052" t="s">
        <v>9828</v>
      </c>
      <c r="M1052" t="s">
        <v>9829</v>
      </c>
      <c r="N1052" t="s">
        <v>9136</v>
      </c>
      <c r="O1052" t="s">
        <v>4962</v>
      </c>
      <c r="P1052" t="s">
        <v>4963</v>
      </c>
      <c r="Q1052">
        <v>0</v>
      </c>
      <c r="R1052" t="s">
        <v>4922</v>
      </c>
      <c r="S1052" t="s">
        <v>29</v>
      </c>
      <c r="T1052" t="s">
        <v>4923</v>
      </c>
      <c r="U1052" t="s">
        <v>4924</v>
      </c>
      <c r="V1052" t="s">
        <v>9830</v>
      </c>
      <c r="W1052" t="s">
        <v>3667</v>
      </c>
      <c r="X1052">
        <v>100</v>
      </c>
    </row>
    <row r="1053" spans="1:24" x14ac:dyDescent="0.25">
      <c r="A1053" t="s">
        <v>4910</v>
      </c>
      <c r="B1053" t="s">
        <v>9767</v>
      </c>
      <c r="C1053" t="s">
        <v>9768</v>
      </c>
      <c r="D1053" t="s">
        <v>13</v>
      </c>
      <c r="E1053" t="s">
        <v>4913</v>
      </c>
      <c r="F1053" t="s">
        <v>2251</v>
      </c>
      <c r="G1053">
        <f>IF(K1053="Pick-up","PICKUPS",IF(K1053="Staff drop-off","STAFF_DROPOFF",IF(K1053="Replacements","REPLACEMENT",IF(K1053="Central Stores Dispatch","CENTRAL STORES DISPATCH",IFNA(IFNA(VLOOKUP(F1053,'Raw Platform Nov 4-6 2025'!C:C,1,FALSE),VLOOKUP(F1053,'Raw Platform Nov 4-6 2025'!D:D,1,FALSE)),IFNA(VLOOKUP(F1053,'Glovo Raw Nov 4-6 2025'!B:B,1,FALSE),"Not Matched"))))))</f>
      </c>
      <c r="H1053">
        <f>COUNTIF(F:F,F1053)</f>
      </c>
      <c r="I1053" t="s">
        <v>9831</v>
      </c>
      <c r="J1053" t="s">
        <v>5341</v>
      </c>
      <c r="K1053" t="s">
        <v>4927</v>
      </c>
      <c r="L1053" t="s">
        <v>9832</v>
      </c>
      <c r="M1053" t="s">
        <v>9833</v>
      </c>
      <c r="N1053" t="s">
        <v>9834</v>
      </c>
      <c r="O1053" t="s">
        <v>9</v>
      </c>
      <c r="P1053" t="s">
        <v>5516</v>
      </c>
      <c r="Q1053">
        <v>0</v>
      </c>
      <c r="R1053" t="s">
        <v>4922</v>
      </c>
      <c r="S1053" t="s">
        <v>12</v>
      </c>
      <c r="T1053" t="s">
        <v>4923</v>
      </c>
      <c r="U1053" t="s">
        <v>4924</v>
      </c>
      <c r="V1053" t="s">
        <v>9835</v>
      </c>
      <c r="W1053" t="s">
        <v>3667</v>
      </c>
      <c r="X1053">
        <v>169</v>
      </c>
    </row>
    <row r="1054" spans="1:24" x14ac:dyDescent="0.25">
      <c r="A1054" t="s">
        <v>4910</v>
      </c>
      <c r="B1054" t="s">
        <v>9767</v>
      </c>
      <c r="C1054" t="s">
        <v>9768</v>
      </c>
      <c r="D1054" t="s">
        <v>13</v>
      </c>
      <c r="E1054" t="s">
        <v>4913</v>
      </c>
      <c r="F1054" t="s">
        <v>2440</v>
      </c>
      <c r="G1054">
        <f>IF(K1054="Pick-up","PICKUPS",IF(K1054="Staff drop-off","STAFF_DROPOFF",IF(K1054="Replacements","REPLACEMENT",IF(K1054="Central Stores Dispatch","CENTRAL STORES DISPATCH",IFNA(IFNA(VLOOKUP(F1054,'Raw Platform Nov 4-6 2025'!C:C,1,FALSE),VLOOKUP(F1054,'Raw Platform Nov 4-6 2025'!D:D,1,FALSE)),IFNA(VLOOKUP(F1054,'Glovo Raw Nov 4-6 2025'!B:B,1,FALSE),"Not Matched"))))))</f>
      </c>
      <c r="H1054">
        <f>COUNTIF(F:F,F1054)</f>
      </c>
      <c r="I1054" t="s">
        <v>9836</v>
      </c>
      <c r="J1054" t="s">
        <v>4915</v>
      </c>
      <c r="K1054" t="s">
        <v>4916</v>
      </c>
      <c r="L1054" t="s">
        <v>9837</v>
      </c>
      <c r="M1054" t="s">
        <v>9838</v>
      </c>
      <c r="N1054" t="s">
        <v>9839</v>
      </c>
      <c r="O1054" t="s">
        <v>47</v>
      </c>
      <c r="P1054" t="s">
        <v>5045</v>
      </c>
      <c r="Q1054">
        <v>1242</v>
      </c>
      <c r="R1054" t="s">
        <v>4922</v>
      </c>
      <c r="S1054" t="s">
        <v>12</v>
      </c>
      <c r="T1054" t="s">
        <v>4923</v>
      </c>
      <c r="U1054" t="s">
        <v>4924</v>
      </c>
      <c r="V1054" t="s">
        <v>9840</v>
      </c>
      <c r="W1054" t="s">
        <v>3667</v>
      </c>
      <c r="X1054">
        <v>102.3</v>
      </c>
    </row>
    <row r="1055" spans="1:24" x14ac:dyDescent="0.25">
      <c r="A1055" t="s">
        <v>4910</v>
      </c>
      <c r="B1055" t="s">
        <v>9767</v>
      </c>
      <c r="C1055" t="s">
        <v>9768</v>
      </c>
      <c r="D1055" t="s">
        <v>13</v>
      </c>
      <c r="E1055" t="s">
        <v>4913</v>
      </c>
      <c r="F1055" t="s">
        <v>1721</v>
      </c>
      <c r="G1055">
        <f>IF(K1055="Pick-up","PICKUPS",IF(K1055="Staff drop-off","STAFF_DROPOFF",IF(K1055="Replacements","REPLACEMENT",IF(K1055="Central Stores Dispatch","CENTRAL STORES DISPATCH",IFNA(IFNA(VLOOKUP(F1055,'Raw Platform Nov 4-6 2025'!C:C,1,FALSE),VLOOKUP(F1055,'Raw Platform Nov 4-6 2025'!D:D,1,FALSE)),IFNA(VLOOKUP(F1055,'Glovo Raw Nov 4-6 2025'!B:B,1,FALSE),"Not Matched"))))))</f>
      </c>
      <c r="H1055">
        <f>COUNTIF(F:F,F1055)</f>
      </c>
      <c r="I1055" t="s">
        <v>9841</v>
      </c>
      <c r="J1055" t="s">
        <v>4915</v>
      </c>
      <c r="K1055" t="s">
        <v>4927</v>
      </c>
      <c r="L1055" t="s">
        <v>6202</v>
      </c>
      <c r="M1055" t="s">
        <v>6203</v>
      </c>
      <c r="N1055" t="s">
        <v>9842</v>
      </c>
      <c r="O1055" t="s">
        <v>47</v>
      </c>
      <c r="P1055" t="s">
        <v>4984</v>
      </c>
      <c r="Q1055">
        <v>0</v>
      </c>
      <c r="R1055" t="s">
        <v>4922</v>
      </c>
      <c r="S1055" t="s">
        <v>12</v>
      </c>
      <c r="T1055" t="s">
        <v>4923</v>
      </c>
      <c r="U1055" t="s">
        <v>4924</v>
      </c>
      <c r="V1055" t="s">
        <v>9843</v>
      </c>
      <c r="W1055" t="s">
        <v>3667</v>
      </c>
      <c r="X1055">
        <v>100</v>
      </c>
    </row>
    <row r="1056" spans="1:24" x14ac:dyDescent="0.25">
      <c r="A1056" t="s">
        <v>4910</v>
      </c>
      <c r="B1056" t="s">
        <v>9767</v>
      </c>
      <c r="C1056" t="s">
        <v>9768</v>
      </c>
      <c r="D1056" t="s">
        <v>13</v>
      </c>
      <c r="E1056" t="s">
        <v>4913</v>
      </c>
      <c r="F1056" t="s">
        <v>1651</v>
      </c>
      <c r="G1056">
        <f>IF(K1056="Pick-up","PICKUPS",IF(K1056="Staff drop-off","STAFF_DROPOFF",IF(K1056="Replacements","REPLACEMENT",IF(K1056="Central Stores Dispatch","CENTRAL STORES DISPATCH",IFNA(IFNA(VLOOKUP(F1056,'Raw Platform Nov 4-6 2025'!C:C,1,FALSE),VLOOKUP(F1056,'Raw Platform Nov 4-6 2025'!D:D,1,FALSE)),IFNA(VLOOKUP(F1056,'Glovo Raw Nov 4-6 2025'!B:B,1,FALSE),"Not Matched"))))))</f>
      </c>
      <c r="H1056">
        <f>COUNTIF(F:F,F1056)</f>
      </c>
      <c r="I1056" t="s">
        <v>9844</v>
      </c>
      <c r="J1056" t="s">
        <v>4915</v>
      </c>
      <c r="K1056" t="s">
        <v>4927</v>
      </c>
      <c r="L1056" t="s">
        <v>9845</v>
      </c>
      <c r="M1056" t="s">
        <v>9846</v>
      </c>
      <c r="N1056" t="s">
        <v>4936</v>
      </c>
      <c r="O1056" t="s">
        <v>4920</v>
      </c>
      <c r="P1056" t="s">
        <v>4937</v>
      </c>
      <c r="Q1056">
        <v>0</v>
      </c>
      <c r="R1056" t="s">
        <v>4922</v>
      </c>
      <c r="S1056" t="s">
        <v>12</v>
      </c>
      <c r="T1056" t="s">
        <v>4923</v>
      </c>
      <c r="U1056" t="s">
        <v>4924</v>
      </c>
      <c r="V1056" t="s">
        <v>9847</v>
      </c>
      <c r="W1056" t="s">
        <v>3667</v>
      </c>
      <c r="X1056">
        <v>100</v>
      </c>
    </row>
    <row r="1057" spans="1:24" x14ac:dyDescent="0.25">
      <c r="A1057" t="s">
        <v>4910</v>
      </c>
      <c r="B1057" t="s">
        <v>9767</v>
      </c>
      <c r="C1057" t="s">
        <v>9768</v>
      </c>
      <c r="D1057" t="s">
        <v>13</v>
      </c>
      <c r="E1057" t="s">
        <v>4913</v>
      </c>
      <c r="F1057" t="s">
        <v>1540</v>
      </c>
      <c r="G1057">
        <f>IF(K1057="Pick-up","PICKUPS",IF(K1057="Staff drop-off","STAFF_DROPOFF",IF(K1057="Replacements","REPLACEMENT",IF(K1057="Central Stores Dispatch","CENTRAL STORES DISPATCH",IFNA(IFNA(VLOOKUP(F1057,'Raw Platform Nov 4-6 2025'!C:C,1,FALSE),VLOOKUP(F1057,'Raw Platform Nov 4-6 2025'!D:D,1,FALSE)),IFNA(VLOOKUP(F1057,'Glovo Raw Nov 4-6 2025'!B:B,1,FALSE),"Not Matched"))))))</f>
      </c>
      <c r="H1057">
        <f>COUNTIF(F:F,F1057)</f>
      </c>
      <c r="I1057" t="s">
        <v>9848</v>
      </c>
      <c r="J1057" t="s">
        <v>63</v>
      </c>
      <c r="K1057" t="s">
        <v>4927</v>
      </c>
      <c r="L1057" t="s">
        <v>9849</v>
      </c>
      <c r="M1057" t="s">
        <v>9850</v>
      </c>
      <c r="N1057" t="s">
        <v>9851</v>
      </c>
      <c r="O1057" t="s">
        <v>47</v>
      </c>
      <c r="P1057" t="s">
        <v>5953</v>
      </c>
      <c r="Q1057">
        <v>0</v>
      </c>
      <c r="R1057" t="s">
        <v>4922</v>
      </c>
      <c r="S1057" t="s">
        <v>12</v>
      </c>
      <c r="T1057" t="s">
        <v>4923</v>
      </c>
      <c r="U1057" t="s">
        <v>4924</v>
      </c>
      <c r="V1057" t="s">
        <v>9852</v>
      </c>
      <c r="W1057" t="s">
        <v>3667</v>
      </c>
      <c r="X1057">
        <v>118.4</v>
      </c>
    </row>
    <row r="1058" spans="1:24" x14ac:dyDescent="0.25">
      <c r="A1058" t="s">
        <v>4932</v>
      </c>
      <c r="B1058" t="s">
        <v>9767</v>
      </c>
      <c r="C1058" t="s">
        <v>9768</v>
      </c>
      <c r="D1058" t="s">
        <v>13</v>
      </c>
      <c r="E1058" t="s">
        <v>4913</v>
      </c>
      <c r="F1058" t="s">
        <v>9853</v>
      </c>
      <c r="G1058">
        <f>IF(K1058="Pick-up","PICKUPS",IF(K1058="Staff drop-off","STAFF_DROPOFF",IF(K1058="Replacements","REPLACEMENT",IF(K1058="Central Stores Dispatch","CENTRAL STORES DISPATCH",IFNA(IFNA(VLOOKUP(F1058,'Raw Platform Nov 4-6 2025'!C:C,1,FALSE),VLOOKUP(F1058,'Raw Platform Nov 4-6 2025'!D:D,1,FALSE)),IFNA(VLOOKUP(F1058,'Glovo Raw Nov 4-6 2025'!B:B,1,FALSE),"Not Matched"))))))</f>
      </c>
      <c r="H1058">
        <f>COUNTIF(F:F,F1058)</f>
      </c>
      <c r="I1058" t="s">
        <v>9854</v>
      </c>
      <c r="J1058" t="s">
        <v>5289</v>
      </c>
      <c r="K1058" t="s">
        <v>4927</v>
      </c>
      <c r="L1058" t="s">
        <v>5290</v>
      </c>
      <c r="M1058" t="s">
        <v>5291</v>
      </c>
      <c r="N1058" t="s">
        <v>9855</v>
      </c>
      <c r="O1058" t="s">
        <v>2009</v>
      </c>
      <c r="P1058" t="s">
        <v>4943</v>
      </c>
      <c r="Q1058">
        <v>0</v>
      </c>
      <c r="R1058" t="s">
        <v>4922</v>
      </c>
      <c r="S1058" t="s">
        <v>5293</v>
      </c>
      <c r="T1058" t="s">
        <v>4923</v>
      </c>
      <c r="U1058" t="s">
        <v>4924</v>
      </c>
      <c r="V1058" t="s">
        <v>8387</v>
      </c>
      <c r="W1058" t="s">
        <v>3667</v>
      </c>
      <c r="X1058">
        <v>106.9</v>
      </c>
    </row>
    <row r="1059" spans="1:24" x14ac:dyDescent="0.25">
      <c r="A1059" t="s">
        <v>4932</v>
      </c>
      <c r="B1059" t="s">
        <v>9767</v>
      </c>
      <c r="C1059" t="s">
        <v>9768</v>
      </c>
      <c r="D1059" t="s">
        <v>13</v>
      </c>
      <c r="E1059" t="s">
        <v>4913</v>
      </c>
      <c r="F1059" t="s">
        <v>1729</v>
      </c>
      <c r="G1059">
        <f>IF(K1059="Pick-up","PICKUPS",IF(K1059="Staff drop-off","STAFF_DROPOFF",IF(K1059="Replacements","REPLACEMENT",IF(K1059="Central Stores Dispatch","CENTRAL STORES DISPATCH",IFNA(IFNA(VLOOKUP(F1059,'Raw Platform Nov 4-6 2025'!C:C,1,FALSE),VLOOKUP(F1059,'Raw Platform Nov 4-6 2025'!D:D,1,FALSE)),IFNA(VLOOKUP(F1059,'Glovo Raw Nov 4-6 2025'!B:B,1,FALSE),"Not Matched"))))))</f>
      </c>
      <c r="H1059">
        <f>COUNTIF(F:F,F1059)</f>
      </c>
      <c r="I1059" t="s">
        <v>9856</v>
      </c>
      <c r="J1059" t="s">
        <v>4915</v>
      </c>
      <c r="K1059" t="s">
        <v>4916</v>
      </c>
      <c r="L1059" t="s">
        <v>9857</v>
      </c>
      <c r="M1059" t="s">
        <v>8912</v>
      </c>
      <c r="N1059" t="s">
        <v>8913</v>
      </c>
      <c r="O1059" t="s">
        <v>4962</v>
      </c>
      <c r="P1059" t="s">
        <v>4963</v>
      </c>
      <c r="Q1059">
        <v>1138</v>
      </c>
      <c r="R1059" t="s">
        <v>4922</v>
      </c>
      <c r="S1059" t="s">
        <v>29</v>
      </c>
      <c r="T1059" t="s">
        <v>4923</v>
      </c>
      <c r="U1059" t="s">
        <v>4924</v>
      </c>
      <c r="V1059" t="s">
        <v>9858</v>
      </c>
      <c r="W1059" t="s">
        <v>3667</v>
      </c>
      <c r="X1059">
        <v>100</v>
      </c>
    </row>
    <row r="1060" spans="1:24" x14ac:dyDescent="0.25">
      <c r="A1060" t="s">
        <v>4910</v>
      </c>
      <c r="B1060" t="s">
        <v>9767</v>
      </c>
      <c r="C1060" t="s">
        <v>9768</v>
      </c>
      <c r="D1060" t="s">
        <v>13</v>
      </c>
      <c r="E1060" t="s">
        <v>4913</v>
      </c>
      <c r="F1060" t="s">
        <v>9859</v>
      </c>
      <c r="G1060">
        <f>IF(K1060="Pick-up","PICKUPS",IF(K1060="Staff drop-off","STAFF_DROPOFF",IF(K1060="Replacements","REPLACEMENT",IF(K1060="Central Stores Dispatch","CENTRAL STORES DISPATCH",IFNA(IFNA(VLOOKUP(F1060,'Raw Platform Nov 4-6 2025'!C:C,1,FALSE),VLOOKUP(F1060,'Raw Platform Nov 4-6 2025'!D:D,1,FALSE)),IFNA(VLOOKUP(F1060,'Glovo Raw Nov 4-6 2025'!B:B,1,FALSE),"Not Matched"))))))</f>
      </c>
      <c r="H1060">
        <f>COUNTIF(F:F,F1060)</f>
      </c>
      <c r="I1060" t="s">
        <v>9860</v>
      </c>
      <c r="J1060" t="s">
        <v>5289</v>
      </c>
      <c r="K1060" t="s">
        <v>4927</v>
      </c>
      <c r="L1060" t="s">
        <v>9792</v>
      </c>
      <c r="M1060" t="s">
        <v>4918</v>
      </c>
      <c r="N1060" t="s">
        <v>9624</v>
      </c>
      <c r="O1060" t="s">
        <v>4956</v>
      </c>
      <c r="P1060" t="s">
        <v>6214</v>
      </c>
      <c r="Q1060">
        <v>0</v>
      </c>
      <c r="R1060" t="s">
        <v>4922</v>
      </c>
      <c r="S1060" t="s">
        <v>5293</v>
      </c>
      <c r="T1060" t="s">
        <v>4923</v>
      </c>
      <c r="U1060" t="s">
        <v>4924</v>
      </c>
      <c r="V1060" t="s">
        <v>9861</v>
      </c>
      <c r="W1060" t="s">
        <v>3667</v>
      </c>
      <c r="X1060">
        <v>100</v>
      </c>
    </row>
    <row r="1061" spans="1:24" x14ac:dyDescent="0.25">
      <c r="A1061" t="s">
        <v>4910</v>
      </c>
      <c r="B1061" t="s">
        <v>9767</v>
      </c>
      <c r="C1061" t="s">
        <v>9768</v>
      </c>
      <c r="D1061" t="s">
        <v>13</v>
      </c>
      <c r="E1061" t="s">
        <v>5034</v>
      </c>
      <c r="F1061" t="s">
        <v>1707</v>
      </c>
      <c r="G1061">
        <f>IF(K1061="Pick-up","PICKUPS",IF(K1061="Staff drop-off","STAFF_DROPOFF",IF(K1061="Replacements","REPLACEMENT",IF(K1061="Central Stores Dispatch","CENTRAL STORES DISPATCH",IFNA(IFNA(VLOOKUP(F1061,'Raw Platform Nov 4-6 2025'!C:C,1,FALSE),VLOOKUP(F1061,'Raw Platform Nov 4-6 2025'!D:D,1,FALSE)),IFNA(VLOOKUP(F1061,'Glovo Raw Nov 4-6 2025'!B:B,1,FALSE),"Not Matched"))))))</f>
      </c>
      <c r="H1061">
        <f>COUNTIF(F:F,F1061)</f>
      </c>
      <c r="I1061" t="s">
        <v>5035</v>
      </c>
      <c r="J1061" t="s">
        <v>4915</v>
      </c>
      <c r="K1061" t="s">
        <v>4927</v>
      </c>
      <c r="L1061" t="s">
        <v>5036</v>
      </c>
      <c r="M1061" t="s">
        <v>5037</v>
      </c>
      <c r="N1061" t="s">
        <v>5038</v>
      </c>
      <c r="O1061" t="s">
        <v>4956</v>
      </c>
      <c r="P1061" t="s">
        <v>4963</v>
      </c>
      <c r="Q1061">
        <v>0</v>
      </c>
      <c r="R1061" t="s">
        <v>4922</v>
      </c>
      <c r="S1061" t="s">
        <v>12</v>
      </c>
      <c r="T1061" t="s">
        <v>4923</v>
      </c>
      <c r="U1061" t="s">
        <v>4923</v>
      </c>
      <c r="V1061" t="s">
        <v>9862</v>
      </c>
      <c r="W1061" t="s">
        <v>3667</v>
      </c>
      <c r="X1061">
        <v>0</v>
      </c>
    </row>
    <row r="1062" spans="1:24" x14ac:dyDescent="0.25">
      <c r="A1062" t="s">
        <v>4910</v>
      </c>
      <c r="B1062" t="s">
        <v>9767</v>
      </c>
      <c r="C1062" t="s">
        <v>9768</v>
      </c>
      <c r="D1062" t="s">
        <v>13</v>
      </c>
      <c r="E1062" t="s">
        <v>4913</v>
      </c>
      <c r="F1062" t="s">
        <v>1688</v>
      </c>
      <c r="G1062">
        <f>IF(K1062="Pick-up","PICKUPS",IF(K1062="Staff drop-off","STAFF_DROPOFF",IF(K1062="Replacements","REPLACEMENT",IF(K1062="Central Stores Dispatch","CENTRAL STORES DISPATCH",IFNA(IFNA(VLOOKUP(F1062,'Raw Platform Nov 4-6 2025'!C:C,1,FALSE),VLOOKUP(F1062,'Raw Platform Nov 4-6 2025'!D:D,1,FALSE)),IFNA(VLOOKUP(F1062,'Glovo Raw Nov 4-6 2025'!B:B,1,FALSE),"Not Matched"))))))</f>
      </c>
      <c r="H1062">
        <f>COUNTIF(F:F,F1062)</f>
      </c>
      <c r="I1062" t="s">
        <v>7192</v>
      </c>
      <c r="J1062" t="s">
        <v>4915</v>
      </c>
      <c r="K1062" t="s">
        <v>4927</v>
      </c>
      <c r="L1062" t="s">
        <v>9863</v>
      </c>
      <c r="M1062" t="s">
        <v>9864</v>
      </c>
      <c r="N1062" t="s">
        <v>9865</v>
      </c>
      <c r="O1062" t="s">
        <v>47</v>
      </c>
      <c r="P1062" t="s">
        <v>4943</v>
      </c>
      <c r="Q1062">
        <v>0</v>
      </c>
      <c r="R1062" t="s">
        <v>4922</v>
      </c>
      <c r="S1062" t="s">
        <v>12</v>
      </c>
      <c r="T1062" t="s">
        <v>4923</v>
      </c>
      <c r="U1062" t="s">
        <v>4924</v>
      </c>
      <c r="V1062" t="s">
        <v>9866</v>
      </c>
      <c r="W1062" t="s">
        <v>3667</v>
      </c>
      <c r="X1062">
        <v>106.9</v>
      </c>
    </row>
    <row r="1063" spans="1:24" x14ac:dyDescent="0.25">
      <c r="A1063" t="s">
        <v>4910</v>
      </c>
      <c r="B1063" t="s">
        <v>9767</v>
      </c>
      <c r="C1063" t="s">
        <v>9768</v>
      </c>
      <c r="D1063" t="s">
        <v>13</v>
      </c>
      <c r="E1063" t="s">
        <v>4913</v>
      </c>
      <c r="F1063" t="s">
        <v>1899</v>
      </c>
      <c r="G1063">
        <f>IF(K1063="Pick-up","PICKUPS",IF(K1063="Staff drop-off","STAFF_DROPOFF",IF(K1063="Replacements","REPLACEMENT",IF(K1063="Central Stores Dispatch","CENTRAL STORES DISPATCH",IFNA(IFNA(VLOOKUP(F1063,'Raw Platform Nov 4-6 2025'!C:C,1,FALSE),VLOOKUP(F1063,'Raw Platform Nov 4-6 2025'!D:D,1,FALSE)),IFNA(VLOOKUP(F1063,'Glovo Raw Nov 4-6 2025'!B:B,1,FALSE),"Not Matched"))))))</f>
      </c>
      <c r="H1063">
        <f>COUNTIF(F:F,F1063)</f>
      </c>
      <c r="I1063" t="s">
        <v>9867</v>
      </c>
      <c r="J1063" t="s">
        <v>4915</v>
      </c>
      <c r="K1063" t="s">
        <v>4927</v>
      </c>
      <c r="L1063" t="s">
        <v>9868</v>
      </c>
      <c r="M1063" t="s">
        <v>9869</v>
      </c>
      <c r="N1063" t="s">
        <v>9870</v>
      </c>
      <c r="O1063" t="s">
        <v>4920</v>
      </c>
      <c r="P1063" t="s">
        <v>5810</v>
      </c>
      <c r="Q1063">
        <v>0</v>
      </c>
      <c r="R1063" t="s">
        <v>4922</v>
      </c>
      <c r="S1063" t="s">
        <v>12</v>
      </c>
      <c r="T1063" t="s">
        <v>4923</v>
      </c>
      <c r="U1063" t="s">
        <v>4924</v>
      </c>
      <c r="V1063" t="s">
        <v>9871</v>
      </c>
      <c r="W1063" t="s">
        <v>3667</v>
      </c>
      <c r="X1063">
        <v>100</v>
      </c>
    </row>
    <row r="1064" spans="1:24" x14ac:dyDescent="0.25">
      <c r="A1064" t="s">
        <v>4910</v>
      </c>
      <c r="B1064" t="s">
        <v>9767</v>
      </c>
      <c r="C1064" t="s">
        <v>9768</v>
      </c>
      <c r="D1064" t="s">
        <v>13</v>
      </c>
      <c r="E1064" t="s">
        <v>4913</v>
      </c>
      <c r="F1064" t="s">
        <v>2133</v>
      </c>
      <c r="G1064">
        <f>IF(K1064="Pick-up","PICKUPS",IF(K1064="Staff drop-off","STAFF_DROPOFF",IF(K1064="Replacements","REPLACEMENT",IF(K1064="Central Stores Dispatch","CENTRAL STORES DISPATCH",IFNA(IFNA(VLOOKUP(F1064,'Raw Platform Nov 4-6 2025'!C:C,1,FALSE),VLOOKUP(F1064,'Raw Platform Nov 4-6 2025'!D:D,1,FALSE)),IFNA(VLOOKUP(F1064,'Glovo Raw Nov 4-6 2025'!B:B,1,FALSE),"Not Matched"))))))</f>
      </c>
      <c r="H1064">
        <f>COUNTIF(F:F,F1064)</f>
      </c>
      <c r="I1064" t="s">
        <v>9872</v>
      </c>
      <c r="J1064" t="s">
        <v>4915</v>
      </c>
      <c r="K1064" t="s">
        <v>4916</v>
      </c>
      <c r="L1064" t="s">
        <v>9873</v>
      </c>
      <c r="M1064" t="s">
        <v>6758</v>
      </c>
      <c r="N1064" t="s">
        <v>6759</v>
      </c>
      <c r="O1064" t="s">
        <v>47</v>
      </c>
      <c r="P1064" t="s">
        <v>6093</v>
      </c>
      <c r="Q1064">
        <v>1102</v>
      </c>
      <c r="R1064" t="s">
        <v>4922</v>
      </c>
      <c r="S1064" t="s">
        <v>12</v>
      </c>
      <c r="T1064" t="s">
        <v>4923</v>
      </c>
      <c r="U1064" t="s">
        <v>4924</v>
      </c>
      <c r="V1064" t="s">
        <v>9874</v>
      </c>
      <c r="W1064" t="s">
        <v>3667</v>
      </c>
      <c r="X1064">
        <v>200</v>
      </c>
    </row>
    <row r="1065" spans="1:24" x14ac:dyDescent="0.25">
      <c r="A1065" t="s">
        <v>4910</v>
      </c>
      <c r="B1065" t="s">
        <v>9767</v>
      </c>
      <c r="C1065" t="s">
        <v>9768</v>
      </c>
      <c r="D1065" t="s">
        <v>13</v>
      </c>
      <c r="E1065" t="s">
        <v>4913</v>
      </c>
      <c r="F1065" t="s">
        <v>9875</v>
      </c>
      <c r="G1065">
        <f>IF(K1065="Pick-up","PICKUPS",IF(K1065="Staff drop-off","STAFF_DROPOFF",IF(K1065="Replacements","REPLACEMENT",IF(K1065="Central Stores Dispatch","CENTRAL STORES DISPATCH",IFNA(IFNA(VLOOKUP(F1065,'Raw Platform Nov 4-6 2025'!C:C,1,FALSE),VLOOKUP(F1065,'Raw Platform Nov 4-6 2025'!D:D,1,FALSE)),IFNA(VLOOKUP(F1065,'Glovo Raw Nov 4-6 2025'!B:B,1,FALSE),"Not Matched"))))))</f>
      </c>
      <c r="H1065">
        <f>COUNTIF(F:F,F1065)</f>
      </c>
      <c r="I1065" t="s">
        <v>9876</v>
      </c>
      <c r="J1065" t="s">
        <v>63</v>
      </c>
      <c r="K1065" t="s">
        <v>4927</v>
      </c>
      <c r="L1065" t="s">
        <v>9877</v>
      </c>
      <c r="M1065" t="s">
        <v>9878</v>
      </c>
      <c r="N1065" t="s">
        <v>9099</v>
      </c>
      <c r="O1065" t="s">
        <v>4949</v>
      </c>
      <c r="P1065" t="s">
        <v>5025</v>
      </c>
      <c r="Q1065">
        <v>0</v>
      </c>
      <c r="R1065" t="s">
        <v>4922</v>
      </c>
      <c r="S1065" t="s">
        <v>12</v>
      </c>
      <c r="T1065" t="s">
        <v>4923</v>
      </c>
      <c r="U1065" t="s">
        <v>4924</v>
      </c>
      <c r="V1065" t="s">
        <v>9879</v>
      </c>
      <c r="W1065" t="s">
        <v>3667</v>
      </c>
      <c r="X1065">
        <v>100</v>
      </c>
    </row>
    <row r="1066" spans="1:24" x14ac:dyDescent="0.25">
      <c r="A1066" t="s">
        <v>4932</v>
      </c>
      <c r="B1066" t="s">
        <v>9767</v>
      </c>
      <c r="C1066" t="s">
        <v>9768</v>
      </c>
      <c r="D1066" t="s">
        <v>13</v>
      </c>
      <c r="E1066" t="s">
        <v>4913</v>
      </c>
      <c r="F1066" t="s">
        <v>1624</v>
      </c>
      <c r="G1066">
        <f>IF(K1066="Pick-up","PICKUPS",IF(K1066="Staff drop-off","STAFF_DROPOFF",IF(K1066="Replacements","REPLACEMENT",IF(K1066="Central Stores Dispatch","CENTRAL STORES DISPATCH",IFNA(IFNA(VLOOKUP(F1066,'Raw Platform Nov 4-6 2025'!C:C,1,FALSE),VLOOKUP(F1066,'Raw Platform Nov 4-6 2025'!D:D,1,FALSE)),IFNA(VLOOKUP(F1066,'Glovo Raw Nov 4-6 2025'!B:B,1,FALSE),"Not Matched"))))))</f>
      </c>
      <c r="H1066">
        <f>COUNTIF(F:F,F1066)</f>
      </c>
      <c r="I1066" t="s">
        <v>9880</v>
      </c>
      <c r="J1066" t="s">
        <v>4915</v>
      </c>
      <c r="K1066" t="s">
        <v>4927</v>
      </c>
      <c r="L1066" t="s">
        <v>9881</v>
      </c>
      <c r="M1066" t="s">
        <v>9882</v>
      </c>
      <c r="N1066" t="s">
        <v>9883</v>
      </c>
      <c r="O1066" t="s">
        <v>47</v>
      </c>
      <c r="P1066" t="s">
        <v>5541</v>
      </c>
      <c r="Q1066">
        <v>0</v>
      </c>
      <c r="R1066" t="s">
        <v>4922</v>
      </c>
      <c r="S1066" t="s">
        <v>29</v>
      </c>
      <c r="T1066" t="s">
        <v>4923</v>
      </c>
      <c r="U1066" t="s">
        <v>4924</v>
      </c>
      <c r="V1066" t="s">
        <v>9884</v>
      </c>
      <c r="W1066" t="s">
        <v>3667</v>
      </c>
      <c r="X1066">
        <v>100</v>
      </c>
    </row>
    <row r="1067" spans="1:24" x14ac:dyDescent="0.25">
      <c r="A1067" t="s">
        <v>4910</v>
      </c>
      <c r="B1067" t="s">
        <v>9767</v>
      </c>
      <c r="C1067" t="s">
        <v>9768</v>
      </c>
      <c r="D1067" t="s">
        <v>13</v>
      </c>
      <c r="E1067" t="s">
        <v>4913</v>
      </c>
      <c r="F1067" t="s">
        <v>1769</v>
      </c>
      <c r="G1067">
        <f>IF(K1067="Pick-up","PICKUPS",IF(K1067="Staff drop-off","STAFF_DROPOFF",IF(K1067="Replacements","REPLACEMENT",IF(K1067="Central Stores Dispatch","CENTRAL STORES DISPATCH",IFNA(IFNA(VLOOKUP(F1067,'Raw Platform Nov 4-6 2025'!C:C,1,FALSE),VLOOKUP(F1067,'Raw Platform Nov 4-6 2025'!D:D,1,FALSE)),IFNA(VLOOKUP(F1067,'Glovo Raw Nov 4-6 2025'!B:B,1,FALSE),"Not Matched"))))))</f>
      </c>
      <c r="H1067">
        <f>COUNTIF(F:F,F1067)</f>
      </c>
      <c r="I1067" t="s">
        <v>9885</v>
      </c>
      <c r="J1067" t="s">
        <v>63</v>
      </c>
      <c r="K1067" t="s">
        <v>4927</v>
      </c>
      <c r="L1067" t="s">
        <v>9886</v>
      </c>
      <c r="M1067" t="s">
        <v>9887</v>
      </c>
      <c r="N1067" t="s">
        <v>9888</v>
      </c>
      <c r="O1067" t="s">
        <v>4962</v>
      </c>
      <c r="P1067" t="s">
        <v>5025</v>
      </c>
      <c r="Q1067">
        <v>0</v>
      </c>
      <c r="R1067" t="s">
        <v>4922</v>
      </c>
      <c r="S1067" t="s">
        <v>12</v>
      </c>
      <c r="T1067" t="s">
        <v>4923</v>
      </c>
      <c r="U1067" t="s">
        <v>4924</v>
      </c>
      <c r="V1067" t="s">
        <v>9889</v>
      </c>
      <c r="W1067" t="s">
        <v>3667</v>
      </c>
      <c r="X1067">
        <v>100</v>
      </c>
    </row>
    <row r="1068" spans="1:24" x14ac:dyDescent="0.25">
      <c r="A1068" t="s">
        <v>4932</v>
      </c>
      <c r="B1068" t="s">
        <v>9767</v>
      </c>
      <c r="C1068" t="s">
        <v>9768</v>
      </c>
      <c r="D1068" t="s">
        <v>13</v>
      </c>
      <c r="E1068" t="s">
        <v>4913</v>
      </c>
      <c r="F1068" t="s">
        <v>2421</v>
      </c>
      <c r="G1068">
        <f>IF(K1068="Pick-up","PICKUPS",IF(K1068="Staff drop-off","STAFF_DROPOFF",IF(K1068="Replacements","REPLACEMENT",IF(K1068="Central Stores Dispatch","CENTRAL STORES DISPATCH",IFNA(IFNA(VLOOKUP(F1068,'Raw Platform Nov 4-6 2025'!C:C,1,FALSE),VLOOKUP(F1068,'Raw Platform Nov 4-6 2025'!D:D,1,FALSE)),IFNA(VLOOKUP(F1068,'Glovo Raw Nov 4-6 2025'!B:B,1,FALSE),"Not Matched"))))))</f>
      </c>
      <c r="H1068">
        <f>COUNTIF(F:F,F1068)</f>
      </c>
      <c r="I1068" t="s">
        <v>9890</v>
      </c>
      <c r="J1068" t="s">
        <v>4915</v>
      </c>
      <c r="K1068" t="s">
        <v>4927</v>
      </c>
      <c r="L1068" t="s">
        <v>9891</v>
      </c>
      <c r="M1068" t="s">
        <v>9892</v>
      </c>
      <c r="N1068" t="s">
        <v>5072</v>
      </c>
      <c r="O1068" t="s">
        <v>4949</v>
      </c>
      <c r="P1068" t="s">
        <v>4920</v>
      </c>
      <c r="Q1068">
        <v>0</v>
      </c>
      <c r="R1068" t="s">
        <v>4922</v>
      </c>
      <c r="S1068" t="s">
        <v>29</v>
      </c>
      <c r="T1068" t="s">
        <v>4923</v>
      </c>
      <c r="U1068" t="s">
        <v>4924</v>
      </c>
      <c r="V1068" t="s">
        <v>9893</v>
      </c>
      <c r="W1068" t="s">
        <v>3667</v>
      </c>
      <c r="X1068">
        <v>100</v>
      </c>
    </row>
    <row r="1069" spans="1:24" x14ac:dyDescent="0.25">
      <c r="A1069" t="s">
        <v>4910</v>
      </c>
      <c r="B1069" t="s">
        <v>9767</v>
      </c>
      <c r="C1069" t="s">
        <v>9768</v>
      </c>
      <c r="D1069" t="s">
        <v>13</v>
      </c>
      <c r="E1069" t="s">
        <v>4913</v>
      </c>
      <c r="F1069" t="s">
        <v>2972</v>
      </c>
      <c r="G1069">
        <f>IF(K1069="Pick-up","PICKUPS",IF(K1069="Staff drop-off","STAFF_DROPOFF",IF(K1069="Replacements","REPLACEMENT",IF(K1069="Central Stores Dispatch","CENTRAL STORES DISPATCH",IFNA(IFNA(VLOOKUP(F1069,'Raw Platform Nov 4-6 2025'!C:C,1,FALSE),VLOOKUP(F1069,'Raw Platform Nov 4-6 2025'!D:D,1,FALSE)),IFNA(VLOOKUP(F1069,'Glovo Raw Nov 4-6 2025'!B:B,1,FALSE),"Not Matched"))))))</f>
      </c>
      <c r="H1069">
        <f>COUNTIF(F:F,F1069)</f>
      </c>
      <c r="I1069" t="s">
        <v>9894</v>
      </c>
      <c r="J1069" t="s">
        <v>5028</v>
      </c>
      <c r="K1069" t="s">
        <v>4927</v>
      </c>
      <c r="L1069" t="s">
        <v>9895</v>
      </c>
      <c r="M1069" t="s">
        <v>9896</v>
      </c>
      <c r="N1069" t="s">
        <v>9897</v>
      </c>
      <c r="O1069" t="s">
        <v>53</v>
      </c>
      <c r="P1069" t="s">
        <v>6829</v>
      </c>
      <c r="Q1069">
        <v>1410</v>
      </c>
      <c r="R1069" t="s">
        <v>4922</v>
      </c>
      <c r="S1069" t="s">
        <v>12</v>
      </c>
      <c r="T1069" t="s">
        <v>4923</v>
      </c>
      <c r="U1069" t="s">
        <v>4924</v>
      </c>
      <c r="V1069" t="s">
        <v>9898</v>
      </c>
      <c r="W1069" t="s">
        <v>3667</v>
      </c>
      <c r="X1069">
        <v>171.3</v>
      </c>
    </row>
    <row r="1070" spans="1:24" x14ac:dyDescent="0.25">
      <c r="A1070" t="s">
        <v>4932</v>
      </c>
      <c r="B1070" t="s">
        <v>9767</v>
      </c>
      <c r="C1070" t="s">
        <v>9768</v>
      </c>
      <c r="D1070" t="s">
        <v>13</v>
      </c>
      <c r="E1070" t="s">
        <v>4913</v>
      </c>
      <c r="F1070" t="s">
        <v>3555</v>
      </c>
      <c r="G1070">
        <f>IF(K1070="Pick-up","PICKUPS",IF(K1070="Staff drop-off","STAFF_DROPOFF",IF(K1070="Replacements","REPLACEMENT",IF(K1070="Central Stores Dispatch","CENTRAL STORES DISPATCH",IFNA(IFNA(VLOOKUP(F1070,'Raw Platform Nov 4-6 2025'!C:C,1,FALSE),VLOOKUP(F1070,'Raw Platform Nov 4-6 2025'!D:D,1,FALSE)),IFNA(VLOOKUP(F1070,'Glovo Raw Nov 4-6 2025'!B:B,1,FALSE),"Not Matched"))))))</f>
      </c>
      <c r="H1070">
        <f>COUNTIF(F:F,F1070)</f>
      </c>
      <c r="I1070" t="s">
        <v>9899</v>
      </c>
      <c r="J1070" t="s">
        <v>4915</v>
      </c>
      <c r="K1070" t="s">
        <v>4927</v>
      </c>
      <c r="L1070" t="s">
        <v>6401</v>
      </c>
      <c r="M1070" t="s">
        <v>6402</v>
      </c>
      <c r="N1070" t="s">
        <v>6403</v>
      </c>
      <c r="O1070" t="s">
        <v>47</v>
      </c>
      <c r="P1070" t="s">
        <v>5001</v>
      </c>
      <c r="Q1070">
        <v>0</v>
      </c>
      <c r="R1070" t="s">
        <v>4922</v>
      </c>
      <c r="S1070" t="s">
        <v>29</v>
      </c>
      <c r="T1070" t="s">
        <v>4923</v>
      </c>
      <c r="U1070" t="s">
        <v>4924</v>
      </c>
      <c r="V1070" t="s">
        <v>9900</v>
      </c>
      <c r="W1070" t="s">
        <v>3667</v>
      </c>
      <c r="X1070">
        <v>120.7</v>
      </c>
    </row>
    <row r="1071" spans="1:24" x14ac:dyDescent="0.25">
      <c r="A1071" t="s">
        <v>4932</v>
      </c>
      <c r="B1071" t="s">
        <v>9767</v>
      </c>
      <c r="C1071" t="s">
        <v>9768</v>
      </c>
      <c r="D1071" t="s">
        <v>13</v>
      </c>
      <c r="E1071" t="s">
        <v>4913</v>
      </c>
      <c r="F1071" t="s">
        <v>2948</v>
      </c>
      <c r="G1071">
        <f>IF(K1071="Pick-up","PICKUPS",IF(K1071="Staff drop-off","STAFF_DROPOFF",IF(K1071="Replacements","REPLACEMENT",IF(K1071="Central Stores Dispatch","CENTRAL STORES DISPATCH",IFNA(IFNA(VLOOKUP(F1071,'Raw Platform Nov 4-6 2025'!C:C,1,FALSE),VLOOKUP(F1071,'Raw Platform Nov 4-6 2025'!D:D,1,FALSE)),IFNA(VLOOKUP(F1071,'Glovo Raw Nov 4-6 2025'!B:B,1,FALSE),"Not Matched"))))))</f>
      </c>
      <c r="H1071">
        <f>COUNTIF(F:F,F1071)</f>
      </c>
      <c r="I1071" t="s">
        <v>9901</v>
      </c>
      <c r="J1071" t="s">
        <v>63</v>
      </c>
      <c r="K1071" t="s">
        <v>4916</v>
      </c>
      <c r="L1071" t="s">
        <v>9902</v>
      </c>
      <c r="M1071" t="s">
        <v>9903</v>
      </c>
      <c r="N1071" t="s">
        <v>9780</v>
      </c>
      <c r="O1071" t="s">
        <v>47</v>
      </c>
      <c r="P1071" t="s">
        <v>5820</v>
      </c>
      <c r="Q1071">
        <v>1312</v>
      </c>
      <c r="R1071" t="s">
        <v>4922</v>
      </c>
      <c r="S1071" t="s">
        <v>29</v>
      </c>
      <c r="T1071" t="s">
        <v>4923</v>
      </c>
      <c r="U1071" t="s">
        <v>4924</v>
      </c>
      <c r="V1071" t="s">
        <v>9904</v>
      </c>
      <c r="W1071" t="s">
        <v>3667</v>
      </c>
      <c r="X1071">
        <v>139.1</v>
      </c>
    </row>
    <row r="1072" spans="1:24" x14ac:dyDescent="0.25">
      <c r="A1072" t="s">
        <v>4910</v>
      </c>
      <c r="B1072" t="s">
        <v>9767</v>
      </c>
      <c r="C1072" t="s">
        <v>9768</v>
      </c>
      <c r="D1072" t="s">
        <v>13</v>
      </c>
      <c r="E1072" t="s">
        <v>4913</v>
      </c>
      <c r="F1072" t="s">
        <v>2647</v>
      </c>
      <c r="G1072">
        <f>IF(K1072="Pick-up","PICKUPS",IF(K1072="Staff drop-off","STAFF_DROPOFF",IF(K1072="Replacements","REPLACEMENT",IF(K1072="Central Stores Dispatch","CENTRAL STORES DISPATCH",IFNA(IFNA(VLOOKUP(F1072,'Raw Platform Nov 4-6 2025'!C:C,1,FALSE),VLOOKUP(F1072,'Raw Platform Nov 4-6 2025'!D:D,1,FALSE)),IFNA(VLOOKUP(F1072,'Glovo Raw Nov 4-6 2025'!B:B,1,FALSE),"Not Matched"))))))</f>
      </c>
      <c r="H1072">
        <f>COUNTIF(F:F,F1072)</f>
      </c>
      <c r="I1072" t="s">
        <v>9905</v>
      </c>
      <c r="J1072" t="s">
        <v>4915</v>
      </c>
      <c r="K1072" t="s">
        <v>4927</v>
      </c>
      <c r="L1072" t="s">
        <v>9906</v>
      </c>
      <c r="M1072" t="s">
        <v>9907</v>
      </c>
      <c r="N1072" t="s">
        <v>9908</v>
      </c>
      <c r="O1072" t="s">
        <v>4990</v>
      </c>
      <c r="P1072" t="s">
        <v>5013</v>
      </c>
      <c r="Q1072">
        <v>0</v>
      </c>
      <c r="R1072" t="s">
        <v>4922</v>
      </c>
      <c r="S1072" t="s">
        <v>12</v>
      </c>
      <c r="T1072" t="s">
        <v>4923</v>
      </c>
      <c r="U1072" t="s">
        <v>4924</v>
      </c>
      <c r="V1072" t="s">
        <v>9909</v>
      </c>
      <c r="W1072" t="s">
        <v>3667</v>
      </c>
      <c r="X1072">
        <v>100</v>
      </c>
    </row>
    <row r="1073" spans="1:24" x14ac:dyDescent="0.25">
      <c r="A1073" t="s">
        <v>4910</v>
      </c>
      <c r="B1073" t="s">
        <v>9767</v>
      </c>
      <c r="C1073" t="s">
        <v>9768</v>
      </c>
      <c r="D1073" t="s">
        <v>13</v>
      </c>
      <c r="E1073" t="s">
        <v>4913</v>
      </c>
      <c r="F1073" t="s">
        <v>2649</v>
      </c>
      <c r="G1073">
        <f>IF(K1073="Pick-up","PICKUPS",IF(K1073="Staff drop-off","STAFF_DROPOFF",IF(K1073="Replacements","REPLACEMENT",IF(K1073="Central Stores Dispatch","CENTRAL STORES DISPATCH",IFNA(IFNA(VLOOKUP(F1073,'Raw Platform Nov 4-6 2025'!C:C,1,FALSE),VLOOKUP(F1073,'Raw Platform Nov 4-6 2025'!D:D,1,FALSE)),IFNA(VLOOKUP(F1073,'Glovo Raw Nov 4-6 2025'!B:B,1,FALSE),"Not Matched"))))))</f>
      </c>
      <c r="H1073">
        <f>COUNTIF(F:F,F1073)</f>
      </c>
      <c r="I1073" t="s">
        <v>9910</v>
      </c>
      <c r="J1073" t="s">
        <v>4915</v>
      </c>
      <c r="K1073" t="s">
        <v>4927</v>
      </c>
      <c r="L1073" t="s">
        <v>9911</v>
      </c>
      <c r="M1073" t="s">
        <v>9912</v>
      </c>
      <c r="N1073" t="s">
        <v>5012</v>
      </c>
      <c r="O1073" t="s">
        <v>4990</v>
      </c>
      <c r="P1073" t="s">
        <v>5013</v>
      </c>
      <c r="Q1073">
        <v>0</v>
      </c>
      <c r="R1073" t="s">
        <v>4922</v>
      </c>
      <c r="S1073" t="s">
        <v>12</v>
      </c>
      <c r="T1073" t="s">
        <v>4923</v>
      </c>
      <c r="U1073" t="s">
        <v>4924</v>
      </c>
      <c r="V1073" t="s">
        <v>9913</v>
      </c>
      <c r="W1073" t="s">
        <v>3667</v>
      </c>
      <c r="X1073">
        <v>100</v>
      </c>
    </row>
    <row r="1074" spans="1:24" x14ac:dyDescent="0.25">
      <c r="A1074" t="s">
        <v>4910</v>
      </c>
      <c r="B1074" t="s">
        <v>9767</v>
      </c>
      <c r="C1074" t="s">
        <v>9768</v>
      </c>
      <c r="D1074" t="s">
        <v>13</v>
      </c>
      <c r="E1074" t="s">
        <v>4913</v>
      </c>
      <c r="F1074" t="s">
        <v>3123</v>
      </c>
      <c r="G1074">
        <f>IF(K1074="Pick-up","PICKUPS",IF(K1074="Staff drop-off","STAFF_DROPOFF",IF(K1074="Replacements","REPLACEMENT",IF(K1074="Central Stores Dispatch","CENTRAL STORES DISPATCH",IFNA(IFNA(VLOOKUP(F1074,'Raw Platform Nov 4-6 2025'!C:C,1,FALSE),VLOOKUP(F1074,'Raw Platform Nov 4-6 2025'!D:D,1,FALSE)),IFNA(VLOOKUP(F1074,'Glovo Raw Nov 4-6 2025'!B:B,1,FALSE),"Not Matched"))))))</f>
      </c>
      <c r="H1074">
        <f>COUNTIF(F:F,F1074)</f>
      </c>
      <c r="I1074" t="s">
        <v>9914</v>
      </c>
      <c r="J1074" t="s">
        <v>63</v>
      </c>
      <c r="K1074" t="s">
        <v>4927</v>
      </c>
      <c r="L1074" t="s">
        <v>9915</v>
      </c>
      <c r="M1074" t="s">
        <v>9916</v>
      </c>
      <c r="N1074" t="s">
        <v>5958</v>
      </c>
      <c r="O1074" t="s">
        <v>123</v>
      </c>
      <c r="P1074" t="s">
        <v>5820</v>
      </c>
      <c r="Q1074">
        <v>0</v>
      </c>
      <c r="R1074" t="s">
        <v>4922</v>
      </c>
      <c r="S1074" t="s">
        <v>12</v>
      </c>
      <c r="T1074" t="s">
        <v>4923</v>
      </c>
      <c r="U1074" t="s">
        <v>4924</v>
      </c>
      <c r="V1074" t="s">
        <v>9917</v>
      </c>
      <c r="W1074" t="s">
        <v>3667</v>
      </c>
      <c r="X1074">
        <v>139.1</v>
      </c>
    </row>
    <row r="1075" spans="1:24" x14ac:dyDescent="0.25">
      <c r="A1075" t="s">
        <v>4932</v>
      </c>
      <c r="B1075" t="s">
        <v>9767</v>
      </c>
      <c r="C1075" t="s">
        <v>9768</v>
      </c>
      <c r="D1075" t="s">
        <v>13</v>
      </c>
      <c r="E1075" t="s">
        <v>4913</v>
      </c>
      <c r="F1075" t="s">
        <v>9918</v>
      </c>
      <c r="G1075">
        <f>IF(K1075="Pick-up","PICKUPS",IF(K1075="Staff drop-off","STAFF_DROPOFF",IF(K1075="Replacements","REPLACEMENT",IF(K1075="Central Stores Dispatch","CENTRAL STORES DISPATCH",IFNA(IFNA(VLOOKUP(F1075,'Raw Platform Nov 4-6 2025'!C:C,1,FALSE),VLOOKUP(F1075,'Raw Platform Nov 4-6 2025'!D:D,1,FALSE)),IFNA(VLOOKUP(F1075,'Glovo Raw Nov 4-6 2025'!B:B,1,FALSE),"Not Matched"))))))</f>
      </c>
      <c r="H1075">
        <f>COUNTIF(F:F,F1075)</f>
      </c>
      <c r="I1075" t="s">
        <v>9919</v>
      </c>
      <c r="J1075" t="s">
        <v>5289</v>
      </c>
      <c r="K1075" t="s">
        <v>4927</v>
      </c>
      <c r="L1075" t="s">
        <v>5290</v>
      </c>
      <c r="M1075" t="s">
        <v>5291</v>
      </c>
      <c r="N1075" t="s">
        <v>9920</v>
      </c>
      <c r="O1075" t="s">
        <v>47</v>
      </c>
      <c r="P1075" t="s">
        <v>5001</v>
      </c>
      <c r="Q1075">
        <v>0</v>
      </c>
      <c r="R1075" t="s">
        <v>4922</v>
      </c>
      <c r="S1075" t="s">
        <v>29</v>
      </c>
      <c r="T1075" t="s">
        <v>4923</v>
      </c>
      <c r="U1075" t="s">
        <v>4924</v>
      </c>
      <c r="V1075" t="s">
        <v>9921</v>
      </c>
      <c r="W1075" t="s">
        <v>3667</v>
      </c>
      <c r="X1075">
        <v>120.7</v>
      </c>
    </row>
    <row r="1076" spans="1:24" x14ac:dyDescent="0.25">
      <c r="A1076" t="s">
        <v>4932</v>
      </c>
      <c r="B1076" t="s">
        <v>9767</v>
      </c>
      <c r="C1076" t="s">
        <v>9768</v>
      </c>
      <c r="D1076" t="s">
        <v>13</v>
      </c>
      <c r="E1076" t="s">
        <v>4913</v>
      </c>
      <c r="F1076" t="s">
        <v>3347</v>
      </c>
      <c r="G1076">
        <f>IF(K1076="Pick-up","PICKUPS",IF(K1076="Staff drop-off","STAFF_DROPOFF",IF(K1076="Replacements","REPLACEMENT",IF(K1076="Central Stores Dispatch","CENTRAL STORES DISPATCH",IFNA(IFNA(VLOOKUP(F1076,'Raw Platform Nov 4-6 2025'!C:C,1,FALSE),VLOOKUP(F1076,'Raw Platform Nov 4-6 2025'!D:D,1,FALSE)),IFNA(VLOOKUP(F1076,'Glovo Raw Nov 4-6 2025'!B:B,1,FALSE),"Not Matched"))))))</f>
      </c>
      <c r="H1076">
        <f>COUNTIF(F:F,F1076)</f>
      </c>
      <c r="I1076" t="s">
        <v>9922</v>
      </c>
      <c r="J1076" t="s">
        <v>4915</v>
      </c>
      <c r="K1076" t="s">
        <v>4927</v>
      </c>
      <c r="L1076" t="s">
        <v>9881</v>
      </c>
      <c r="M1076" t="s">
        <v>9882</v>
      </c>
      <c r="N1076" t="s">
        <v>9883</v>
      </c>
      <c r="O1076" t="s">
        <v>47</v>
      </c>
      <c r="P1076" t="s">
        <v>5541</v>
      </c>
      <c r="Q1076">
        <v>0</v>
      </c>
      <c r="R1076" t="s">
        <v>4922</v>
      </c>
      <c r="S1076" t="s">
        <v>29</v>
      </c>
      <c r="T1076" t="s">
        <v>4923</v>
      </c>
      <c r="U1076" t="s">
        <v>4924</v>
      </c>
      <c r="V1076" t="s">
        <v>9923</v>
      </c>
      <c r="W1076" t="s">
        <v>3667</v>
      </c>
      <c r="X1076">
        <v>100</v>
      </c>
    </row>
    <row r="1077" spans="1:24" x14ac:dyDescent="0.25">
      <c r="A1077" t="s">
        <v>4932</v>
      </c>
      <c r="B1077" t="s">
        <v>9767</v>
      </c>
      <c r="C1077" t="s">
        <v>9768</v>
      </c>
      <c r="D1077" t="s">
        <v>13</v>
      </c>
      <c r="E1077" t="s">
        <v>4913</v>
      </c>
      <c r="F1077" t="s">
        <v>2687</v>
      </c>
      <c r="G1077">
        <f>IF(K1077="Pick-up","PICKUPS",IF(K1077="Staff drop-off","STAFF_DROPOFF",IF(K1077="Replacements","REPLACEMENT",IF(K1077="Central Stores Dispatch","CENTRAL STORES DISPATCH",IFNA(IFNA(VLOOKUP(F1077,'Raw Platform Nov 4-6 2025'!C:C,1,FALSE),VLOOKUP(F1077,'Raw Platform Nov 4-6 2025'!D:D,1,FALSE)),IFNA(VLOOKUP(F1077,'Glovo Raw Nov 4-6 2025'!B:B,1,FALSE),"Not Matched"))))))</f>
      </c>
      <c r="H1077">
        <f>COUNTIF(F:F,F1077)</f>
      </c>
      <c r="I1077" t="s">
        <v>9924</v>
      </c>
      <c r="J1077" t="s">
        <v>4915</v>
      </c>
      <c r="K1077" t="s">
        <v>4927</v>
      </c>
      <c r="L1077" t="s">
        <v>9925</v>
      </c>
      <c r="M1077" t="s">
        <v>9926</v>
      </c>
      <c r="N1077" t="s">
        <v>9927</v>
      </c>
      <c r="O1077" t="s">
        <v>4956</v>
      </c>
      <c r="P1077" t="s">
        <v>5613</v>
      </c>
      <c r="Q1077">
        <v>0</v>
      </c>
      <c r="R1077" t="s">
        <v>4922</v>
      </c>
      <c r="S1077" t="s">
        <v>29</v>
      </c>
      <c r="T1077" t="s">
        <v>4923</v>
      </c>
      <c r="U1077" t="s">
        <v>4924</v>
      </c>
      <c r="V1077" t="s">
        <v>9928</v>
      </c>
      <c r="W1077" t="s">
        <v>3667</v>
      </c>
      <c r="X1077">
        <v>100</v>
      </c>
    </row>
    <row r="1078" spans="1:24" x14ac:dyDescent="0.25">
      <c r="A1078" t="s">
        <v>4910</v>
      </c>
      <c r="B1078" t="s">
        <v>9767</v>
      </c>
      <c r="C1078" t="s">
        <v>9768</v>
      </c>
      <c r="D1078" t="s">
        <v>13</v>
      </c>
      <c r="E1078" t="s">
        <v>4913</v>
      </c>
      <c r="F1078" t="s">
        <v>3391</v>
      </c>
      <c r="G1078">
        <f>IF(K1078="Pick-up","PICKUPS",IF(K1078="Staff drop-off","STAFF_DROPOFF",IF(K1078="Replacements","REPLACEMENT",IF(K1078="Central Stores Dispatch","CENTRAL STORES DISPATCH",IFNA(IFNA(VLOOKUP(F1078,'Raw Platform Nov 4-6 2025'!C:C,1,FALSE),VLOOKUP(F1078,'Raw Platform Nov 4-6 2025'!D:D,1,FALSE)),IFNA(VLOOKUP(F1078,'Glovo Raw Nov 4-6 2025'!B:B,1,FALSE),"Not Matched"))))))</f>
      </c>
      <c r="H1078">
        <f>COUNTIF(F:F,F1078)</f>
      </c>
      <c r="I1078" t="s">
        <v>9929</v>
      </c>
      <c r="J1078" t="s">
        <v>4915</v>
      </c>
      <c r="K1078" t="s">
        <v>4927</v>
      </c>
      <c r="L1078" t="s">
        <v>9930</v>
      </c>
      <c r="M1078" t="s">
        <v>9931</v>
      </c>
      <c r="N1078" t="s">
        <v>9932</v>
      </c>
      <c r="O1078" t="s">
        <v>4990</v>
      </c>
      <c r="P1078" t="s">
        <v>6558</v>
      </c>
      <c r="Q1078">
        <v>0</v>
      </c>
      <c r="R1078" t="s">
        <v>4922</v>
      </c>
      <c r="S1078" t="s">
        <v>12</v>
      </c>
      <c r="T1078" t="s">
        <v>4923</v>
      </c>
      <c r="U1078" t="s">
        <v>4924</v>
      </c>
      <c r="V1078" t="s">
        <v>9933</v>
      </c>
      <c r="W1078" t="s">
        <v>3667</v>
      </c>
      <c r="X1078">
        <v>100</v>
      </c>
    </row>
    <row r="1079" spans="1:24" x14ac:dyDescent="0.25">
      <c r="A1079" t="s">
        <v>4932</v>
      </c>
      <c r="B1079" t="s">
        <v>9767</v>
      </c>
      <c r="C1079" t="s">
        <v>9768</v>
      </c>
      <c r="D1079" t="s">
        <v>13</v>
      </c>
      <c r="E1079" t="s">
        <v>4913</v>
      </c>
      <c r="F1079" t="s">
        <v>3243</v>
      </c>
      <c r="G1079">
        <f>IF(K1079="Pick-up","PICKUPS",IF(K1079="Staff drop-off","STAFF_DROPOFF",IF(K1079="Replacements","REPLACEMENT",IF(K1079="Central Stores Dispatch","CENTRAL STORES DISPATCH",IFNA(IFNA(VLOOKUP(F1079,'Raw Platform Nov 4-6 2025'!C:C,1,FALSE),VLOOKUP(F1079,'Raw Platform Nov 4-6 2025'!D:D,1,FALSE)),IFNA(VLOOKUP(F1079,'Glovo Raw Nov 4-6 2025'!B:B,1,FALSE),"Not Matched"))))))</f>
      </c>
      <c r="H1079">
        <f>COUNTIF(F:F,F1079)</f>
      </c>
      <c r="I1079" t="s">
        <v>9934</v>
      </c>
      <c r="J1079" t="s">
        <v>4915</v>
      </c>
      <c r="K1079" t="s">
        <v>4927</v>
      </c>
      <c r="L1079" t="s">
        <v>9935</v>
      </c>
      <c r="M1079" t="s">
        <v>9936</v>
      </c>
      <c r="N1079" t="s">
        <v>9932</v>
      </c>
      <c r="O1079" t="s">
        <v>4990</v>
      </c>
      <c r="P1079" t="s">
        <v>6558</v>
      </c>
      <c r="Q1079">
        <v>0</v>
      </c>
      <c r="R1079" t="s">
        <v>4922</v>
      </c>
      <c r="S1079" t="s">
        <v>29</v>
      </c>
      <c r="T1079" t="s">
        <v>4923</v>
      </c>
      <c r="U1079" t="s">
        <v>4924</v>
      </c>
      <c r="V1079" t="s">
        <v>9937</v>
      </c>
      <c r="W1079" t="s">
        <v>3667</v>
      </c>
      <c r="X1079">
        <v>100</v>
      </c>
    </row>
    <row r="1080" spans="1:24" x14ac:dyDescent="0.25">
      <c r="A1080" t="s">
        <v>4910</v>
      </c>
      <c r="B1080" t="s">
        <v>9767</v>
      </c>
      <c r="C1080" t="s">
        <v>9768</v>
      </c>
      <c r="D1080" t="s">
        <v>13</v>
      </c>
      <c r="E1080" t="s">
        <v>4913</v>
      </c>
      <c r="F1080" t="s">
        <v>9938</v>
      </c>
      <c r="G1080">
        <f>IF(K1080="Pick-up","PICKUPS",IF(K1080="Staff drop-off","STAFF_DROPOFF",IF(K1080="Replacements","REPLACEMENT",IF(K1080="Central Stores Dispatch","CENTRAL STORES DISPATCH",IFNA(IFNA(VLOOKUP(F1080,'Raw Platform Nov 4-6 2025'!C:C,1,FALSE),VLOOKUP(F1080,'Raw Platform Nov 4-6 2025'!D:D,1,FALSE)),IFNA(VLOOKUP(F1080,'Glovo Raw Nov 4-6 2025'!B:B,1,FALSE),"Not Matched"))))))</f>
      </c>
      <c r="H1080">
        <f>COUNTIF(F:F,F1080)</f>
      </c>
      <c r="I1080" t="s">
        <v>9939</v>
      </c>
      <c r="J1080" t="s">
        <v>5289</v>
      </c>
      <c r="K1080" t="s">
        <v>4927</v>
      </c>
      <c r="L1080" t="s">
        <v>9940</v>
      </c>
      <c r="M1080" t="s">
        <v>4918</v>
      </c>
      <c r="N1080" t="s">
        <v>6256</v>
      </c>
      <c r="O1080" t="s">
        <v>2009</v>
      </c>
      <c r="P1080" t="s">
        <v>5128</v>
      </c>
      <c r="Q1080">
        <v>0</v>
      </c>
      <c r="R1080" t="s">
        <v>4922</v>
      </c>
      <c r="S1080" t="s">
        <v>116</v>
      </c>
      <c r="T1080" t="s">
        <v>4923</v>
      </c>
      <c r="U1080" t="s">
        <v>4924</v>
      </c>
      <c r="V1080" t="s">
        <v>9941</v>
      </c>
      <c r="W1080" t="s">
        <v>3667</v>
      </c>
      <c r="X1080">
        <v>116.1</v>
      </c>
    </row>
    <row r="1081" spans="1:24" x14ac:dyDescent="0.25">
      <c r="A1081" t="s">
        <v>4932</v>
      </c>
      <c r="B1081" t="s">
        <v>9767</v>
      </c>
      <c r="C1081" t="s">
        <v>9768</v>
      </c>
      <c r="D1081" t="s">
        <v>13</v>
      </c>
      <c r="E1081" t="s">
        <v>4913</v>
      </c>
      <c r="F1081" t="s">
        <v>2943</v>
      </c>
      <c r="G1081">
        <f>IF(K1081="Pick-up","PICKUPS",IF(K1081="Staff drop-off","STAFF_DROPOFF",IF(K1081="Replacements","REPLACEMENT",IF(K1081="Central Stores Dispatch","CENTRAL STORES DISPATCH",IFNA(IFNA(VLOOKUP(F1081,'Raw Platform Nov 4-6 2025'!C:C,1,FALSE),VLOOKUP(F1081,'Raw Platform Nov 4-6 2025'!D:D,1,FALSE)),IFNA(VLOOKUP(F1081,'Glovo Raw Nov 4-6 2025'!B:B,1,FALSE),"Not Matched"))))))</f>
      </c>
      <c r="H1081">
        <f>COUNTIF(F:F,F1081)</f>
      </c>
      <c r="I1081" t="s">
        <v>9942</v>
      </c>
      <c r="J1081" t="s">
        <v>63</v>
      </c>
      <c r="K1081" t="s">
        <v>4916</v>
      </c>
      <c r="L1081" t="s">
        <v>9943</v>
      </c>
      <c r="M1081" t="s">
        <v>9944</v>
      </c>
      <c r="N1081" t="s">
        <v>5082</v>
      </c>
      <c r="O1081" t="s">
        <v>4949</v>
      </c>
      <c r="P1081" t="s">
        <v>5007</v>
      </c>
      <c r="Q1081">
        <v>2470</v>
      </c>
      <c r="R1081" t="s">
        <v>4922</v>
      </c>
      <c r="S1081" t="s">
        <v>29</v>
      </c>
      <c r="T1081" t="s">
        <v>4923</v>
      </c>
      <c r="U1081" t="s">
        <v>4924</v>
      </c>
      <c r="V1081" t="s">
        <v>9945</v>
      </c>
      <c r="W1081" t="s">
        <v>3667</v>
      </c>
      <c r="X1081">
        <v>100</v>
      </c>
    </row>
    <row r="1082" spans="1:24" x14ac:dyDescent="0.25">
      <c r="A1082" t="s">
        <v>4932</v>
      </c>
      <c r="B1082" t="s">
        <v>9767</v>
      </c>
      <c r="C1082" t="s">
        <v>9768</v>
      </c>
      <c r="D1082" t="s">
        <v>13</v>
      </c>
      <c r="E1082" t="s">
        <v>4913</v>
      </c>
      <c r="F1082" t="s">
        <v>3162</v>
      </c>
      <c r="G1082">
        <f>IF(K1082="Pick-up","PICKUPS",IF(K1082="Staff drop-off","STAFF_DROPOFF",IF(K1082="Replacements","REPLACEMENT",IF(K1082="Central Stores Dispatch","CENTRAL STORES DISPATCH",IFNA(IFNA(VLOOKUP(F1082,'Raw Platform Nov 4-6 2025'!C:C,1,FALSE),VLOOKUP(F1082,'Raw Platform Nov 4-6 2025'!D:D,1,FALSE)),IFNA(VLOOKUP(F1082,'Glovo Raw Nov 4-6 2025'!B:B,1,FALSE),"Not Matched"))))))</f>
      </c>
      <c r="H1082">
        <f>COUNTIF(F:F,F1082)</f>
      </c>
      <c r="I1082" t="s">
        <v>9946</v>
      </c>
      <c r="J1082" t="s">
        <v>63</v>
      </c>
      <c r="K1082" t="s">
        <v>4916</v>
      </c>
      <c r="L1082" t="s">
        <v>9947</v>
      </c>
      <c r="M1082" t="s">
        <v>9948</v>
      </c>
      <c r="N1082" t="s">
        <v>9949</v>
      </c>
      <c r="O1082" t="s">
        <v>47</v>
      </c>
      <c r="P1082" t="s">
        <v>4956</v>
      </c>
      <c r="Q1082">
        <v>1458</v>
      </c>
      <c r="R1082" t="s">
        <v>4922</v>
      </c>
      <c r="S1082" t="s">
        <v>29</v>
      </c>
      <c r="T1082" t="s">
        <v>4923</v>
      </c>
      <c r="U1082" t="s">
        <v>4924</v>
      </c>
      <c r="V1082" t="s">
        <v>9950</v>
      </c>
      <c r="W1082" t="s">
        <v>3667</v>
      </c>
      <c r="X1082">
        <v>134.5</v>
      </c>
    </row>
    <row r="1083" spans="1:24" x14ac:dyDescent="0.25">
      <c r="A1083" t="s">
        <v>4932</v>
      </c>
      <c r="B1083" t="s">
        <v>9767</v>
      </c>
      <c r="C1083" t="s">
        <v>9768</v>
      </c>
      <c r="D1083" t="s">
        <v>13</v>
      </c>
      <c r="E1083" t="s">
        <v>4913</v>
      </c>
      <c r="F1083" t="s">
        <v>3395</v>
      </c>
      <c r="G1083">
        <f>IF(K1083="Pick-up","PICKUPS",IF(K1083="Staff drop-off","STAFF_DROPOFF",IF(K1083="Replacements","REPLACEMENT",IF(K1083="Central Stores Dispatch","CENTRAL STORES DISPATCH",IFNA(IFNA(VLOOKUP(F1083,'Raw Platform Nov 4-6 2025'!C:C,1,FALSE),VLOOKUP(F1083,'Raw Platform Nov 4-6 2025'!D:D,1,FALSE)),IFNA(VLOOKUP(F1083,'Glovo Raw Nov 4-6 2025'!B:B,1,FALSE),"Not Matched"))))))</f>
      </c>
      <c r="H1083">
        <f>COUNTIF(F:F,F1083)</f>
      </c>
      <c r="I1083" t="s">
        <v>9951</v>
      </c>
      <c r="J1083" t="s">
        <v>4915</v>
      </c>
      <c r="K1083" t="s">
        <v>4927</v>
      </c>
      <c r="L1083" t="s">
        <v>9952</v>
      </c>
      <c r="M1083" t="s">
        <v>9953</v>
      </c>
      <c r="N1083" t="s">
        <v>9954</v>
      </c>
      <c r="O1083" t="s">
        <v>47</v>
      </c>
      <c r="P1083" t="s">
        <v>5045</v>
      </c>
      <c r="Q1083">
        <v>0</v>
      </c>
      <c r="R1083" t="s">
        <v>4922</v>
      </c>
      <c r="S1083" t="s">
        <v>29</v>
      </c>
      <c r="T1083" t="s">
        <v>4923</v>
      </c>
      <c r="U1083" t="s">
        <v>4924</v>
      </c>
      <c r="V1083" t="s">
        <v>9955</v>
      </c>
      <c r="W1083" t="s">
        <v>3667</v>
      </c>
      <c r="X1083">
        <v>102.3</v>
      </c>
    </row>
    <row r="1084" spans="1:24" x14ac:dyDescent="0.25">
      <c r="A1084" t="s">
        <v>5176</v>
      </c>
      <c r="B1084" t="s">
        <v>9956</v>
      </c>
      <c r="C1084" t="s">
        <v>9957</v>
      </c>
      <c r="D1084" t="s">
        <v>30</v>
      </c>
      <c r="E1084" t="s">
        <v>4913</v>
      </c>
      <c r="F1084" t="s">
        <v>919</v>
      </c>
      <c r="G1084">
        <f>IF(K1084="Pick-up","PICKUPS",IF(K1084="Staff drop-off","STAFF_DROPOFF",IF(K1084="Replacements","REPLACEMENT",IF(K1084="Central Stores Dispatch","CENTRAL STORES DISPATCH",IFNA(IFNA(VLOOKUP(F1084,'Raw Platform Nov 4-6 2025'!C:C,1,FALSE),VLOOKUP(F1084,'Raw Platform Nov 4-6 2025'!D:D,1,FALSE)),IFNA(VLOOKUP(F1084,'Glovo Raw Nov 4-6 2025'!B:B,1,FALSE),"Not Matched"))))))</f>
      </c>
      <c r="H1084">
        <f>COUNTIF(F:F,F1084)</f>
      </c>
      <c r="I1084" t="s">
        <v>8073</v>
      </c>
      <c r="J1084" t="s">
        <v>63</v>
      </c>
      <c r="K1084" t="s">
        <v>4916</v>
      </c>
      <c r="L1084" t="s">
        <v>9958</v>
      </c>
      <c r="M1084" t="s">
        <v>9959</v>
      </c>
      <c r="N1084" t="s">
        <v>9960</v>
      </c>
      <c r="O1084" t="s">
        <v>91</v>
      </c>
      <c r="P1084" t="s">
        <v>5845</v>
      </c>
      <c r="Q1084">
        <v>1100</v>
      </c>
      <c r="R1084" t="s">
        <v>5118</v>
      </c>
      <c r="S1084" t="s">
        <v>45</v>
      </c>
      <c r="T1084" t="s">
        <v>4923</v>
      </c>
      <c r="U1084" t="s">
        <v>4924</v>
      </c>
      <c r="V1084" t="s">
        <v>9961</v>
      </c>
      <c r="W1084" t="s">
        <v>3667</v>
      </c>
      <c r="X1084">
        <v>247.2</v>
      </c>
    </row>
    <row r="1085" spans="1:24" x14ac:dyDescent="0.25">
      <c r="A1085" t="s">
        <v>5176</v>
      </c>
      <c r="B1085" t="s">
        <v>9956</v>
      </c>
      <c r="C1085" t="s">
        <v>9957</v>
      </c>
      <c r="D1085" t="s">
        <v>30</v>
      </c>
      <c r="E1085" t="s">
        <v>4913</v>
      </c>
      <c r="F1085" t="s">
        <v>498</v>
      </c>
      <c r="G1085">
        <f>IF(K1085="Pick-up","PICKUPS",IF(K1085="Staff drop-off","STAFF_DROPOFF",IF(K1085="Replacements","REPLACEMENT",IF(K1085="Central Stores Dispatch","CENTRAL STORES DISPATCH",IFNA(IFNA(VLOOKUP(F1085,'Raw Platform Nov 4-6 2025'!C:C,1,FALSE),VLOOKUP(F1085,'Raw Platform Nov 4-6 2025'!D:D,1,FALSE)),IFNA(VLOOKUP(F1085,'Glovo Raw Nov 4-6 2025'!B:B,1,FALSE),"Not Matched"))))))</f>
      </c>
      <c r="H1085">
        <f>COUNTIF(F:F,F1085)</f>
      </c>
      <c r="I1085" t="s">
        <v>9962</v>
      </c>
      <c r="J1085" t="s">
        <v>4915</v>
      </c>
      <c r="K1085" t="s">
        <v>4927</v>
      </c>
      <c r="L1085" t="s">
        <v>9963</v>
      </c>
      <c r="M1085" t="s">
        <v>9964</v>
      </c>
      <c r="N1085" t="s">
        <v>9965</v>
      </c>
      <c r="O1085" t="s">
        <v>73</v>
      </c>
      <c r="P1085" t="s">
        <v>4996</v>
      </c>
      <c r="Q1085">
        <v>0</v>
      </c>
      <c r="R1085" t="s">
        <v>5118</v>
      </c>
      <c r="S1085" t="s">
        <v>172</v>
      </c>
      <c r="T1085" t="s">
        <v>4923</v>
      </c>
      <c r="U1085" t="s">
        <v>4924</v>
      </c>
      <c r="V1085" t="s">
        <v>9966</v>
      </c>
      <c r="W1085" t="s">
        <v>3667</v>
      </c>
      <c r="X1085">
        <v>129.9</v>
      </c>
    </row>
    <row r="1086" spans="1:24" x14ac:dyDescent="0.25">
      <c r="A1086" t="s">
        <v>5176</v>
      </c>
      <c r="B1086" t="s">
        <v>9956</v>
      </c>
      <c r="C1086" t="s">
        <v>9957</v>
      </c>
      <c r="D1086" t="s">
        <v>30</v>
      </c>
      <c r="E1086" t="s">
        <v>4913</v>
      </c>
      <c r="F1086" t="s">
        <v>627</v>
      </c>
      <c r="G1086">
        <f>IF(K1086="Pick-up","PICKUPS",IF(K1086="Staff drop-off","STAFF_DROPOFF",IF(K1086="Replacements","REPLACEMENT",IF(K1086="Central Stores Dispatch","CENTRAL STORES DISPATCH",IFNA(IFNA(VLOOKUP(F1086,'Raw Platform Nov 4-6 2025'!C:C,1,FALSE),VLOOKUP(F1086,'Raw Platform Nov 4-6 2025'!D:D,1,FALSE)),IFNA(VLOOKUP(F1086,'Glovo Raw Nov 4-6 2025'!B:B,1,FALSE),"Not Matched"))))))</f>
      </c>
      <c r="H1086">
        <f>COUNTIF(F:F,F1086)</f>
      </c>
      <c r="I1086" t="s">
        <v>9967</v>
      </c>
      <c r="J1086" t="s">
        <v>4915</v>
      </c>
      <c r="K1086" t="s">
        <v>4916</v>
      </c>
      <c r="L1086" t="s">
        <v>9968</v>
      </c>
      <c r="M1086" t="s">
        <v>9969</v>
      </c>
      <c r="N1086" t="s">
        <v>9970</v>
      </c>
      <c r="O1086" t="s">
        <v>9</v>
      </c>
      <c r="P1086" t="s">
        <v>4962</v>
      </c>
      <c r="Q1086">
        <v>850</v>
      </c>
      <c r="R1086" t="s">
        <v>5118</v>
      </c>
      <c r="S1086" t="s">
        <v>29</v>
      </c>
      <c r="T1086" t="s">
        <v>4923</v>
      </c>
      <c r="U1086" t="s">
        <v>4924</v>
      </c>
      <c r="V1086" t="s">
        <v>9971</v>
      </c>
      <c r="W1086" t="s">
        <v>3667</v>
      </c>
      <c r="X1086">
        <v>180.5</v>
      </c>
    </row>
    <row r="1087" spans="1:24" x14ac:dyDescent="0.25">
      <c r="A1087" t="s">
        <v>5176</v>
      </c>
      <c r="B1087" t="s">
        <v>9956</v>
      </c>
      <c r="C1087" t="s">
        <v>9957</v>
      </c>
      <c r="D1087" t="s">
        <v>30</v>
      </c>
      <c r="E1087" t="s">
        <v>4913</v>
      </c>
      <c r="F1087" t="s">
        <v>1272</v>
      </c>
      <c r="G1087">
        <f>IF(K1087="Pick-up","PICKUPS",IF(K1087="Staff drop-off","STAFF_DROPOFF",IF(K1087="Replacements","REPLACEMENT",IF(K1087="Central Stores Dispatch","CENTRAL STORES DISPATCH",IFNA(IFNA(VLOOKUP(F1087,'Raw Platform Nov 4-6 2025'!C:C,1,FALSE),VLOOKUP(F1087,'Raw Platform Nov 4-6 2025'!D:D,1,FALSE)),IFNA(VLOOKUP(F1087,'Glovo Raw Nov 4-6 2025'!B:B,1,FALSE),"Not Matched"))))))</f>
      </c>
      <c r="H1087">
        <f>COUNTIF(F:F,F1087)</f>
      </c>
      <c r="I1087" t="s">
        <v>9972</v>
      </c>
      <c r="J1087" t="s">
        <v>4915</v>
      </c>
      <c r="K1087" t="s">
        <v>4927</v>
      </c>
      <c r="L1087" t="s">
        <v>9973</v>
      </c>
      <c r="M1087" t="s">
        <v>9974</v>
      </c>
      <c r="N1087" t="s">
        <v>6346</v>
      </c>
      <c r="O1087" t="s">
        <v>73</v>
      </c>
      <c r="P1087" t="s">
        <v>5572</v>
      </c>
      <c r="Q1087">
        <v>0</v>
      </c>
      <c r="R1087" t="s">
        <v>5118</v>
      </c>
      <c r="S1087" t="s">
        <v>12</v>
      </c>
      <c r="T1087" t="s">
        <v>4923</v>
      </c>
      <c r="U1087" t="s">
        <v>4924</v>
      </c>
      <c r="V1087" t="s">
        <v>9975</v>
      </c>
      <c r="W1087" t="s">
        <v>3667</v>
      </c>
      <c r="X1087">
        <v>125.3</v>
      </c>
    </row>
    <row r="1088" spans="1:24" x14ac:dyDescent="0.25">
      <c r="A1088" t="s">
        <v>5176</v>
      </c>
      <c r="B1088" t="s">
        <v>9956</v>
      </c>
      <c r="C1088" t="s">
        <v>9957</v>
      </c>
      <c r="D1088" t="s">
        <v>30</v>
      </c>
      <c r="E1088" t="s">
        <v>4913</v>
      </c>
      <c r="F1088" t="s">
        <v>226</v>
      </c>
      <c r="G1088">
        <f>IF(K1088="Pick-up","PICKUPS",IF(K1088="Staff drop-off","STAFF_DROPOFF",IF(K1088="Replacements","REPLACEMENT",IF(K1088="Central Stores Dispatch","CENTRAL STORES DISPATCH",IFNA(IFNA(VLOOKUP(F1088,'Raw Platform Nov 4-6 2025'!C:C,1,FALSE),VLOOKUP(F1088,'Raw Platform Nov 4-6 2025'!D:D,1,FALSE)),IFNA(VLOOKUP(F1088,'Glovo Raw Nov 4-6 2025'!B:B,1,FALSE),"Not Matched"))))))</f>
      </c>
      <c r="H1088">
        <f>COUNTIF(F:F,F1088)</f>
      </c>
      <c r="I1088" t="s">
        <v>9976</v>
      </c>
      <c r="J1088" t="s">
        <v>4915</v>
      </c>
      <c r="K1088" t="s">
        <v>4916</v>
      </c>
      <c r="L1088" t="s">
        <v>9977</v>
      </c>
      <c r="M1088" t="s">
        <v>9978</v>
      </c>
      <c r="N1088" t="s">
        <v>9979</v>
      </c>
      <c r="O1088" t="s">
        <v>53</v>
      </c>
      <c r="P1088" t="s">
        <v>6235</v>
      </c>
      <c r="Q1088">
        <v>2490</v>
      </c>
      <c r="R1088" t="s">
        <v>5118</v>
      </c>
      <c r="S1088" t="s">
        <v>29</v>
      </c>
      <c r="T1088" t="s">
        <v>4923</v>
      </c>
      <c r="U1088" t="s">
        <v>4924</v>
      </c>
      <c r="V1088" t="s">
        <v>9980</v>
      </c>
      <c r="W1088" t="s">
        <v>3667</v>
      </c>
      <c r="X1088">
        <v>104.6</v>
      </c>
    </row>
    <row r="1089" spans="1:24" x14ac:dyDescent="0.25">
      <c r="A1089" t="s">
        <v>5176</v>
      </c>
      <c r="B1089" t="s">
        <v>9956</v>
      </c>
      <c r="C1089" t="s">
        <v>9957</v>
      </c>
      <c r="D1089" t="s">
        <v>30</v>
      </c>
      <c r="E1089" t="s">
        <v>4913</v>
      </c>
      <c r="F1089" t="s">
        <v>3998</v>
      </c>
      <c r="G1089">
        <f>IF(K1089="Pick-up","PICKUPS",IF(K1089="Staff drop-off","STAFF_DROPOFF",IF(K1089="Replacements","REPLACEMENT",IF(K1089="Central Stores Dispatch","CENTRAL STORES DISPATCH",IFNA(IFNA(VLOOKUP(F1089,'Raw Platform Nov 4-6 2025'!C:C,1,FALSE),VLOOKUP(F1089,'Raw Platform Nov 4-6 2025'!D:D,1,FALSE)),IFNA(VLOOKUP(F1089,'Glovo Raw Nov 4-6 2025'!B:B,1,FALSE),"Not Matched"))))))</f>
      </c>
      <c r="H1089">
        <f>COUNTIF(F:F,F1089)</f>
      </c>
      <c r="I1089" t="s">
        <v>9981</v>
      </c>
      <c r="J1089" t="s">
        <v>63</v>
      </c>
      <c r="K1089" t="s">
        <v>4916</v>
      </c>
      <c r="L1089" t="s">
        <v>9982</v>
      </c>
      <c r="M1089" t="s">
        <v>5327</v>
      </c>
      <c r="N1089" t="s">
        <v>8668</v>
      </c>
      <c r="O1089" t="s">
        <v>6318</v>
      </c>
      <c r="P1089" t="s">
        <v>6117</v>
      </c>
      <c r="Q1089">
        <v>2685</v>
      </c>
      <c r="R1089" t="s">
        <v>5118</v>
      </c>
      <c r="S1089" t="s">
        <v>45</v>
      </c>
      <c r="T1089" t="s">
        <v>4923</v>
      </c>
      <c r="U1089" t="s">
        <v>4924</v>
      </c>
      <c r="V1089" t="s">
        <v>9983</v>
      </c>
      <c r="W1089" t="s">
        <v>3667</v>
      </c>
      <c r="X1089">
        <v>422</v>
      </c>
    </row>
    <row r="1090" spans="1:24" x14ac:dyDescent="0.25">
      <c r="A1090" t="s">
        <v>5176</v>
      </c>
      <c r="B1090" t="s">
        <v>9956</v>
      </c>
      <c r="C1090" t="s">
        <v>9957</v>
      </c>
      <c r="D1090" t="s">
        <v>191</v>
      </c>
      <c r="E1090" t="s">
        <v>4913</v>
      </c>
      <c r="F1090" t="s">
        <v>2407</v>
      </c>
      <c r="G1090">
        <f>IF(K1090="Pick-up","PICKUPS",IF(K1090="Staff drop-off","STAFF_DROPOFF",IF(K1090="Replacements","REPLACEMENT",IF(K1090="Central Stores Dispatch","CENTRAL STORES DISPATCH",IFNA(IFNA(VLOOKUP(F1090,'Raw Platform Nov 4-6 2025'!C:C,1,FALSE),VLOOKUP(F1090,'Raw Platform Nov 4-6 2025'!D:D,1,FALSE)),IFNA(VLOOKUP(F1090,'Glovo Raw Nov 4-6 2025'!B:B,1,FALSE),"Not Matched"))))))</f>
      </c>
      <c r="H1090">
        <f>COUNTIF(F:F,F1090)</f>
      </c>
      <c r="I1090" t="s">
        <v>9984</v>
      </c>
      <c r="J1090" t="s">
        <v>4915</v>
      </c>
      <c r="K1090" t="s">
        <v>4927</v>
      </c>
      <c r="L1090" t="s">
        <v>9985</v>
      </c>
      <c r="M1090" t="s">
        <v>5327</v>
      </c>
      <c r="N1090" t="s">
        <v>9986</v>
      </c>
      <c r="O1090" t="s">
        <v>73</v>
      </c>
      <c r="P1090" t="s">
        <v>4996</v>
      </c>
      <c r="Q1090">
        <v>0</v>
      </c>
      <c r="R1090" t="s">
        <v>5118</v>
      </c>
      <c r="S1090" t="s">
        <v>5184</v>
      </c>
      <c r="T1090" t="s">
        <v>4923</v>
      </c>
      <c r="U1090" t="s">
        <v>4924</v>
      </c>
      <c r="V1090" t="s">
        <v>9987</v>
      </c>
      <c r="W1090" t="s">
        <v>3667</v>
      </c>
      <c r="X1090">
        <v>129.9</v>
      </c>
    </row>
    <row r="1091" spans="1:24" x14ac:dyDescent="0.25">
      <c r="A1091" t="s">
        <v>5176</v>
      </c>
      <c r="B1091" t="s">
        <v>9956</v>
      </c>
      <c r="C1091" t="s">
        <v>9957</v>
      </c>
      <c r="D1091" t="s">
        <v>30</v>
      </c>
      <c r="E1091" t="s">
        <v>4913</v>
      </c>
      <c r="F1091" t="s">
        <v>1814</v>
      </c>
      <c r="G1091">
        <f>IF(K1091="Pick-up","PICKUPS",IF(K1091="Staff drop-off","STAFF_DROPOFF",IF(K1091="Replacements","REPLACEMENT",IF(K1091="Central Stores Dispatch","CENTRAL STORES DISPATCH",IFNA(IFNA(VLOOKUP(F1091,'Raw Platform Nov 4-6 2025'!C:C,1,FALSE),VLOOKUP(F1091,'Raw Platform Nov 4-6 2025'!D:D,1,FALSE)),IFNA(VLOOKUP(F1091,'Glovo Raw Nov 4-6 2025'!B:B,1,FALSE),"Not Matched"))))))</f>
      </c>
      <c r="H1091">
        <f>COUNTIF(F:F,F1091)</f>
      </c>
      <c r="I1091" t="s">
        <v>9988</v>
      </c>
      <c r="J1091" t="s">
        <v>63</v>
      </c>
      <c r="K1091" t="s">
        <v>4927</v>
      </c>
      <c r="L1091" t="s">
        <v>9989</v>
      </c>
      <c r="M1091" t="s">
        <v>8882</v>
      </c>
      <c r="N1091" t="s">
        <v>8883</v>
      </c>
      <c r="O1091" t="s">
        <v>2009</v>
      </c>
      <c r="P1091" t="s">
        <v>4969</v>
      </c>
      <c r="Q1091">
        <v>0</v>
      </c>
      <c r="R1091" t="s">
        <v>5118</v>
      </c>
      <c r="S1091" t="s">
        <v>29</v>
      </c>
      <c r="T1091" t="s">
        <v>4923</v>
      </c>
      <c r="U1091" t="s">
        <v>4924</v>
      </c>
      <c r="V1091" t="s">
        <v>9990</v>
      </c>
      <c r="W1091" t="s">
        <v>3667</v>
      </c>
      <c r="X1091">
        <v>100</v>
      </c>
    </row>
    <row r="1092" spans="1:24" x14ac:dyDescent="0.25">
      <c r="A1092" t="s">
        <v>5176</v>
      </c>
      <c r="B1092" t="s">
        <v>9956</v>
      </c>
      <c r="C1092" t="s">
        <v>9957</v>
      </c>
      <c r="D1092" t="s">
        <v>191</v>
      </c>
      <c r="E1092" t="s">
        <v>4913</v>
      </c>
      <c r="F1092" t="s">
        <v>2318</v>
      </c>
      <c r="G1092">
        <f>IF(K1092="Pick-up","PICKUPS",IF(K1092="Staff drop-off","STAFF_DROPOFF",IF(K1092="Replacements","REPLACEMENT",IF(K1092="Central Stores Dispatch","CENTRAL STORES DISPATCH",IFNA(IFNA(VLOOKUP(F1092,'Raw Platform Nov 4-6 2025'!C:C,1,FALSE),VLOOKUP(F1092,'Raw Platform Nov 4-6 2025'!D:D,1,FALSE)),IFNA(VLOOKUP(F1092,'Glovo Raw Nov 4-6 2025'!B:B,1,FALSE),"Not Matched"))))))</f>
      </c>
      <c r="H1092">
        <f>COUNTIF(F:F,F1092)</f>
      </c>
      <c r="I1092" t="s">
        <v>9991</v>
      </c>
      <c r="J1092" t="s">
        <v>4915</v>
      </c>
      <c r="K1092" t="s">
        <v>4927</v>
      </c>
      <c r="L1092" t="s">
        <v>9992</v>
      </c>
      <c r="M1092" t="s">
        <v>9993</v>
      </c>
      <c r="N1092" t="s">
        <v>9994</v>
      </c>
      <c r="O1092" t="s">
        <v>91</v>
      </c>
      <c r="P1092" t="s">
        <v>6267</v>
      </c>
      <c r="Q1092">
        <v>0</v>
      </c>
      <c r="R1092" t="s">
        <v>5118</v>
      </c>
      <c r="S1092" t="s">
        <v>5184</v>
      </c>
      <c r="T1092" t="s">
        <v>4923</v>
      </c>
      <c r="U1092" t="s">
        <v>4924</v>
      </c>
      <c r="V1092" t="s">
        <v>9995</v>
      </c>
      <c r="W1092" t="s">
        <v>3667</v>
      </c>
      <c r="X1092">
        <v>198.9</v>
      </c>
    </row>
    <row r="1093" spans="1:24" x14ac:dyDescent="0.25">
      <c r="A1093" t="s">
        <v>5176</v>
      </c>
      <c r="B1093" t="s">
        <v>9956</v>
      </c>
      <c r="C1093" t="s">
        <v>9957</v>
      </c>
      <c r="D1093" t="s">
        <v>30</v>
      </c>
      <c r="E1093" t="s">
        <v>4913</v>
      </c>
      <c r="F1093" t="s">
        <v>1632</v>
      </c>
      <c r="G1093">
        <f>IF(K1093="Pick-up","PICKUPS",IF(K1093="Staff drop-off","STAFF_DROPOFF",IF(K1093="Replacements","REPLACEMENT",IF(K1093="Central Stores Dispatch","CENTRAL STORES DISPATCH",IFNA(IFNA(VLOOKUP(F1093,'Raw Platform Nov 4-6 2025'!C:C,1,FALSE),VLOOKUP(F1093,'Raw Platform Nov 4-6 2025'!D:D,1,FALSE)),IFNA(VLOOKUP(F1093,'Glovo Raw Nov 4-6 2025'!B:B,1,FALSE),"Not Matched"))))))</f>
      </c>
      <c r="H1093">
        <f>COUNTIF(F:F,F1093)</f>
      </c>
      <c r="I1093" t="s">
        <v>9996</v>
      </c>
      <c r="J1093" t="s">
        <v>4915</v>
      </c>
      <c r="K1093" t="s">
        <v>4927</v>
      </c>
      <c r="L1093" t="s">
        <v>9997</v>
      </c>
      <c r="M1093" t="s">
        <v>5327</v>
      </c>
      <c r="N1093" t="s">
        <v>9998</v>
      </c>
      <c r="O1093" t="s">
        <v>4949</v>
      </c>
      <c r="P1093" t="s">
        <v>6558</v>
      </c>
      <c r="Q1093">
        <v>0</v>
      </c>
      <c r="R1093" t="s">
        <v>5118</v>
      </c>
      <c r="S1093" t="s">
        <v>29</v>
      </c>
      <c r="T1093" t="s">
        <v>4923</v>
      </c>
      <c r="U1093" t="s">
        <v>4924</v>
      </c>
      <c r="V1093" t="s">
        <v>9999</v>
      </c>
      <c r="W1093" t="s">
        <v>3667</v>
      </c>
      <c r="X1093">
        <v>100</v>
      </c>
    </row>
    <row r="1094" spans="1:24" x14ac:dyDescent="0.25">
      <c r="A1094" t="s">
        <v>5176</v>
      </c>
      <c r="B1094" t="s">
        <v>9956</v>
      </c>
      <c r="C1094" t="s">
        <v>9957</v>
      </c>
      <c r="D1094" t="s">
        <v>30</v>
      </c>
      <c r="E1094" t="s">
        <v>4913</v>
      </c>
      <c r="F1094" t="s">
        <v>1779</v>
      </c>
      <c r="G1094">
        <f>IF(K1094="Pick-up","PICKUPS",IF(K1094="Staff drop-off","STAFF_DROPOFF",IF(K1094="Replacements","REPLACEMENT",IF(K1094="Central Stores Dispatch","CENTRAL STORES DISPATCH",IFNA(IFNA(VLOOKUP(F1094,'Raw Platform Nov 4-6 2025'!C:C,1,FALSE),VLOOKUP(F1094,'Raw Platform Nov 4-6 2025'!D:D,1,FALSE)),IFNA(VLOOKUP(F1094,'Glovo Raw Nov 4-6 2025'!B:B,1,FALSE),"Not Matched"))))))</f>
      </c>
      <c r="H1094">
        <f>COUNTIF(F:F,F1094)</f>
      </c>
      <c r="I1094" t="s">
        <v>10000</v>
      </c>
      <c r="J1094" t="s">
        <v>4915</v>
      </c>
      <c r="K1094" t="s">
        <v>4916</v>
      </c>
      <c r="L1094" t="s">
        <v>10001</v>
      </c>
      <c r="M1094" t="s">
        <v>10002</v>
      </c>
      <c r="N1094" t="s">
        <v>10003</v>
      </c>
      <c r="O1094" t="s">
        <v>4949</v>
      </c>
      <c r="P1094" t="s">
        <v>5219</v>
      </c>
      <c r="Q1094">
        <v>640</v>
      </c>
      <c r="R1094" t="s">
        <v>5118</v>
      </c>
      <c r="S1094" t="s">
        <v>172</v>
      </c>
      <c r="T1094" t="s">
        <v>4923</v>
      </c>
      <c r="U1094" t="s">
        <v>4924</v>
      </c>
      <c r="V1094" t="s">
        <v>10004</v>
      </c>
      <c r="W1094" t="s">
        <v>3667</v>
      </c>
      <c r="X1094">
        <v>100</v>
      </c>
    </row>
    <row r="1095" spans="1:24" x14ac:dyDescent="0.25">
      <c r="A1095" t="s">
        <v>5176</v>
      </c>
      <c r="B1095" t="s">
        <v>9956</v>
      </c>
      <c r="C1095" t="s">
        <v>9957</v>
      </c>
      <c r="D1095" t="s">
        <v>30</v>
      </c>
      <c r="E1095" t="s">
        <v>4913</v>
      </c>
      <c r="F1095" t="s">
        <v>2065</v>
      </c>
      <c r="G1095">
        <f>IF(K1095="Pick-up","PICKUPS",IF(K1095="Staff drop-off","STAFF_DROPOFF",IF(K1095="Replacements","REPLACEMENT",IF(K1095="Central Stores Dispatch","CENTRAL STORES DISPATCH",IFNA(IFNA(VLOOKUP(F1095,'Raw Platform Nov 4-6 2025'!C:C,1,FALSE),VLOOKUP(F1095,'Raw Platform Nov 4-6 2025'!D:D,1,FALSE)),IFNA(VLOOKUP(F1095,'Glovo Raw Nov 4-6 2025'!B:B,1,FALSE),"Not Matched"))))))</f>
      </c>
      <c r="H1095">
        <f>COUNTIF(F:F,F1095)</f>
      </c>
      <c r="I1095" t="s">
        <v>10005</v>
      </c>
      <c r="J1095" t="s">
        <v>4915</v>
      </c>
      <c r="K1095" t="s">
        <v>4916</v>
      </c>
      <c r="L1095" t="s">
        <v>8843</v>
      </c>
      <c r="M1095" t="s">
        <v>10006</v>
      </c>
      <c r="N1095" t="s">
        <v>10007</v>
      </c>
      <c r="O1095" t="s">
        <v>2009</v>
      </c>
      <c r="P1095" t="s">
        <v>4984</v>
      </c>
      <c r="Q1095">
        <v>1290</v>
      </c>
      <c r="R1095" t="s">
        <v>5118</v>
      </c>
      <c r="S1095" t="s">
        <v>116</v>
      </c>
      <c r="T1095" t="s">
        <v>4923</v>
      </c>
      <c r="U1095" t="s">
        <v>4924</v>
      </c>
      <c r="V1095" t="s">
        <v>10008</v>
      </c>
      <c r="W1095" t="s">
        <v>3667</v>
      </c>
      <c r="X1095">
        <v>100</v>
      </c>
    </row>
    <row r="1096" spans="1:24" x14ac:dyDescent="0.25">
      <c r="A1096" t="s">
        <v>5176</v>
      </c>
      <c r="B1096" t="s">
        <v>9956</v>
      </c>
      <c r="C1096" t="s">
        <v>9957</v>
      </c>
      <c r="D1096" t="s">
        <v>30</v>
      </c>
      <c r="E1096" t="s">
        <v>4913</v>
      </c>
      <c r="F1096" t="s">
        <v>1743</v>
      </c>
      <c r="G1096">
        <f>IF(K1096="Pick-up","PICKUPS",IF(K1096="Staff drop-off","STAFF_DROPOFF",IF(K1096="Replacements","REPLACEMENT",IF(K1096="Central Stores Dispatch","CENTRAL STORES DISPATCH",IFNA(IFNA(VLOOKUP(F1096,'Raw Platform Nov 4-6 2025'!C:C,1,FALSE),VLOOKUP(F1096,'Raw Platform Nov 4-6 2025'!D:D,1,FALSE)),IFNA(VLOOKUP(F1096,'Glovo Raw Nov 4-6 2025'!B:B,1,FALSE),"Not Matched"))))))</f>
      </c>
      <c r="H1096">
        <f>COUNTIF(F:F,F1096)</f>
      </c>
      <c r="I1096" t="s">
        <v>10009</v>
      </c>
      <c r="J1096" t="s">
        <v>4915</v>
      </c>
      <c r="K1096" t="s">
        <v>4927</v>
      </c>
      <c r="L1096" t="s">
        <v>10010</v>
      </c>
      <c r="M1096" t="s">
        <v>10011</v>
      </c>
      <c r="N1096" t="s">
        <v>7294</v>
      </c>
      <c r="O1096" t="s">
        <v>2009</v>
      </c>
      <c r="P1096" t="s">
        <v>4984</v>
      </c>
      <c r="Q1096">
        <v>0</v>
      </c>
      <c r="R1096" t="s">
        <v>5118</v>
      </c>
      <c r="S1096" t="s">
        <v>45</v>
      </c>
      <c r="T1096" t="s">
        <v>4923</v>
      </c>
      <c r="U1096" t="s">
        <v>4924</v>
      </c>
      <c r="V1096" t="s">
        <v>10012</v>
      </c>
      <c r="W1096" t="s">
        <v>3667</v>
      </c>
      <c r="X1096">
        <v>100</v>
      </c>
    </row>
    <row r="1097" spans="1:24" x14ac:dyDescent="0.25">
      <c r="A1097" t="s">
        <v>5176</v>
      </c>
      <c r="B1097" t="s">
        <v>9956</v>
      </c>
      <c r="C1097" t="s">
        <v>9957</v>
      </c>
      <c r="D1097" t="s">
        <v>30</v>
      </c>
      <c r="E1097" t="s">
        <v>4913</v>
      </c>
      <c r="F1097" t="s">
        <v>2866</v>
      </c>
      <c r="G1097">
        <f>IF(K1097="Pick-up","PICKUPS",IF(K1097="Staff drop-off","STAFF_DROPOFF",IF(K1097="Replacements","REPLACEMENT",IF(K1097="Central Stores Dispatch","CENTRAL STORES DISPATCH",IFNA(IFNA(VLOOKUP(F1097,'Raw Platform Nov 4-6 2025'!C:C,1,FALSE),VLOOKUP(F1097,'Raw Platform Nov 4-6 2025'!D:D,1,FALSE)),IFNA(VLOOKUP(F1097,'Glovo Raw Nov 4-6 2025'!B:B,1,FALSE),"Not Matched"))))))</f>
      </c>
      <c r="H1097">
        <f>COUNTIF(F:F,F1097)</f>
      </c>
      <c r="I1097" t="s">
        <v>10013</v>
      </c>
      <c r="J1097" t="s">
        <v>4915</v>
      </c>
      <c r="K1097" t="s">
        <v>4927</v>
      </c>
      <c r="L1097" t="s">
        <v>10014</v>
      </c>
      <c r="M1097" t="s">
        <v>10015</v>
      </c>
      <c r="N1097" t="s">
        <v>10016</v>
      </c>
      <c r="O1097" t="s">
        <v>77</v>
      </c>
      <c r="P1097" t="s">
        <v>7024</v>
      </c>
      <c r="Q1097">
        <v>0</v>
      </c>
      <c r="R1097" t="s">
        <v>5118</v>
      </c>
      <c r="S1097" t="s">
        <v>45</v>
      </c>
      <c r="T1097" t="s">
        <v>4923</v>
      </c>
      <c r="U1097" t="s">
        <v>4924</v>
      </c>
      <c r="V1097" t="s">
        <v>10017</v>
      </c>
      <c r="W1097" t="s">
        <v>3667</v>
      </c>
      <c r="X1097">
        <v>185.1</v>
      </c>
    </row>
    <row r="1098" spans="1:24" x14ac:dyDescent="0.25">
      <c r="A1098" t="s">
        <v>5176</v>
      </c>
      <c r="B1098" t="s">
        <v>9956</v>
      </c>
      <c r="C1098" t="s">
        <v>9957</v>
      </c>
      <c r="D1098" t="s">
        <v>30</v>
      </c>
      <c r="E1098" t="s">
        <v>4913</v>
      </c>
      <c r="F1098" t="s">
        <v>3302</v>
      </c>
      <c r="G1098">
        <f>IF(K1098="Pick-up","PICKUPS",IF(K1098="Staff drop-off","STAFF_DROPOFF",IF(K1098="Replacements","REPLACEMENT",IF(K1098="Central Stores Dispatch","CENTRAL STORES DISPATCH",IFNA(IFNA(VLOOKUP(F1098,'Raw Platform Nov 4-6 2025'!C:C,1,FALSE),VLOOKUP(F1098,'Raw Platform Nov 4-6 2025'!D:D,1,FALSE)),IFNA(VLOOKUP(F1098,'Glovo Raw Nov 4-6 2025'!B:B,1,FALSE),"Not Matched"))))))</f>
      </c>
      <c r="H1098">
        <f>COUNTIF(F:F,F1098)</f>
      </c>
      <c r="I1098" t="s">
        <v>10018</v>
      </c>
      <c r="J1098" t="s">
        <v>4915</v>
      </c>
      <c r="K1098" t="s">
        <v>4927</v>
      </c>
      <c r="L1098" t="s">
        <v>10019</v>
      </c>
      <c r="M1098" t="s">
        <v>5327</v>
      </c>
      <c r="N1098" t="s">
        <v>8442</v>
      </c>
      <c r="O1098" t="s">
        <v>4962</v>
      </c>
      <c r="P1098" t="s">
        <v>5025</v>
      </c>
      <c r="Q1098">
        <v>0</v>
      </c>
      <c r="R1098" t="s">
        <v>5118</v>
      </c>
      <c r="S1098" t="s">
        <v>172</v>
      </c>
      <c r="T1098" t="s">
        <v>4923</v>
      </c>
      <c r="U1098" t="s">
        <v>4924</v>
      </c>
      <c r="V1098" t="s">
        <v>10020</v>
      </c>
      <c r="W1098" t="s">
        <v>3667</v>
      </c>
      <c r="X1098">
        <v>100</v>
      </c>
    </row>
    <row r="1099" spans="1:24" x14ac:dyDescent="0.25">
      <c r="A1099" t="s">
        <v>5176</v>
      </c>
      <c r="B1099" t="s">
        <v>9956</v>
      </c>
      <c r="C1099" t="s">
        <v>9957</v>
      </c>
      <c r="D1099" t="s">
        <v>30</v>
      </c>
      <c r="E1099" t="s">
        <v>4913</v>
      </c>
      <c r="F1099" t="s">
        <v>3263</v>
      </c>
      <c r="G1099">
        <f>IF(K1099="Pick-up","PICKUPS",IF(K1099="Staff drop-off","STAFF_DROPOFF",IF(K1099="Replacements","REPLACEMENT",IF(K1099="Central Stores Dispatch","CENTRAL STORES DISPATCH",IFNA(IFNA(VLOOKUP(F1099,'Raw Platform Nov 4-6 2025'!C:C,1,FALSE),VLOOKUP(F1099,'Raw Platform Nov 4-6 2025'!D:D,1,FALSE)),IFNA(VLOOKUP(F1099,'Glovo Raw Nov 4-6 2025'!B:B,1,FALSE),"Not Matched"))))))</f>
      </c>
      <c r="H1099">
        <f>COUNTIF(F:F,F1099)</f>
      </c>
      <c r="I1099" t="s">
        <v>10021</v>
      </c>
      <c r="J1099" t="s">
        <v>4915</v>
      </c>
      <c r="K1099" t="s">
        <v>4927</v>
      </c>
      <c r="L1099" t="s">
        <v>10022</v>
      </c>
      <c r="M1099" t="s">
        <v>10023</v>
      </c>
      <c r="N1099" t="s">
        <v>10024</v>
      </c>
      <c r="O1099" t="s">
        <v>4962</v>
      </c>
      <c r="P1099" t="s">
        <v>5007</v>
      </c>
      <c r="Q1099">
        <v>0</v>
      </c>
      <c r="R1099" t="s">
        <v>5118</v>
      </c>
      <c r="S1099" t="s">
        <v>116</v>
      </c>
      <c r="T1099" t="s">
        <v>4923</v>
      </c>
      <c r="U1099" t="s">
        <v>4924</v>
      </c>
      <c r="V1099" t="s">
        <v>10025</v>
      </c>
      <c r="W1099" t="s">
        <v>3667</v>
      </c>
      <c r="X1099">
        <v>100</v>
      </c>
    </row>
    <row r="1100" spans="1:24" x14ac:dyDescent="0.25">
      <c r="A1100" t="s">
        <v>5176</v>
      </c>
      <c r="B1100" t="s">
        <v>9956</v>
      </c>
      <c r="C1100" t="s">
        <v>9957</v>
      </c>
      <c r="D1100" t="s">
        <v>30</v>
      </c>
      <c r="E1100" t="s">
        <v>4913</v>
      </c>
      <c r="F1100" t="s">
        <v>2847</v>
      </c>
      <c r="G1100">
        <f>IF(K1100="Pick-up","PICKUPS",IF(K1100="Staff drop-off","STAFF_DROPOFF",IF(K1100="Replacements","REPLACEMENT",IF(K1100="Central Stores Dispatch","CENTRAL STORES DISPATCH",IFNA(IFNA(VLOOKUP(F1100,'Raw Platform Nov 4-6 2025'!C:C,1,FALSE),VLOOKUP(F1100,'Raw Platform Nov 4-6 2025'!D:D,1,FALSE)),IFNA(VLOOKUP(F1100,'Glovo Raw Nov 4-6 2025'!B:B,1,FALSE),"Not Matched"))))))</f>
      </c>
      <c r="H1100">
        <f>COUNTIF(F:F,F1100)</f>
      </c>
      <c r="I1100" t="s">
        <v>10026</v>
      </c>
      <c r="J1100" t="s">
        <v>63</v>
      </c>
      <c r="K1100" t="s">
        <v>4927</v>
      </c>
      <c r="L1100" t="s">
        <v>8986</v>
      </c>
      <c r="M1100" t="s">
        <v>10027</v>
      </c>
      <c r="N1100" t="s">
        <v>9256</v>
      </c>
      <c r="O1100" t="s">
        <v>4962</v>
      </c>
      <c r="P1100" t="s">
        <v>5025</v>
      </c>
      <c r="Q1100">
        <v>0</v>
      </c>
      <c r="R1100" t="s">
        <v>5118</v>
      </c>
      <c r="S1100" t="s">
        <v>29</v>
      </c>
      <c r="T1100" t="s">
        <v>4923</v>
      </c>
      <c r="U1100" t="s">
        <v>4924</v>
      </c>
      <c r="V1100" t="s">
        <v>10028</v>
      </c>
      <c r="W1100" t="s">
        <v>3667</v>
      </c>
      <c r="X1100">
        <v>100</v>
      </c>
    </row>
    <row r="1101" spans="1:24" x14ac:dyDescent="0.25">
      <c r="A1101" t="s">
        <v>5176</v>
      </c>
      <c r="B1101" t="s">
        <v>9956</v>
      </c>
      <c r="C1101" t="s">
        <v>9957</v>
      </c>
      <c r="D1101" t="s">
        <v>191</v>
      </c>
      <c r="E1101" t="s">
        <v>4913</v>
      </c>
      <c r="F1101" t="s">
        <v>2501</v>
      </c>
      <c r="G1101">
        <f>IF(K1101="Pick-up","PICKUPS",IF(K1101="Staff drop-off","STAFF_DROPOFF",IF(K1101="Replacements","REPLACEMENT",IF(K1101="Central Stores Dispatch","CENTRAL STORES DISPATCH",IFNA(IFNA(VLOOKUP(F1101,'Raw Platform Nov 4-6 2025'!C:C,1,FALSE),VLOOKUP(F1101,'Raw Platform Nov 4-6 2025'!D:D,1,FALSE)),IFNA(VLOOKUP(F1101,'Glovo Raw Nov 4-6 2025'!B:B,1,FALSE),"Not Matched"))))))</f>
      </c>
      <c r="H1101">
        <f>COUNTIF(F:F,F1101)</f>
      </c>
      <c r="I1101" t="s">
        <v>10029</v>
      </c>
      <c r="J1101" t="s">
        <v>4915</v>
      </c>
      <c r="K1101" t="s">
        <v>4927</v>
      </c>
      <c r="L1101" t="s">
        <v>6695</v>
      </c>
      <c r="M1101" t="s">
        <v>6696</v>
      </c>
      <c r="N1101" t="s">
        <v>6697</v>
      </c>
      <c r="O1101" t="s">
        <v>47</v>
      </c>
      <c r="P1101" t="s">
        <v>4950</v>
      </c>
      <c r="Q1101">
        <v>0</v>
      </c>
      <c r="R1101" t="s">
        <v>5118</v>
      </c>
      <c r="S1101" t="s">
        <v>5184</v>
      </c>
      <c r="T1101" t="s">
        <v>4923</v>
      </c>
      <c r="U1101" t="s">
        <v>4924</v>
      </c>
      <c r="V1101" t="s">
        <v>10030</v>
      </c>
      <c r="W1101" t="s">
        <v>3667</v>
      </c>
      <c r="X1101">
        <v>100</v>
      </c>
    </row>
    <row r="1102" spans="1:24" x14ac:dyDescent="0.25">
      <c r="A1102" t="s">
        <v>5176</v>
      </c>
      <c r="B1102" t="s">
        <v>10031</v>
      </c>
      <c r="C1102" t="s">
        <v>10032</v>
      </c>
      <c r="D1102" t="s">
        <v>30</v>
      </c>
      <c r="E1102" t="s">
        <v>4913</v>
      </c>
      <c r="F1102" t="s">
        <v>88</v>
      </c>
      <c r="G1102">
        <f>IF(K1102="Pick-up","PICKUPS",IF(K1102="Staff drop-off","STAFF_DROPOFF",IF(K1102="Replacements","REPLACEMENT",IF(K1102="Central Stores Dispatch","CENTRAL STORES DISPATCH",IFNA(IFNA(VLOOKUP(F1102,'Raw Platform Nov 4-6 2025'!C:C,1,FALSE),VLOOKUP(F1102,'Raw Platform Nov 4-6 2025'!D:D,1,FALSE)),IFNA(VLOOKUP(F1102,'Glovo Raw Nov 4-6 2025'!B:B,1,FALSE),"Not Matched"))))))</f>
      </c>
      <c r="H1102">
        <f>COUNTIF(F:F,F1102)</f>
      </c>
      <c r="I1102" t="s">
        <v>10033</v>
      </c>
      <c r="J1102" t="s">
        <v>4915</v>
      </c>
      <c r="K1102" t="s">
        <v>4927</v>
      </c>
      <c r="L1102" t="s">
        <v>6710</v>
      </c>
      <c r="M1102" t="s">
        <v>6739</v>
      </c>
      <c r="N1102" t="s">
        <v>6740</v>
      </c>
      <c r="O1102" t="s">
        <v>123</v>
      </c>
      <c r="P1102" t="s">
        <v>4943</v>
      </c>
      <c r="Q1102">
        <v>0</v>
      </c>
      <c r="R1102" t="s">
        <v>5118</v>
      </c>
      <c r="S1102" t="s">
        <v>29</v>
      </c>
      <c r="T1102" t="s">
        <v>4923</v>
      </c>
      <c r="U1102" t="s">
        <v>4924</v>
      </c>
      <c r="V1102" t="s">
        <v>10034</v>
      </c>
      <c r="W1102" t="s">
        <v>3667</v>
      </c>
      <c r="X1102">
        <v>106.9</v>
      </c>
    </row>
    <row r="1103" spans="1:24" x14ac:dyDescent="0.25">
      <c r="A1103" t="s">
        <v>5176</v>
      </c>
      <c r="B1103" t="s">
        <v>10031</v>
      </c>
      <c r="C1103" t="s">
        <v>10032</v>
      </c>
      <c r="D1103" t="s">
        <v>30</v>
      </c>
      <c r="E1103" t="s">
        <v>4913</v>
      </c>
      <c r="F1103" t="s">
        <v>951</v>
      </c>
      <c r="G1103">
        <f>IF(K1103="Pick-up","PICKUPS",IF(K1103="Staff drop-off","STAFF_DROPOFF",IF(K1103="Replacements","REPLACEMENT",IF(K1103="Central Stores Dispatch","CENTRAL STORES DISPATCH",IFNA(IFNA(VLOOKUP(F1103,'Raw Platform Nov 4-6 2025'!C:C,1,FALSE),VLOOKUP(F1103,'Raw Platform Nov 4-6 2025'!D:D,1,FALSE)),IFNA(VLOOKUP(F1103,'Glovo Raw Nov 4-6 2025'!B:B,1,FALSE),"Not Matched"))))))</f>
      </c>
      <c r="H1103">
        <f>COUNTIF(F:F,F1103)</f>
      </c>
      <c r="I1103" t="s">
        <v>10035</v>
      </c>
      <c r="J1103" t="s">
        <v>4915</v>
      </c>
      <c r="K1103" t="s">
        <v>4927</v>
      </c>
      <c r="L1103" t="s">
        <v>10036</v>
      </c>
      <c r="M1103" t="s">
        <v>10037</v>
      </c>
      <c r="N1103" t="s">
        <v>7359</v>
      </c>
      <c r="O1103" t="s">
        <v>4990</v>
      </c>
      <c r="P1103" t="s">
        <v>4937</v>
      </c>
      <c r="Q1103">
        <v>0</v>
      </c>
      <c r="R1103" t="s">
        <v>5118</v>
      </c>
      <c r="S1103" t="s">
        <v>12</v>
      </c>
      <c r="T1103" t="s">
        <v>4923</v>
      </c>
      <c r="U1103" t="s">
        <v>4924</v>
      </c>
      <c r="V1103" t="s">
        <v>10038</v>
      </c>
      <c r="W1103" t="s">
        <v>3667</v>
      </c>
      <c r="X1103">
        <v>100</v>
      </c>
    </row>
    <row r="1104" spans="1:24" x14ac:dyDescent="0.25">
      <c r="A1104" t="s">
        <v>5176</v>
      </c>
      <c r="B1104" t="s">
        <v>10031</v>
      </c>
      <c r="C1104" t="s">
        <v>10032</v>
      </c>
      <c r="D1104" t="s">
        <v>30</v>
      </c>
      <c r="E1104" t="s">
        <v>4913</v>
      </c>
      <c r="F1104" t="s">
        <v>69</v>
      </c>
      <c r="G1104">
        <f>IF(K1104="Pick-up","PICKUPS",IF(K1104="Staff drop-off","STAFF_DROPOFF",IF(K1104="Replacements","REPLACEMENT",IF(K1104="Central Stores Dispatch","CENTRAL STORES DISPATCH",IFNA(IFNA(VLOOKUP(F1104,'Raw Platform Nov 4-6 2025'!C:C,1,FALSE),VLOOKUP(F1104,'Raw Platform Nov 4-6 2025'!D:D,1,FALSE)),IFNA(VLOOKUP(F1104,'Glovo Raw Nov 4-6 2025'!B:B,1,FALSE),"Not Matched"))))))</f>
      </c>
      <c r="H1104">
        <f>COUNTIF(F:F,F1104)</f>
      </c>
      <c r="I1104" t="s">
        <v>10039</v>
      </c>
      <c r="J1104" t="s">
        <v>4915</v>
      </c>
      <c r="K1104" t="s">
        <v>4916</v>
      </c>
      <c r="L1104" t="s">
        <v>10040</v>
      </c>
      <c r="M1104" t="s">
        <v>10041</v>
      </c>
      <c r="N1104" t="s">
        <v>10042</v>
      </c>
      <c r="O1104" t="s">
        <v>5937</v>
      </c>
      <c r="P1104" t="s">
        <v>10043</v>
      </c>
      <c r="Q1104">
        <v>1192</v>
      </c>
      <c r="R1104" t="s">
        <v>5118</v>
      </c>
      <c r="S1104" t="s">
        <v>45</v>
      </c>
      <c r="T1104" t="s">
        <v>4923</v>
      </c>
      <c r="U1104" t="s">
        <v>4924</v>
      </c>
      <c r="V1104" t="s">
        <v>10044</v>
      </c>
      <c r="W1104" t="s">
        <v>3667</v>
      </c>
      <c r="X1104">
        <v>493.3</v>
      </c>
    </row>
    <row r="1105" spans="1:24" x14ac:dyDescent="0.25">
      <c r="A1105" t="s">
        <v>5176</v>
      </c>
      <c r="B1105" t="s">
        <v>10031</v>
      </c>
      <c r="C1105" t="s">
        <v>10032</v>
      </c>
      <c r="D1105" t="s">
        <v>191</v>
      </c>
      <c r="E1105" t="s">
        <v>4913</v>
      </c>
      <c r="F1105" t="s">
        <v>1367</v>
      </c>
      <c r="G1105">
        <f>IF(K1105="Pick-up","PICKUPS",IF(K1105="Staff drop-off","STAFF_DROPOFF",IF(K1105="Replacements","REPLACEMENT",IF(K1105="Central Stores Dispatch","CENTRAL STORES DISPATCH",IFNA(IFNA(VLOOKUP(F1105,'Raw Platform Nov 4-6 2025'!C:C,1,FALSE),VLOOKUP(F1105,'Raw Platform Nov 4-6 2025'!D:D,1,FALSE)),IFNA(VLOOKUP(F1105,'Glovo Raw Nov 4-6 2025'!B:B,1,FALSE),"Not Matched"))))))</f>
      </c>
      <c r="H1105">
        <f>COUNTIF(F:F,F1105)</f>
      </c>
      <c r="I1105" t="s">
        <v>10045</v>
      </c>
      <c r="J1105" t="s">
        <v>4915</v>
      </c>
      <c r="K1105" t="s">
        <v>4916</v>
      </c>
      <c r="L1105" t="s">
        <v>8886</v>
      </c>
      <c r="M1105" t="s">
        <v>10046</v>
      </c>
      <c r="N1105" t="s">
        <v>10047</v>
      </c>
      <c r="O1105" t="s">
        <v>100</v>
      </c>
      <c r="P1105" t="s">
        <v>6808</v>
      </c>
      <c r="Q1105">
        <v>3080</v>
      </c>
      <c r="R1105" t="s">
        <v>5118</v>
      </c>
      <c r="S1105" t="s">
        <v>5184</v>
      </c>
      <c r="T1105" t="s">
        <v>4923</v>
      </c>
      <c r="U1105" t="s">
        <v>4924</v>
      </c>
      <c r="V1105" t="s">
        <v>10048</v>
      </c>
      <c r="W1105" t="s">
        <v>3667</v>
      </c>
      <c r="X1105">
        <v>194.3</v>
      </c>
    </row>
    <row r="1106" spans="1:24" x14ac:dyDescent="0.25">
      <c r="A1106" t="s">
        <v>5176</v>
      </c>
      <c r="B1106" t="s">
        <v>10031</v>
      </c>
      <c r="C1106" t="s">
        <v>10032</v>
      </c>
      <c r="D1106" t="s">
        <v>30</v>
      </c>
      <c r="E1106" t="s">
        <v>4913</v>
      </c>
      <c r="F1106" t="s">
        <v>288</v>
      </c>
      <c r="G1106">
        <f>IF(K1106="Pick-up","PICKUPS",IF(K1106="Staff drop-off","STAFF_DROPOFF",IF(K1106="Replacements","REPLACEMENT",IF(K1106="Central Stores Dispatch","CENTRAL STORES DISPATCH",IFNA(IFNA(VLOOKUP(F1106,'Raw Platform Nov 4-6 2025'!C:C,1,FALSE),VLOOKUP(F1106,'Raw Platform Nov 4-6 2025'!D:D,1,FALSE)),IFNA(VLOOKUP(F1106,'Glovo Raw Nov 4-6 2025'!B:B,1,FALSE),"Not Matched"))))))</f>
      </c>
      <c r="H1106">
        <f>COUNTIF(F:F,F1106)</f>
      </c>
      <c r="I1106" t="s">
        <v>10049</v>
      </c>
      <c r="J1106" t="s">
        <v>63</v>
      </c>
      <c r="K1106" t="s">
        <v>4916</v>
      </c>
      <c r="L1106" t="s">
        <v>10050</v>
      </c>
      <c r="M1106" t="s">
        <v>10051</v>
      </c>
      <c r="N1106" t="s">
        <v>10052</v>
      </c>
      <c r="O1106" t="s">
        <v>7629</v>
      </c>
      <c r="P1106" t="s">
        <v>10053</v>
      </c>
      <c r="Q1106">
        <v>2709</v>
      </c>
      <c r="R1106" t="s">
        <v>5118</v>
      </c>
      <c r="S1106" t="s">
        <v>116</v>
      </c>
      <c r="T1106" t="s">
        <v>4923</v>
      </c>
      <c r="U1106" t="s">
        <v>4924</v>
      </c>
      <c r="V1106" t="s">
        <v>10054</v>
      </c>
      <c r="W1106" t="s">
        <v>3667</v>
      </c>
      <c r="X1106">
        <v>610.6</v>
      </c>
    </row>
    <row r="1107" spans="1:24" x14ac:dyDescent="0.25">
      <c r="A1107" t="s">
        <v>5176</v>
      </c>
      <c r="B1107" t="s">
        <v>10031</v>
      </c>
      <c r="C1107" t="s">
        <v>10032</v>
      </c>
      <c r="D1107" t="s">
        <v>30</v>
      </c>
      <c r="E1107" t="s">
        <v>4913</v>
      </c>
      <c r="F1107" t="s">
        <v>960</v>
      </c>
      <c r="G1107">
        <f>IF(K1107="Pick-up","PICKUPS",IF(K1107="Staff drop-off","STAFF_DROPOFF",IF(K1107="Replacements","REPLACEMENT",IF(K1107="Central Stores Dispatch","CENTRAL STORES DISPATCH",IFNA(IFNA(VLOOKUP(F1107,'Raw Platform Nov 4-6 2025'!C:C,1,FALSE),VLOOKUP(F1107,'Raw Platform Nov 4-6 2025'!D:D,1,FALSE)),IFNA(VLOOKUP(F1107,'Glovo Raw Nov 4-6 2025'!B:B,1,FALSE),"Not Matched"))))))</f>
      </c>
      <c r="H1107">
        <f>COUNTIF(F:F,F1107)</f>
      </c>
      <c r="I1107" t="s">
        <v>10055</v>
      </c>
      <c r="J1107" t="s">
        <v>63</v>
      </c>
      <c r="K1107" t="s">
        <v>4927</v>
      </c>
      <c r="L1107" t="s">
        <v>10056</v>
      </c>
      <c r="M1107" t="s">
        <v>10057</v>
      </c>
      <c r="N1107" t="s">
        <v>10058</v>
      </c>
      <c r="O1107" t="s">
        <v>26</v>
      </c>
      <c r="P1107" t="s">
        <v>6829</v>
      </c>
      <c r="Q1107">
        <v>0</v>
      </c>
      <c r="R1107" t="s">
        <v>5118</v>
      </c>
      <c r="S1107" t="s">
        <v>172</v>
      </c>
      <c r="T1107" t="s">
        <v>4923</v>
      </c>
      <c r="U1107" t="s">
        <v>4924</v>
      </c>
      <c r="V1107" t="s">
        <v>10059</v>
      </c>
      <c r="W1107" t="s">
        <v>3667</v>
      </c>
      <c r="X1107">
        <v>171.3</v>
      </c>
    </row>
    <row r="1108" spans="1:24" x14ac:dyDescent="0.25">
      <c r="A1108" t="s">
        <v>5176</v>
      </c>
      <c r="B1108" t="s">
        <v>10031</v>
      </c>
      <c r="C1108" t="s">
        <v>10032</v>
      </c>
      <c r="D1108" t="s">
        <v>30</v>
      </c>
      <c r="E1108" t="s">
        <v>4913</v>
      </c>
      <c r="F1108" t="s">
        <v>132</v>
      </c>
      <c r="G1108">
        <f>IF(K1108="Pick-up","PICKUPS",IF(K1108="Staff drop-off","STAFF_DROPOFF",IF(K1108="Replacements","REPLACEMENT",IF(K1108="Central Stores Dispatch","CENTRAL STORES DISPATCH",IFNA(IFNA(VLOOKUP(F1108,'Raw Platform Nov 4-6 2025'!C:C,1,FALSE),VLOOKUP(F1108,'Raw Platform Nov 4-6 2025'!D:D,1,FALSE)),IFNA(VLOOKUP(F1108,'Glovo Raw Nov 4-6 2025'!B:B,1,FALSE),"Not Matched"))))))</f>
      </c>
      <c r="H1108">
        <f>COUNTIF(F:F,F1108)</f>
      </c>
      <c r="I1108" t="s">
        <v>10060</v>
      </c>
      <c r="J1108" t="s">
        <v>4915</v>
      </c>
      <c r="K1108" t="s">
        <v>4927</v>
      </c>
      <c r="L1108" t="s">
        <v>10061</v>
      </c>
      <c r="M1108" t="s">
        <v>10062</v>
      </c>
      <c r="N1108" t="s">
        <v>6335</v>
      </c>
      <c r="O1108" t="s">
        <v>91</v>
      </c>
      <c r="P1108" t="s">
        <v>5724</v>
      </c>
      <c r="Q1108">
        <v>0</v>
      </c>
      <c r="R1108" t="s">
        <v>5118</v>
      </c>
      <c r="S1108" t="s">
        <v>29</v>
      </c>
      <c r="T1108" t="s">
        <v>4923</v>
      </c>
      <c r="U1108" t="s">
        <v>4924</v>
      </c>
      <c r="V1108" t="s">
        <v>10063</v>
      </c>
      <c r="W1108" t="s">
        <v>3667</v>
      </c>
      <c r="X1108">
        <v>258.7</v>
      </c>
    </row>
    <row r="1109" spans="1:24" x14ac:dyDescent="0.25">
      <c r="A1109" t="s">
        <v>5176</v>
      </c>
      <c r="B1109" t="s">
        <v>10031</v>
      </c>
      <c r="C1109" t="s">
        <v>10032</v>
      </c>
      <c r="D1109" t="s">
        <v>30</v>
      </c>
      <c r="E1109" t="s">
        <v>4913</v>
      </c>
      <c r="F1109" t="s">
        <v>1016</v>
      </c>
      <c r="G1109">
        <f>IF(K1109="Pick-up","PICKUPS",IF(K1109="Staff drop-off","STAFF_DROPOFF",IF(K1109="Replacements","REPLACEMENT",IF(K1109="Central Stores Dispatch","CENTRAL STORES DISPATCH",IFNA(IFNA(VLOOKUP(F1109,'Raw Platform Nov 4-6 2025'!C:C,1,FALSE),VLOOKUP(F1109,'Raw Platform Nov 4-6 2025'!D:D,1,FALSE)),IFNA(VLOOKUP(F1109,'Glovo Raw Nov 4-6 2025'!B:B,1,FALSE),"Not Matched"))))))</f>
      </c>
      <c r="H1109">
        <f>COUNTIF(F:F,F1109)</f>
      </c>
      <c r="I1109" t="s">
        <v>10064</v>
      </c>
      <c r="J1109" t="s">
        <v>4915</v>
      </c>
      <c r="K1109" t="s">
        <v>4927</v>
      </c>
      <c r="L1109" t="s">
        <v>6384</v>
      </c>
      <c r="M1109" t="s">
        <v>5327</v>
      </c>
      <c r="N1109" t="s">
        <v>4973</v>
      </c>
      <c r="O1109" t="s">
        <v>123</v>
      </c>
      <c r="P1109" t="s">
        <v>5820</v>
      </c>
      <c r="Q1109">
        <v>0</v>
      </c>
      <c r="R1109" t="s">
        <v>5118</v>
      </c>
      <c r="S1109" t="s">
        <v>29</v>
      </c>
      <c r="T1109" t="s">
        <v>4923</v>
      </c>
      <c r="U1109" t="s">
        <v>4924</v>
      </c>
      <c r="V1109" t="s">
        <v>10065</v>
      </c>
      <c r="W1109" t="s">
        <v>3667</v>
      </c>
      <c r="X1109">
        <v>139.1</v>
      </c>
    </row>
    <row r="1110" spans="1:24" x14ac:dyDescent="0.25">
      <c r="A1110" t="s">
        <v>5176</v>
      </c>
      <c r="B1110" t="s">
        <v>10031</v>
      </c>
      <c r="C1110" t="s">
        <v>10032</v>
      </c>
      <c r="D1110" t="s">
        <v>30</v>
      </c>
      <c r="E1110" t="s">
        <v>5034</v>
      </c>
      <c r="F1110" t="s">
        <v>1777</v>
      </c>
      <c r="G1110">
        <f>IF(K1110="Pick-up","PICKUPS",IF(K1110="Staff drop-off","STAFF_DROPOFF",IF(K1110="Replacements","REPLACEMENT",IF(K1110="Central Stores Dispatch","CENTRAL STORES DISPATCH",IFNA(IFNA(VLOOKUP(F1110,'Raw Platform Nov 4-6 2025'!C:C,1,FALSE),VLOOKUP(F1110,'Raw Platform Nov 4-6 2025'!D:D,1,FALSE)),IFNA(VLOOKUP(F1110,'Glovo Raw Nov 4-6 2025'!B:B,1,FALSE),"Not Matched"))))))</f>
      </c>
      <c r="H1110">
        <f>COUNTIF(F:F,F1110)</f>
      </c>
      <c r="I1110" t="s">
        <v>10066</v>
      </c>
      <c r="J1110" t="s">
        <v>63</v>
      </c>
      <c r="K1110" t="s">
        <v>4927</v>
      </c>
      <c r="L1110" t="s">
        <v>9985</v>
      </c>
      <c r="M1110" t="s">
        <v>5327</v>
      </c>
      <c r="N1110" t="s">
        <v>9986</v>
      </c>
      <c r="O1110" t="s">
        <v>73</v>
      </c>
      <c r="P1110" t="s">
        <v>4996</v>
      </c>
      <c r="Q1110">
        <v>0</v>
      </c>
      <c r="R1110" t="s">
        <v>5118</v>
      </c>
      <c r="S1110" t="s">
        <v>12</v>
      </c>
      <c r="T1110" t="s">
        <v>4923</v>
      </c>
      <c r="U1110" t="s">
        <v>4923</v>
      </c>
      <c r="V1110" t="s">
        <v>10067</v>
      </c>
      <c r="W1110" t="s">
        <v>3667</v>
      </c>
      <c r="X1110">
        <v>0</v>
      </c>
    </row>
    <row r="1111" spans="1:24" x14ac:dyDescent="0.25">
      <c r="A1111" t="s">
        <v>5176</v>
      </c>
      <c r="B1111" t="s">
        <v>10031</v>
      </c>
      <c r="C1111" t="s">
        <v>10032</v>
      </c>
      <c r="D1111" t="s">
        <v>30</v>
      </c>
      <c r="E1111" t="s">
        <v>4913</v>
      </c>
      <c r="F1111" t="s">
        <v>1777</v>
      </c>
      <c r="G1111">
        <f>IF(K1111="Pick-up","PICKUPS",IF(K1111="Staff drop-off","STAFF_DROPOFF",IF(K1111="Replacements","REPLACEMENT",IF(K1111="Central Stores Dispatch","CENTRAL STORES DISPATCH",IFNA(IFNA(VLOOKUP(F1111,'Raw Platform Nov 4-6 2025'!C:C,1,FALSE),VLOOKUP(F1111,'Raw Platform Nov 4-6 2025'!D:D,1,FALSE)),IFNA(VLOOKUP(F1111,'Glovo Raw Nov 4-6 2025'!B:B,1,FALSE),"Not Matched"))))))</f>
      </c>
      <c r="H1111">
        <f>COUNTIF(F:F,F1111)</f>
      </c>
      <c r="I1111" t="s">
        <v>10068</v>
      </c>
      <c r="J1111" t="s">
        <v>63</v>
      </c>
      <c r="K1111" t="s">
        <v>4927</v>
      </c>
      <c r="L1111" t="s">
        <v>10069</v>
      </c>
      <c r="M1111" t="s">
        <v>10070</v>
      </c>
      <c r="N1111" t="s">
        <v>10071</v>
      </c>
      <c r="O1111" t="s">
        <v>47</v>
      </c>
      <c r="P1111" t="s">
        <v>5045</v>
      </c>
      <c r="Q1111">
        <v>0</v>
      </c>
      <c r="R1111" t="s">
        <v>5118</v>
      </c>
      <c r="S1111" t="s">
        <v>12</v>
      </c>
      <c r="T1111" t="s">
        <v>4923</v>
      </c>
      <c r="U1111" t="s">
        <v>4924</v>
      </c>
      <c r="V1111" t="s">
        <v>10072</v>
      </c>
      <c r="W1111" t="s">
        <v>3667</v>
      </c>
      <c r="X1111">
        <v>102.3</v>
      </c>
    </row>
    <row r="1112" spans="1:24" x14ac:dyDescent="0.25">
      <c r="A1112" t="s">
        <v>5176</v>
      </c>
      <c r="B1112" t="s">
        <v>10031</v>
      </c>
      <c r="C1112" t="s">
        <v>10032</v>
      </c>
      <c r="D1112" t="s">
        <v>30</v>
      </c>
      <c r="E1112" t="s">
        <v>4913</v>
      </c>
      <c r="F1112" t="s">
        <v>1878</v>
      </c>
      <c r="G1112">
        <f>IF(K1112="Pick-up","PICKUPS",IF(K1112="Staff drop-off","STAFF_DROPOFF",IF(K1112="Replacements","REPLACEMENT",IF(K1112="Central Stores Dispatch","CENTRAL STORES DISPATCH",IFNA(IFNA(VLOOKUP(F1112,'Raw Platform Nov 4-6 2025'!C:C,1,FALSE),VLOOKUP(F1112,'Raw Platform Nov 4-6 2025'!D:D,1,FALSE)),IFNA(VLOOKUP(F1112,'Glovo Raw Nov 4-6 2025'!B:B,1,FALSE),"Not Matched"))))))</f>
      </c>
      <c r="H1112">
        <f>COUNTIF(F:F,F1112)</f>
      </c>
      <c r="I1112" t="s">
        <v>10073</v>
      </c>
      <c r="J1112" t="s">
        <v>4915</v>
      </c>
      <c r="K1112" t="s">
        <v>4927</v>
      </c>
      <c r="L1112" t="s">
        <v>10074</v>
      </c>
      <c r="M1112" t="s">
        <v>5327</v>
      </c>
      <c r="N1112" t="s">
        <v>10075</v>
      </c>
      <c r="O1112" t="s">
        <v>26</v>
      </c>
      <c r="P1112" t="s">
        <v>6093</v>
      </c>
      <c r="Q1112">
        <v>0</v>
      </c>
      <c r="R1112" t="s">
        <v>5118</v>
      </c>
      <c r="S1112" t="s">
        <v>50</v>
      </c>
      <c r="T1112" t="s">
        <v>4923</v>
      </c>
      <c r="U1112" t="s">
        <v>4924</v>
      </c>
      <c r="V1112" t="s">
        <v>10076</v>
      </c>
      <c r="W1112" t="s">
        <v>3667</v>
      </c>
      <c r="X1112">
        <v>132.2</v>
      </c>
    </row>
    <row r="1113" spans="1:24" x14ac:dyDescent="0.25">
      <c r="A1113" t="s">
        <v>5176</v>
      </c>
      <c r="B1113" t="s">
        <v>10031</v>
      </c>
      <c r="C1113" t="s">
        <v>10032</v>
      </c>
      <c r="D1113" t="s">
        <v>30</v>
      </c>
      <c r="E1113" t="s">
        <v>4913</v>
      </c>
      <c r="F1113" t="s">
        <v>2446</v>
      </c>
      <c r="G1113">
        <f>IF(K1113="Pick-up","PICKUPS",IF(K1113="Staff drop-off","STAFF_DROPOFF",IF(K1113="Replacements","REPLACEMENT",IF(K1113="Central Stores Dispatch","CENTRAL STORES DISPATCH",IFNA(IFNA(VLOOKUP(F1113,'Raw Platform Nov 4-6 2025'!C:C,1,FALSE),VLOOKUP(F1113,'Raw Platform Nov 4-6 2025'!D:D,1,FALSE)),IFNA(VLOOKUP(F1113,'Glovo Raw Nov 4-6 2025'!B:B,1,FALSE),"Not Matched"))))))</f>
      </c>
      <c r="H1113">
        <f>COUNTIF(F:F,F1113)</f>
      </c>
      <c r="I1113" t="s">
        <v>10077</v>
      </c>
      <c r="J1113" t="s">
        <v>4915</v>
      </c>
      <c r="K1113" t="s">
        <v>4927</v>
      </c>
      <c r="L1113" t="s">
        <v>6362</v>
      </c>
      <c r="M1113" t="s">
        <v>6363</v>
      </c>
      <c r="N1113" t="s">
        <v>6346</v>
      </c>
      <c r="O1113" t="s">
        <v>73</v>
      </c>
      <c r="P1113" t="s">
        <v>5572</v>
      </c>
      <c r="Q1113">
        <v>0</v>
      </c>
      <c r="R1113" t="s">
        <v>5118</v>
      </c>
      <c r="S1113" t="s">
        <v>29</v>
      </c>
      <c r="T1113" t="s">
        <v>4923</v>
      </c>
      <c r="U1113" t="s">
        <v>4924</v>
      </c>
      <c r="V1113" t="s">
        <v>10078</v>
      </c>
      <c r="W1113" t="s">
        <v>3667</v>
      </c>
      <c r="X1113">
        <v>125.3</v>
      </c>
    </row>
    <row r="1114" spans="1:24" x14ac:dyDescent="0.25">
      <c r="A1114" t="s">
        <v>5176</v>
      </c>
      <c r="B1114" t="s">
        <v>10031</v>
      </c>
      <c r="C1114" t="s">
        <v>10032</v>
      </c>
      <c r="D1114" t="s">
        <v>30</v>
      </c>
      <c r="E1114" t="s">
        <v>4913</v>
      </c>
      <c r="F1114" t="s">
        <v>1615</v>
      </c>
      <c r="G1114">
        <f>IF(K1114="Pick-up","PICKUPS",IF(K1114="Staff drop-off","STAFF_DROPOFF",IF(K1114="Replacements","REPLACEMENT",IF(K1114="Central Stores Dispatch","CENTRAL STORES DISPATCH",IFNA(IFNA(VLOOKUP(F1114,'Raw Platform Nov 4-6 2025'!C:C,1,FALSE),VLOOKUP(F1114,'Raw Platform Nov 4-6 2025'!D:D,1,FALSE)),IFNA(VLOOKUP(F1114,'Glovo Raw Nov 4-6 2025'!B:B,1,FALSE),"Not Matched"))))))</f>
      </c>
      <c r="H1114">
        <f>COUNTIF(F:F,F1114)</f>
      </c>
      <c r="I1114" t="s">
        <v>10079</v>
      </c>
      <c r="J1114" t="s">
        <v>4915</v>
      </c>
      <c r="K1114" t="s">
        <v>4927</v>
      </c>
      <c r="L1114" t="s">
        <v>10080</v>
      </c>
      <c r="M1114" t="s">
        <v>10081</v>
      </c>
      <c r="N1114" t="s">
        <v>10082</v>
      </c>
      <c r="O1114" t="s">
        <v>4962</v>
      </c>
      <c r="P1114" t="s">
        <v>4963</v>
      </c>
      <c r="Q1114">
        <v>0</v>
      </c>
      <c r="R1114" t="s">
        <v>5118</v>
      </c>
      <c r="S1114" t="s">
        <v>12</v>
      </c>
      <c r="T1114" t="s">
        <v>4923</v>
      </c>
      <c r="U1114" t="s">
        <v>4924</v>
      </c>
      <c r="V1114" t="s">
        <v>10083</v>
      </c>
      <c r="W1114" t="s">
        <v>3667</v>
      </c>
      <c r="X1114">
        <v>100</v>
      </c>
    </row>
    <row r="1115" spans="1:24" x14ac:dyDescent="0.25">
      <c r="A1115" t="s">
        <v>5176</v>
      </c>
      <c r="B1115" t="s">
        <v>10031</v>
      </c>
      <c r="C1115" t="s">
        <v>10032</v>
      </c>
      <c r="D1115" t="s">
        <v>30</v>
      </c>
      <c r="E1115" t="s">
        <v>4913</v>
      </c>
      <c r="F1115" t="s">
        <v>2052</v>
      </c>
      <c r="G1115">
        <f>IF(K1115="Pick-up","PICKUPS",IF(K1115="Staff drop-off","STAFF_DROPOFF",IF(K1115="Replacements","REPLACEMENT",IF(K1115="Central Stores Dispatch","CENTRAL STORES DISPATCH",IFNA(IFNA(VLOOKUP(F1115,'Raw Platform Nov 4-6 2025'!C:C,1,FALSE),VLOOKUP(F1115,'Raw Platform Nov 4-6 2025'!D:D,1,FALSE)),IFNA(VLOOKUP(F1115,'Glovo Raw Nov 4-6 2025'!B:B,1,FALSE),"Not Matched"))))))</f>
      </c>
      <c r="H1115">
        <f>COUNTIF(F:F,F1115)</f>
      </c>
      <c r="I1115" t="s">
        <v>10084</v>
      </c>
      <c r="J1115" t="s">
        <v>4915</v>
      </c>
      <c r="K1115" t="s">
        <v>4927</v>
      </c>
      <c r="L1115" t="s">
        <v>10085</v>
      </c>
      <c r="M1115" t="s">
        <v>10086</v>
      </c>
      <c r="N1115" t="s">
        <v>6897</v>
      </c>
      <c r="O1115" t="s">
        <v>4962</v>
      </c>
      <c r="P1115" t="s">
        <v>5025</v>
      </c>
      <c r="Q1115">
        <v>0</v>
      </c>
      <c r="R1115" t="s">
        <v>5118</v>
      </c>
      <c r="S1115" t="s">
        <v>29</v>
      </c>
      <c r="T1115" t="s">
        <v>4923</v>
      </c>
      <c r="U1115" t="s">
        <v>4924</v>
      </c>
      <c r="V1115" t="s">
        <v>10087</v>
      </c>
      <c r="W1115" t="s">
        <v>3667</v>
      </c>
      <c r="X1115">
        <v>100</v>
      </c>
    </row>
    <row r="1116" spans="1:24" x14ac:dyDescent="0.25">
      <c r="A1116" t="s">
        <v>5176</v>
      </c>
      <c r="B1116" t="s">
        <v>10031</v>
      </c>
      <c r="C1116" t="s">
        <v>10032</v>
      </c>
      <c r="D1116" t="s">
        <v>30</v>
      </c>
      <c r="E1116" t="s">
        <v>4913</v>
      </c>
      <c r="F1116" t="s">
        <v>2256</v>
      </c>
      <c r="G1116">
        <f>IF(K1116="Pick-up","PICKUPS",IF(K1116="Staff drop-off","STAFF_DROPOFF",IF(K1116="Replacements","REPLACEMENT",IF(K1116="Central Stores Dispatch","CENTRAL STORES DISPATCH",IFNA(IFNA(VLOOKUP(F1116,'Raw Platform Nov 4-6 2025'!C:C,1,FALSE),VLOOKUP(F1116,'Raw Platform Nov 4-6 2025'!D:D,1,FALSE)),IFNA(VLOOKUP(F1116,'Glovo Raw Nov 4-6 2025'!B:B,1,FALSE),"Not Matched"))))))</f>
      </c>
      <c r="H1116">
        <f>COUNTIF(F:F,F1116)</f>
      </c>
      <c r="I1116" t="s">
        <v>10088</v>
      </c>
      <c r="J1116" t="s">
        <v>4915</v>
      </c>
      <c r="K1116" t="s">
        <v>4916</v>
      </c>
      <c r="L1116" t="s">
        <v>8203</v>
      </c>
      <c r="M1116" t="s">
        <v>10089</v>
      </c>
      <c r="N1116" t="s">
        <v>10090</v>
      </c>
      <c r="O1116" t="s">
        <v>47</v>
      </c>
      <c r="P1116" t="s">
        <v>5045</v>
      </c>
      <c r="Q1116">
        <v>893</v>
      </c>
      <c r="R1116" t="s">
        <v>5118</v>
      </c>
      <c r="S1116" t="s">
        <v>50</v>
      </c>
      <c r="T1116" t="s">
        <v>4923</v>
      </c>
      <c r="U1116" t="s">
        <v>4924</v>
      </c>
      <c r="V1116" t="s">
        <v>10091</v>
      </c>
      <c r="W1116" t="s">
        <v>3667</v>
      </c>
      <c r="X1116">
        <v>102.3</v>
      </c>
    </row>
    <row r="1117" spans="1:24" x14ac:dyDescent="0.25">
      <c r="A1117" t="s">
        <v>5176</v>
      </c>
      <c r="B1117" t="s">
        <v>10031</v>
      </c>
      <c r="C1117" t="s">
        <v>10032</v>
      </c>
      <c r="D1117" t="s">
        <v>30</v>
      </c>
      <c r="E1117" t="s">
        <v>4913</v>
      </c>
      <c r="F1117" t="s">
        <v>1775</v>
      </c>
      <c r="G1117">
        <f>IF(K1117="Pick-up","PICKUPS",IF(K1117="Staff drop-off","STAFF_DROPOFF",IF(K1117="Replacements","REPLACEMENT",IF(K1117="Central Stores Dispatch","CENTRAL STORES DISPATCH",IFNA(IFNA(VLOOKUP(F1117,'Raw Platform Nov 4-6 2025'!C:C,1,FALSE),VLOOKUP(F1117,'Raw Platform Nov 4-6 2025'!D:D,1,FALSE)),IFNA(VLOOKUP(F1117,'Glovo Raw Nov 4-6 2025'!B:B,1,FALSE),"Not Matched"))))))</f>
      </c>
      <c r="H1117">
        <f>COUNTIF(F:F,F1117)</f>
      </c>
      <c r="I1117" t="s">
        <v>10092</v>
      </c>
      <c r="J1117" t="s">
        <v>4915</v>
      </c>
      <c r="K1117" t="s">
        <v>4927</v>
      </c>
      <c r="L1117" t="s">
        <v>10093</v>
      </c>
      <c r="M1117" t="s">
        <v>10094</v>
      </c>
      <c r="N1117" t="s">
        <v>10095</v>
      </c>
      <c r="O1117" t="s">
        <v>4962</v>
      </c>
      <c r="P1117" t="s">
        <v>5097</v>
      </c>
      <c r="Q1117">
        <v>0</v>
      </c>
      <c r="R1117" t="s">
        <v>5118</v>
      </c>
      <c r="S1117" t="s">
        <v>172</v>
      </c>
      <c r="T1117" t="s">
        <v>4923</v>
      </c>
      <c r="U1117" t="s">
        <v>4924</v>
      </c>
      <c r="V1117" t="s">
        <v>10096</v>
      </c>
      <c r="W1117" t="s">
        <v>3667</v>
      </c>
      <c r="X1117">
        <v>100</v>
      </c>
    </row>
    <row r="1118" spans="1:24" x14ac:dyDescent="0.25">
      <c r="A1118" t="s">
        <v>5176</v>
      </c>
      <c r="B1118" t="s">
        <v>10031</v>
      </c>
      <c r="C1118" t="s">
        <v>10032</v>
      </c>
      <c r="D1118" t="s">
        <v>30</v>
      </c>
      <c r="E1118" t="s">
        <v>4913</v>
      </c>
      <c r="F1118" t="s">
        <v>2000</v>
      </c>
      <c r="G1118">
        <f>IF(K1118="Pick-up","PICKUPS",IF(K1118="Staff drop-off","STAFF_DROPOFF",IF(K1118="Replacements","REPLACEMENT",IF(K1118="Central Stores Dispatch","CENTRAL STORES DISPATCH",IFNA(IFNA(VLOOKUP(F1118,'Raw Platform Nov 4-6 2025'!C:C,1,FALSE),VLOOKUP(F1118,'Raw Platform Nov 4-6 2025'!D:D,1,FALSE)),IFNA(VLOOKUP(F1118,'Glovo Raw Nov 4-6 2025'!B:B,1,FALSE),"Not Matched"))))))</f>
      </c>
      <c r="H1118">
        <f>COUNTIF(F:F,F1118)</f>
      </c>
      <c r="I1118" t="s">
        <v>10097</v>
      </c>
      <c r="J1118" t="s">
        <v>4915</v>
      </c>
      <c r="K1118" t="s">
        <v>4927</v>
      </c>
      <c r="L1118" t="s">
        <v>10098</v>
      </c>
      <c r="M1118" t="s">
        <v>10099</v>
      </c>
      <c r="N1118" t="s">
        <v>10100</v>
      </c>
      <c r="O1118" t="s">
        <v>42</v>
      </c>
      <c r="P1118" t="s">
        <v>6220</v>
      </c>
      <c r="Q1118">
        <v>0</v>
      </c>
      <c r="R1118" t="s">
        <v>5118</v>
      </c>
      <c r="S1118" t="s">
        <v>172</v>
      </c>
      <c r="T1118" t="s">
        <v>4923</v>
      </c>
      <c r="U1118" t="s">
        <v>4924</v>
      </c>
      <c r="V1118" t="s">
        <v>10101</v>
      </c>
      <c r="W1118" t="s">
        <v>3667</v>
      </c>
      <c r="X1118">
        <v>265.6</v>
      </c>
    </row>
    <row r="1119" spans="1:24" x14ac:dyDescent="0.25">
      <c r="A1119" t="s">
        <v>5176</v>
      </c>
      <c r="B1119" t="s">
        <v>10031</v>
      </c>
      <c r="C1119" t="s">
        <v>10032</v>
      </c>
      <c r="D1119" t="s">
        <v>30</v>
      </c>
      <c r="E1119" t="s">
        <v>4913</v>
      </c>
      <c r="F1119" t="s">
        <v>2785</v>
      </c>
      <c r="G1119">
        <f>IF(K1119="Pick-up","PICKUPS",IF(K1119="Staff drop-off","STAFF_DROPOFF",IF(K1119="Replacements","REPLACEMENT",IF(K1119="Central Stores Dispatch","CENTRAL STORES DISPATCH",IFNA(IFNA(VLOOKUP(F1119,'Raw Platform Nov 4-6 2025'!C:C,1,FALSE),VLOOKUP(F1119,'Raw Platform Nov 4-6 2025'!D:D,1,FALSE)),IFNA(VLOOKUP(F1119,'Glovo Raw Nov 4-6 2025'!B:B,1,FALSE),"Not Matched"))))))</f>
      </c>
      <c r="H1119">
        <f>COUNTIF(F:F,F1119)</f>
      </c>
      <c r="I1119" t="s">
        <v>10102</v>
      </c>
      <c r="J1119" t="s">
        <v>4915</v>
      </c>
      <c r="K1119" t="s">
        <v>4927</v>
      </c>
      <c r="L1119" t="s">
        <v>10103</v>
      </c>
      <c r="M1119" t="s">
        <v>10104</v>
      </c>
      <c r="N1119" t="s">
        <v>10105</v>
      </c>
      <c r="O1119" t="s">
        <v>9</v>
      </c>
      <c r="P1119" t="s">
        <v>5820</v>
      </c>
      <c r="Q1119">
        <v>0</v>
      </c>
      <c r="R1119" t="s">
        <v>5118</v>
      </c>
      <c r="S1119" t="s">
        <v>29</v>
      </c>
      <c r="T1119" t="s">
        <v>4923</v>
      </c>
      <c r="U1119" t="s">
        <v>4924</v>
      </c>
      <c r="V1119" t="s">
        <v>10106</v>
      </c>
      <c r="W1119" t="s">
        <v>3667</v>
      </c>
      <c r="X1119">
        <v>139.1</v>
      </c>
    </row>
    <row r="1120" spans="1:24" x14ac:dyDescent="0.25">
      <c r="A1120" t="s">
        <v>5176</v>
      </c>
      <c r="B1120" t="s">
        <v>10031</v>
      </c>
      <c r="C1120" t="s">
        <v>10032</v>
      </c>
      <c r="D1120" t="s">
        <v>30</v>
      </c>
      <c r="E1120" t="s">
        <v>4913</v>
      </c>
      <c r="F1120" t="s">
        <v>3328</v>
      </c>
      <c r="G1120">
        <f>IF(K1120="Pick-up","PICKUPS",IF(K1120="Staff drop-off","STAFF_DROPOFF",IF(K1120="Replacements","REPLACEMENT",IF(K1120="Central Stores Dispatch","CENTRAL STORES DISPATCH",IFNA(IFNA(VLOOKUP(F1120,'Raw Platform Nov 4-6 2025'!C:C,1,FALSE),VLOOKUP(F1120,'Raw Platform Nov 4-6 2025'!D:D,1,FALSE)),IFNA(VLOOKUP(F1120,'Glovo Raw Nov 4-6 2025'!B:B,1,FALSE),"Not Matched"))))))</f>
      </c>
      <c r="H1120">
        <f>COUNTIF(F:F,F1120)</f>
      </c>
      <c r="I1120" t="s">
        <v>10107</v>
      </c>
      <c r="J1120" t="s">
        <v>4915</v>
      </c>
      <c r="K1120" t="s">
        <v>4916</v>
      </c>
      <c r="L1120" t="s">
        <v>10108</v>
      </c>
      <c r="M1120" t="s">
        <v>10109</v>
      </c>
      <c r="N1120" t="s">
        <v>10110</v>
      </c>
      <c r="O1120" t="s">
        <v>123</v>
      </c>
      <c r="P1120" t="s">
        <v>5001</v>
      </c>
      <c r="Q1120">
        <v>1604</v>
      </c>
      <c r="R1120" t="s">
        <v>5118</v>
      </c>
      <c r="S1120" t="s">
        <v>172</v>
      </c>
      <c r="T1120" t="s">
        <v>4923</v>
      </c>
      <c r="U1120" t="s">
        <v>4924</v>
      </c>
      <c r="V1120" t="s">
        <v>10111</v>
      </c>
      <c r="W1120" t="s">
        <v>3667</v>
      </c>
      <c r="X1120">
        <v>120.7</v>
      </c>
    </row>
    <row r="1121" spans="1:24" x14ac:dyDescent="0.25">
      <c r="A1121" t="s">
        <v>5176</v>
      </c>
      <c r="B1121" t="s">
        <v>10031</v>
      </c>
      <c r="C1121" t="s">
        <v>10032</v>
      </c>
      <c r="D1121" t="s">
        <v>30</v>
      </c>
      <c r="E1121" t="s">
        <v>4913</v>
      </c>
      <c r="F1121" t="s">
        <v>3073</v>
      </c>
      <c r="G1121">
        <f>IF(K1121="Pick-up","PICKUPS",IF(K1121="Staff drop-off","STAFF_DROPOFF",IF(K1121="Replacements","REPLACEMENT",IF(K1121="Central Stores Dispatch","CENTRAL STORES DISPATCH",IFNA(IFNA(VLOOKUP(F1121,'Raw Platform Nov 4-6 2025'!C:C,1,FALSE),VLOOKUP(F1121,'Raw Platform Nov 4-6 2025'!D:D,1,FALSE)),IFNA(VLOOKUP(F1121,'Glovo Raw Nov 4-6 2025'!B:B,1,FALSE),"Not Matched"))))))</f>
      </c>
      <c r="H1121">
        <f>COUNTIF(F:F,F1121)</f>
      </c>
      <c r="I1121" t="s">
        <v>10112</v>
      </c>
      <c r="J1121" t="s">
        <v>63</v>
      </c>
      <c r="K1121" t="s">
        <v>4927</v>
      </c>
      <c r="L1121" t="s">
        <v>10113</v>
      </c>
      <c r="M1121" t="s">
        <v>10114</v>
      </c>
      <c r="N1121" t="s">
        <v>10115</v>
      </c>
      <c r="O1121" t="s">
        <v>47</v>
      </c>
      <c r="P1121" t="s">
        <v>5045</v>
      </c>
      <c r="Q1121">
        <v>0</v>
      </c>
      <c r="R1121" t="s">
        <v>5118</v>
      </c>
      <c r="S1121" t="s">
        <v>29</v>
      </c>
      <c r="T1121" t="s">
        <v>4923</v>
      </c>
      <c r="U1121" t="s">
        <v>4924</v>
      </c>
      <c r="V1121" t="s">
        <v>10116</v>
      </c>
      <c r="W1121" t="s">
        <v>3667</v>
      </c>
      <c r="X1121">
        <v>102.3</v>
      </c>
    </row>
    <row r="1122" spans="1:24" x14ac:dyDescent="0.25">
      <c r="A1122" t="s">
        <v>5176</v>
      </c>
      <c r="B1122" t="s">
        <v>10031</v>
      </c>
      <c r="C1122" t="s">
        <v>10032</v>
      </c>
      <c r="D1122" t="s">
        <v>30</v>
      </c>
      <c r="E1122" t="s">
        <v>4913</v>
      </c>
      <c r="F1122" t="s">
        <v>3383</v>
      </c>
      <c r="G1122">
        <f>IF(K1122="Pick-up","PICKUPS",IF(K1122="Staff drop-off","STAFF_DROPOFF",IF(K1122="Replacements","REPLACEMENT",IF(K1122="Central Stores Dispatch","CENTRAL STORES DISPATCH",IFNA(IFNA(VLOOKUP(F1122,'Raw Platform Nov 4-6 2025'!C:C,1,FALSE),VLOOKUP(F1122,'Raw Platform Nov 4-6 2025'!D:D,1,FALSE)),IFNA(VLOOKUP(F1122,'Glovo Raw Nov 4-6 2025'!B:B,1,FALSE),"Not Matched"))))))</f>
      </c>
      <c r="H1122">
        <f>COUNTIF(F:F,F1122)</f>
      </c>
      <c r="I1122" t="s">
        <v>10117</v>
      </c>
      <c r="J1122" t="s">
        <v>4915</v>
      </c>
      <c r="K1122" t="s">
        <v>4916</v>
      </c>
      <c r="L1122" t="s">
        <v>10118</v>
      </c>
      <c r="M1122" t="s">
        <v>10119</v>
      </c>
      <c r="N1122" t="s">
        <v>10120</v>
      </c>
      <c r="O1122" t="s">
        <v>123</v>
      </c>
      <c r="P1122" t="s">
        <v>5404</v>
      </c>
      <c r="Q1122">
        <v>1070</v>
      </c>
      <c r="R1122" t="s">
        <v>5118</v>
      </c>
      <c r="S1122" t="s">
        <v>45</v>
      </c>
      <c r="T1122" t="s">
        <v>4923</v>
      </c>
      <c r="U1122" t="s">
        <v>4924</v>
      </c>
      <c r="V1122" t="s">
        <v>10121</v>
      </c>
      <c r="W1122" t="s">
        <v>3667</v>
      </c>
      <c r="X1122">
        <v>123</v>
      </c>
    </row>
    <row r="1123" spans="1:24" x14ac:dyDescent="0.25">
      <c r="A1123" t="s">
        <v>5176</v>
      </c>
      <c r="B1123" t="s">
        <v>10031</v>
      </c>
      <c r="C1123" t="s">
        <v>10032</v>
      </c>
      <c r="D1123" t="s">
        <v>191</v>
      </c>
      <c r="E1123" t="s">
        <v>4913</v>
      </c>
      <c r="F1123" t="s">
        <v>3582</v>
      </c>
      <c r="G1123">
        <f>IF(K1123="Pick-up","PICKUPS",IF(K1123="Staff drop-off","STAFF_DROPOFF",IF(K1123="Replacements","REPLACEMENT",IF(K1123="Central Stores Dispatch","CENTRAL STORES DISPATCH",IFNA(IFNA(VLOOKUP(F1123,'Raw Platform Nov 4-6 2025'!C:C,1,FALSE),VLOOKUP(F1123,'Raw Platform Nov 4-6 2025'!D:D,1,FALSE)),IFNA(VLOOKUP(F1123,'Glovo Raw Nov 4-6 2025'!B:B,1,FALSE),"Not Matched"))))))</f>
      </c>
      <c r="H1123">
        <f>COUNTIF(F:F,F1123)</f>
      </c>
      <c r="I1123" t="s">
        <v>10122</v>
      </c>
      <c r="J1123" t="s">
        <v>4915</v>
      </c>
      <c r="K1123" t="s">
        <v>4927</v>
      </c>
      <c r="L1123" t="s">
        <v>10123</v>
      </c>
      <c r="M1123" t="s">
        <v>5327</v>
      </c>
      <c r="N1123" t="s">
        <v>5972</v>
      </c>
      <c r="O1123" t="s">
        <v>123</v>
      </c>
      <c r="P1123" t="s">
        <v>5820</v>
      </c>
      <c r="Q1123">
        <v>0</v>
      </c>
      <c r="R1123" t="s">
        <v>5118</v>
      </c>
      <c r="S1123" t="s">
        <v>5184</v>
      </c>
      <c r="T1123" t="s">
        <v>4923</v>
      </c>
      <c r="U1123" t="s">
        <v>4924</v>
      </c>
      <c r="V1123" t="s">
        <v>10124</v>
      </c>
      <c r="W1123" t="s">
        <v>3667</v>
      </c>
      <c r="X1123">
        <v>139.1</v>
      </c>
    </row>
    <row r="1124" spans="1:24" x14ac:dyDescent="0.25">
      <c r="A1124" t="s">
        <v>5176</v>
      </c>
      <c r="B1124" t="s">
        <v>10031</v>
      </c>
      <c r="C1124" t="s">
        <v>10032</v>
      </c>
      <c r="D1124" t="s">
        <v>30</v>
      </c>
      <c r="E1124" t="s">
        <v>4913</v>
      </c>
      <c r="F1124" t="s">
        <v>2762</v>
      </c>
      <c r="G1124">
        <f>IF(K1124="Pick-up","PICKUPS",IF(K1124="Staff drop-off","STAFF_DROPOFF",IF(K1124="Replacements","REPLACEMENT",IF(K1124="Central Stores Dispatch","CENTRAL STORES DISPATCH",IFNA(IFNA(VLOOKUP(F1124,'Raw Platform Nov 4-6 2025'!C:C,1,FALSE),VLOOKUP(F1124,'Raw Platform Nov 4-6 2025'!D:D,1,FALSE)),IFNA(VLOOKUP(F1124,'Glovo Raw Nov 4-6 2025'!B:B,1,FALSE),"Not Matched"))))))</f>
      </c>
      <c r="H1124">
        <f>COUNTIF(F:F,F1124)</f>
      </c>
      <c r="I1124" t="s">
        <v>10125</v>
      </c>
      <c r="J1124" t="s">
        <v>4915</v>
      </c>
      <c r="K1124" t="s">
        <v>4927</v>
      </c>
      <c r="L1124" t="s">
        <v>10126</v>
      </c>
      <c r="M1124" t="s">
        <v>5327</v>
      </c>
      <c r="N1124" t="s">
        <v>6591</v>
      </c>
      <c r="O1124" t="s">
        <v>26</v>
      </c>
      <c r="P1124" t="s">
        <v>6592</v>
      </c>
      <c r="Q1124">
        <v>0</v>
      </c>
      <c r="R1124" t="s">
        <v>5118</v>
      </c>
      <c r="S1124" t="s">
        <v>12</v>
      </c>
      <c r="T1124" t="s">
        <v>4923</v>
      </c>
      <c r="U1124" t="s">
        <v>4924</v>
      </c>
      <c r="V1124" t="s">
        <v>10127</v>
      </c>
      <c r="W1124" t="s">
        <v>3667</v>
      </c>
      <c r="X1124">
        <v>155.2</v>
      </c>
    </row>
    <row r="1125" spans="1:24" x14ac:dyDescent="0.25">
      <c r="A1125" t="s">
        <v>5176</v>
      </c>
      <c r="B1125" t="s">
        <v>10031</v>
      </c>
      <c r="C1125" t="s">
        <v>10032</v>
      </c>
      <c r="D1125" t="s">
        <v>191</v>
      </c>
      <c r="E1125" t="s">
        <v>4913</v>
      </c>
      <c r="F1125" t="s">
        <v>2842</v>
      </c>
      <c r="G1125">
        <f>IF(K1125="Pick-up","PICKUPS",IF(K1125="Staff drop-off","STAFF_DROPOFF",IF(K1125="Replacements","REPLACEMENT",IF(K1125="Central Stores Dispatch","CENTRAL STORES DISPATCH",IFNA(IFNA(VLOOKUP(F1125,'Raw Platform Nov 4-6 2025'!C:C,1,FALSE),VLOOKUP(F1125,'Raw Platform Nov 4-6 2025'!D:D,1,FALSE)),IFNA(VLOOKUP(F1125,'Glovo Raw Nov 4-6 2025'!B:B,1,FALSE),"Not Matched"))))))</f>
      </c>
      <c r="H1125">
        <f>COUNTIF(F:F,F1125)</f>
      </c>
      <c r="I1125" t="s">
        <v>10128</v>
      </c>
      <c r="J1125" t="s">
        <v>4915</v>
      </c>
      <c r="K1125" t="s">
        <v>4927</v>
      </c>
      <c r="L1125" t="s">
        <v>10129</v>
      </c>
      <c r="M1125" t="s">
        <v>10130</v>
      </c>
      <c r="N1125" t="s">
        <v>10131</v>
      </c>
      <c r="O1125" t="s">
        <v>9</v>
      </c>
      <c r="P1125" t="s">
        <v>5032</v>
      </c>
      <c r="Q1125">
        <v>0</v>
      </c>
      <c r="R1125" t="s">
        <v>5118</v>
      </c>
      <c r="S1125" t="s">
        <v>5184</v>
      </c>
      <c r="T1125" t="s">
        <v>4923</v>
      </c>
      <c r="U1125" t="s">
        <v>4924</v>
      </c>
      <c r="V1125" t="s">
        <v>10132</v>
      </c>
      <c r="W1125" t="s">
        <v>3667</v>
      </c>
      <c r="X1125">
        <v>159.8</v>
      </c>
    </row>
    <row r="1126" spans="1:24" x14ac:dyDescent="0.25">
      <c r="A1126" t="s">
        <v>5176</v>
      </c>
      <c r="B1126" t="s">
        <v>10031</v>
      </c>
      <c r="C1126" t="s">
        <v>10032</v>
      </c>
      <c r="D1126" t="s">
        <v>30</v>
      </c>
      <c r="E1126" t="s">
        <v>4913</v>
      </c>
      <c r="F1126" t="s">
        <v>3005</v>
      </c>
      <c r="G1126">
        <f>IF(K1126="Pick-up","PICKUPS",IF(K1126="Staff drop-off","STAFF_DROPOFF",IF(K1126="Replacements","REPLACEMENT",IF(K1126="Central Stores Dispatch","CENTRAL STORES DISPATCH",IFNA(IFNA(VLOOKUP(F1126,'Raw Platform Nov 4-6 2025'!C:C,1,FALSE),VLOOKUP(F1126,'Raw Platform Nov 4-6 2025'!D:D,1,FALSE)),IFNA(VLOOKUP(F1126,'Glovo Raw Nov 4-6 2025'!B:B,1,FALSE),"Not Matched"))))))</f>
      </c>
      <c r="H1126">
        <f>COUNTIF(F:F,F1126)</f>
      </c>
      <c r="I1126" t="s">
        <v>10133</v>
      </c>
      <c r="J1126" t="s">
        <v>63</v>
      </c>
      <c r="K1126" t="s">
        <v>4927</v>
      </c>
      <c r="L1126" t="s">
        <v>10134</v>
      </c>
      <c r="M1126" t="s">
        <v>10135</v>
      </c>
      <c r="N1126" t="s">
        <v>10136</v>
      </c>
      <c r="O1126" t="s">
        <v>42</v>
      </c>
      <c r="P1126" t="s">
        <v>5672</v>
      </c>
      <c r="Q1126">
        <v>0</v>
      </c>
      <c r="R1126" t="s">
        <v>5118</v>
      </c>
      <c r="S1126" t="s">
        <v>50</v>
      </c>
      <c r="T1126" t="s">
        <v>4923</v>
      </c>
      <c r="U1126" t="s">
        <v>4924</v>
      </c>
      <c r="V1126" t="s">
        <v>10137</v>
      </c>
      <c r="W1126" t="s">
        <v>3667</v>
      </c>
      <c r="X1126">
        <v>244.9</v>
      </c>
    </row>
    <row r="1127" spans="1:24" x14ac:dyDescent="0.25">
      <c r="A1127" t="s">
        <v>5176</v>
      </c>
      <c r="B1127" t="s">
        <v>10031</v>
      </c>
      <c r="C1127" t="s">
        <v>10032</v>
      </c>
      <c r="D1127" t="s">
        <v>30</v>
      </c>
      <c r="E1127" t="s">
        <v>4913</v>
      </c>
      <c r="F1127" t="s">
        <v>3229</v>
      </c>
      <c r="G1127">
        <f>IF(K1127="Pick-up","PICKUPS",IF(K1127="Staff drop-off","STAFF_DROPOFF",IF(K1127="Replacements","REPLACEMENT",IF(K1127="Central Stores Dispatch","CENTRAL STORES DISPATCH",IFNA(IFNA(VLOOKUP(F1127,'Raw Platform Nov 4-6 2025'!C:C,1,FALSE),VLOOKUP(F1127,'Raw Platform Nov 4-6 2025'!D:D,1,FALSE)),IFNA(VLOOKUP(F1127,'Glovo Raw Nov 4-6 2025'!B:B,1,FALSE),"Not Matched"))))))</f>
      </c>
      <c r="H1127">
        <f>COUNTIF(F:F,F1127)</f>
      </c>
      <c r="I1127" t="s">
        <v>10138</v>
      </c>
      <c r="J1127" t="s">
        <v>4915</v>
      </c>
      <c r="K1127" t="s">
        <v>4927</v>
      </c>
      <c r="L1127" t="s">
        <v>5456</v>
      </c>
      <c r="M1127" t="s">
        <v>7577</v>
      </c>
      <c r="N1127" t="s">
        <v>7578</v>
      </c>
      <c r="O1127" t="s">
        <v>77</v>
      </c>
      <c r="P1127" t="s">
        <v>4949</v>
      </c>
      <c r="Q1127">
        <v>0</v>
      </c>
      <c r="R1127" t="s">
        <v>5118</v>
      </c>
      <c r="S1127" t="s">
        <v>172</v>
      </c>
      <c r="T1127" t="s">
        <v>4923</v>
      </c>
      <c r="U1127" t="s">
        <v>4924</v>
      </c>
      <c r="V1127" t="s">
        <v>10139</v>
      </c>
      <c r="W1127" t="s">
        <v>3667</v>
      </c>
      <c r="X1127">
        <v>157.5</v>
      </c>
    </row>
    <row r="1128" spans="1:24" x14ac:dyDescent="0.25">
      <c r="A1128" t="s">
        <v>5176</v>
      </c>
      <c r="B1128" t="s">
        <v>10140</v>
      </c>
      <c r="C1128" t="s">
        <v>10141</v>
      </c>
      <c r="D1128" t="s">
        <v>30</v>
      </c>
      <c r="E1128" t="s">
        <v>4913</v>
      </c>
      <c r="F1128" t="s">
        <v>522</v>
      </c>
      <c r="G1128">
        <f>IF(K1128="Pick-up","PICKUPS",IF(K1128="Staff drop-off","STAFF_DROPOFF",IF(K1128="Replacements","REPLACEMENT",IF(K1128="Central Stores Dispatch","CENTRAL STORES DISPATCH",IFNA(IFNA(VLOOKUP(F1128,'Raw Platform Nov 4-6 2025'!C:C,1,FALSE),VLOOKUP(F1128,'Raw Platform Nov 4-6 2025'!D:D,1,FALSE)),IFNA(VLOOKUP(F1128,'Glovo Raw Nov 4-6 2025'!B:B,1,FALSE),"Not Matched"))))))</f>
      </c>
      <c r="H1128">
        <f>COUNTIF(F:F,F1128)</f>
      </c>
      <c r="I1128" t="s">
        <v>10142</v>
      </c>
      <c r="J1128" t="s">
        <v>4915</v>
      </c>
      <c r="K1128" t="s">
        <v>4916</v>
      </c>
      <c r="L1128" t="s">
        <v>10143</v>
      </c>
      <c r="M1128" t="s">
        <v>10144</v>
      </c>
      <c r="N1128" t="s">
        <v>10145</v>
      </c>
      <c r="O1128" t="s">
        <v>73</v>
      </c>
      <c r="P1128" t="s">
        <v>5062</v>
      </c>
      <c r="Q1128">
        <v>1360</v>
      </c>
      <c r="R1128" t="s">
        <v>5118</v>
      </c>
      <c r="S1128" t="s">
        <v>116</v>
      </c>
      <c r="T1128" t="s">
        <v>4923</v>
      </c>
      <c r="U1128" t="s">
        <v>4924</v>
      </c>
      <c r="V1128" t="s">
        <v>10146</v>
      </c>
      <c r="W1128" t="s">
        <v>3667</v>
      </c>
      <c r="X1128">
        <v>127.6</v>
      </c>
    </row>
    <row r="1129" spans="1:24" x14ac:dyDescent="0.25">
      <c r="A1129" t="s">
        <v>5176</v>
      </c>
      <c r="B1129" t="s">
        <v>10140</v>
      </c>
      <c r="C1129" t="s">
        <v>10141</v>
      </c>
      <c r="D1129" t="s">
        <v>30</v>
      </c>
      <c r="E1129" t="s">
        <v>4913</v>
      </c>
      <c r="F1129" t="s">
        <v>449</v>
      </c>
      <c r="G1129">
        <f>IF(K1129="Pick-up","PICKUPS",IF(K1129="Staff drop-off","STAFF_DROPOFF",IF(K1129="Replacements","REPLACEMENT",IF(K1129="Central Stores Dispatch","CENTRAL STORES DISPATCH",IFNA(IFNA(VLOOKUP(F1129,'Raw Platform Nov 4-6 2025'!C:C,1,FALSE),VLOOKUP(F1129,'Raw Platform Nov 4-6 2025'!D:D,1,FALSE)),IFNA(VLOOKUP(F1129,'Glovo Raw Nov 4-6 2025'!B:B,1,FALSE),"Not Matched"))))))</f>
      </c>
      <c r="H1129">
        <f>COUNTIF(F:F,F1129)</f>
      </c>
      <c r="I1129" t="s">
        <v>8279</v>
      </c>
      <c r="J1129" t="s">
        <v>5028</v>
      </c>
      <c r="K1129" t="s">
        <v>4916</v>
      </c>
      <c r="L1129" t="s">
        <v>10147</v>
      </c>
      <c r="M1129" t="s">
        <v>10148</v>
      </c>
      <c r="N1129" t="s">
        <v>10149</v>
      </c>
      <c r="O1129" t="s">
        <v>4956</v>
      </c>
      <c r="P1129" t="s">
        <v>5613</v>
      </c>
      <c r="Q1129">
        <v>1470</v>
      </c>
      <c r="R1129" t="s">
        <v>5118</v>
      </c>
      <c r="S1129" t="s">
        <v>172</v>
      </c>
      <c r="T1129" t="s">
        <v>4923</v>
      </c>
      <c r="U1129" t="s">
        <v>4924</v>
      </c>
      <c r="V1129" t="s">
        <v>10150</v>
      </c>
      <c r="W1129" t="s">
        <v>3667</v>
      </c>
      <c r="X1129">
        <v>100</v>
      </c>
    </row>
    <row r="1130" spans="1:24" x14ac:dyDescent="0.25">
      <c r="A1130" t="s">
        <v>5176</v>
      </c>
      <c r="B1130" t="s">
        <v>10140</v>
      </c>
      <c r="C1130" t="s">
        <v>10141</v>
      </c>
      <c r="D1130" t="s">
        <v>30</v>
      </c>
      <c r="E1130" t="s">
        <v>4913</v>
      </c>
      <c r="F1130" t="s">
        <v>945</v>
      </c>
      <c r="G1130">
        <f>IF(K1130="Pick-up","PICKUPS",IF(K1130="Staff drop-off","STAFF_DROPOFF",IF(K1130="Replacements","REPLACEMENT",IF(K1130="Central Stores Dispatch","CENTRAL STORES DISPATCH",IFNA(IFNA(VLOOKUP(F1130,'Raw Platform Nov 4-6 2025'!C:C,1,FALSE),VLOOKUP(F1130,'Raw Platform Nov 4-6 2025'!D:D,1,FALSE)),IFNA(VLOOKUP(F1130,'Glovo Raw Nov 4-6 2025'!B:B,1,FALSE),"Not Matched"))))))</f>
      </c>
      <c r="H1130">
        <f>COUNTIF(F:F,F1130)</f>
      </c>
      <c r="I1130" t="s">
        <v>10151</v>
      </c>
      <c r="J1130" t="s">
        <v>63</v>
      </c>
      <c r="K1130" t="s">
        <v>4927</v>
      </c>
      <c r="L1130" t="s">
        <v>10152</v>
      </c>
      <c r="M1130" t="s">
        <v>10153</v>
      </c>
      <c r="N1130" t="s">
        <v>8836</v>
      </c>
      <c r="O1130" t="s">
        <v>123</v>
      </c>
      <c r="P1130" t="s">
        <v>5128</v>
      </c>
      <c r="Q1130">
        <v>0</v>
      </c>
      <c r="R1130" t="s">
        <v>5118</v>
      </c>
      <c r="S1130" t="s">
        <v>50</v>
      </c>
      <c r="T1130" t="s">
        <v>4923</v>
      </c>
      <c r="U1130" t="s">
        <v>4924</v>
      </c>
      <c r="V1130" t="s">
        <v>10154</v>
      </c>
      <c r="W1130" t="s">
        <v>3667</v>
      </c>
      <c r="X1130">
        <v>116.1</v>
      </c>
    </row>
    <row r="1131" spans="1:24" x14ac:dyDescent="0.25">
      <c r="A1131" t="s">
        <v>5176</v>
      </c>
      <c r="B1131" t="s">
        <v>10140</v>
      </c>
      <c r="C1131" t="s">
        <v>10141</v>
      </c>
      <c r="D1131" t="s">
        <v>30</v>
      </c>
      <c r="E1131" t="s">
        <v>4913</v>
      </c>
      <c r="F1131" t="s">
        <v>238</v>
      </c>
      <c r="G1131">
        <f>IF(K1131="Pick-up","PICKUPS",IF(K1131="Staff drop-off","STAFF_DROPOFF",IF(K1131="Replacements","REPLACEMENT",IF(K1131="Central Stores Dispatch","CENTRAL STORES DISPATCH",IFNA(IFNA(VLOOKUP(F1131,'Raw Platform Nov 4-6 2025'!C:C,1,FALSE),VLOOKUP(F1131,'Raw Platform Nov 4-6 2025'!D:D,1,FALSE)),IFNA(VLOOKUP(F1131,'Glovo Raw Nov 4-6 2025'!B:B,1,FALSE),"Not Matched"))))))</f>
      </c>
      <c r="H1131">
        <f>COUNTIF(F:F,F1131)</f>
      </c>
      <c r="I1131" t="s">
        <v>10155</v>
      </c>
      <c r="J1131" t="s">
        <v>4915</v>
      </c>
      <c r="K1131" t="s">
        <v>4927</v>
      </c>
      <c r="L1131" t="s">
        <v>7593</v>
      </c>
      <c r="M1131" t="s">
        <v>7594</v>
      </c>
      <c r="N1131" t="s">
        <v>7595</v>
      </c>
      <c r="O1131" t="s">
        <v>47</v>
      </c>
      <c r="P1131" t="s">
        <v>4984</v>
      </c>
      <c r="Q1131">
        <v>0</v>
      </c>
      <c r="R1131" t="s">
        <v>5118</v>
      </c>
      <c r="S1131" t="s">
        <v>172</v>
      </c>
      <c r="T1131" t="s">
        <v>4923</v>
      </c>
      <c r="U1131" t="s">
        <v>4924</v>
      </c>
      <c r="V1131" t="s">
        <v>10156</v>
      </c>
      <c r="W1131" t="s">
        <v>3667</v>
      </c>
      <c r="X1131">
        <v>100</v>
      </c>
    </row>
    <row r="1132" spans="1:24" x14ac:dyDescent="0.25">
      <c r="A1132" t="s">
        <v>5176</v>
      </c>
      <c r="B1132" t="s">
        <v>10140</v>
      </c>
      <c r="C1132" t="s">
        <v>10141</v>
      </c>
      <c r="D1132" t="s">
        <v>30</v>
      </c>
      <c r="E1132" t="s">
        <v>4913</v>
      </c>
      <c r="F1132" t="s">
        <v>1298</v>
      </c>
      <c r="G1132">
        <f>IF(K1132="Pick-up","PICKUPS",IF(K1132="Staff drop-off","STAFF_DROPOFF",IF(K1132="Replacements","REPLACEMENT",IF(K1132="Central Stores Dispatch","CENTRAL STORES DISPATCH",IFNA(IFNA(VLOOKUP(F1132,'Raw Platform Nov 4-6 2025'!C:C,1,FALSE),VLOOKUP(F1132,'Raw Platform Nov 4-6 2025'!D:D,1,FALSE)),IFNA(VLOOKUP(F1132,'Glovo Raw Nov 4-6 2025'!B:B,1,FALSE),"Not Matched"))))))</f>
      </c>
      <c r="H1132">
        <f>COUNTIF(F:F,F1132)</f>
      </c>
      <c r="I1132" t="s">
        <v>10157</v>
      </c>
      <c r="J1132" t="s">
        <v>4915</v>
      </c>
      <c r="K1132" t="s">
        <v>4927</v>
      </c>
      <c r="L1132" t="s">
        <v>10158</v>
      </c>
      <c r="M1132" t="s">
        <v>10159</v>
      </c>
      <c r="N1132" t="s">
        <v>10160</v>
      </c>
      <c r="O1132" t="s">
        <v>113</v>
      </c>
      <c r="P1132" t="s">
        <v>5328</v>
      </c>
      <c r="Q1132">
        <v>0</v>
      </c>
      <c r="R1132" t="s">
        <v>5118</v>
      </c>
      <c r="S1132" t="s">
        <v>116</v>
      </c>
      <c r="T1132" t="s">
        <v>4923</v>
      </c>
      <c r="U1132" t="s">
        <v>4924</v>
      </c>
      <c r="V1132" t="s">
        <v>10161</v>
      </c>
      <c r="W1132" t="s">
        <v>3667</v>
      </c>
      <c r="X1132">
        <v>205.8</v>
      </c>
    </row>
    <row r="1133" spans="1:24" x14ac:dyDescent="0.25">
      <c r="A1133" t="s">
        <v>5176</v>
      </c>
      <c r="B1133" t="s">
        <v>10140</v>
      </c>
      <c r="C1133" t="s">
        <v>10141</v>
      </c>
      <c r="D1133" t="s">
        <v>30</v>
      </c>
      <c r="E1133" t="s">
        <v>4913</v>
      </c>
      <c r="F1133" t="s">
        <v>1279</v>
      </c>
      <c r="G1133">
        <f>IF(K1133="Pick-up","PICKUPS",IF(K1133="Staff drop-off","STAFF_DROPOFF",IF(K1133="Replacements","REPLACEMENT",IF(K1133="Central Stores Dispatch","CENTRAL STORES DISPATCH",IFNA(IFNA(VLOOKUP(F1133,'Raw Platform Nov 4-6 2025'!C:C,1,FALSE),VLOOKUP(F1133,'Raw Platform Nov 4-6 2025'!D:D,1,FALSE)),IFNA(VLOOKUP(F1133,'Glovo Raw Nov 4-6 2025'!B:B,1,FALSE),"Not Matched"))))))</f>
      </c>
      <c r="H1133">
        <f>COUNTIF(F:F,F1133)</f>
      </c>
      <c r="I1133" t="s">
        <v>10162</v>
      </c>
      <c r="J1133" t="s">
        <v>63</v>
      </c>
      <c r="K1133" t="s">
        <v>4927</v>
      </c>
      <c r="L1133" t="s">
        <v>10163</v>
      </c>
      <c r="M1133" t="s">
        <v>10164</v>
      </c>
      <c r="N1133" t="s">
        <v>10165</v>
      </c>
      <c r="O1133" t="s">
        <v>53</v>
      </c>
      <c r="P1133" t="s">
        <v>4943</v>
      </c>
      <c r="Q1133">
        <v>0</v>
      </c>
      <c r="R1133" t="s">
        <v>5118</v>
      </c>
      <c r="S1133" t="s">
        <v>29</v>
      </c>
      <c r="T1133" t="s">
        <v>4923</v>
      </c>
      <c r="U1133" t="s">
        <v>4924</v>
      </c>
      <c r="V1133" t="s">
        <v>10166</v>
      </c>
      <c r="W1133" t="s">
        <v>3667</v>
      </c>
      <c r="X1133">
        <v>106.9</v>
      </c>
    </row>
    <row r="1134" spans="1:24" x14ac:dyDescent="0.25">
      <c r="A1134" t="s">
        <v>5176</v>
      </c>
      <c r="B1134" t="s">
        <v>10140</v>
      </c>
      <c r="C1134" t="s">
        <v>10141</v>
      </c>
      <c r="D1134" t="s">
        <v>30</v>
      </c>
      <c r="E1134" t="s">
        <v>4913</v>
      </c>
      <c r="F1134" t="s">
        <v>734</v>
      </c>
      <c r="G1134">
        <f>IF(K1134="Pick-up","PICKUPS",IF(K1134="Staff drop-off","STAFF_DROPOFF",IF(K1134="Replacements","REPLACEMENT",IF(K1134="Central Stores Dispatch","CENTRAL STORES DISPATCH",IFNA(IFNA(VLOOKUP(F1134,'Raw Platform Nov 4-6 2025'!C:C,1,FALSE),VLOOKUP(F1134,'Raw Platform Nov 4-6 2025'!D:D,1,FALSE)),IFNA(VLOOKUP(F1134,'Glovo Raw Nov 4-6 2025'!B:B,1,FALSE),"Not Matched"))))))</f>
      </c>
      <c r="H1134">
        <f>COUNTIF(F:F,F1134)</f>
      </c>
      <c r="I1134" t="s">
        <v>10167</v>
      </c>
      <c r="J1134" t="s">
        <v>4915</v>
      </c>
      <c r="K1134" t="s">
        <v>4927</v>
      </c>
      <c r="L1134" t="s">
        <v>10168</v>
      </c>
      <c r="M1134" t="s">
        <v>5327</v>
      </c>
      <c r="N1134" t="s">
        <v>5435</v>
      </c>
      <c r="O1134" t="s">
        <v>47</v>
      </c>
      <c r="P1134" t="s">
        <v>5045</v>
      </c>
      <c r="Q1134">
        <v>0</v>
      </c>
      <c r="R1134" t="s">
        <v>5118</v>
      </c>
      <c r="S1134" t="s">
        <v>29</v>
      </c>
      <c r="T1134" t="s">
        <v>4923</v>
      </c>
      <c r="U1134" t="s">
        <v>4924</v>
      </c>
      <c r="V1134" t="s">
        <v>10169</v>
      </c>
      <c r="W1134" t="s">
        <v>3667</v>
      </c>
      <c r="X1134">
        <v>102.3</v>
      </c>
    </row>
    <row r="1135" spans="1:24" x14ac:dyDescent="0.25">
      <c r="A1135" t="s">
        <v>5176</v>
      </c>
      <c r="B1135" t="s">
        <v>10140</v>
      </c>
      <c r="C1135" t="s">
        <v>10141</v>
      </c>
      <c r="D1135" t="s">
        <v>30</v>
      </c>
      <c r="E1135" t="s">
        <v>4913</v>
      </c>
      <c r="F1135" t="s">
        <v>1600</v>
      </c>
      <c r="G1135">
        <f>IF(K1135="Pick-up","PICKUPS",IF(K1135="Staff drop-off","STAFF_DROPOFF",IF(K1135="Replacements","REPLACEMENT",IF(K1135="Central Stores Dispatch","CENTRAL STORES DISPATCH",IFNA(IFNA(VLOOKUP(F1135,'Raw Platform Nov 4-6 2025'!C:C,1,FALSE),VLOOKUP(F1135,'Raw Platform Nov 4-6 2025'!D:D,1,FALSE)),IFNA(VLOOKUP(F1135,'Glovo Raw Nov 4-6 2025'!B:B,1,FALSE),"Not Matched"))))))</f>
      </c>
      <c r="H1135">
        <f>COUNTIF(F:F,F1135)</f>
      </c>
      <c r="I1135" t="s">
        <v>10170</v>
      </c>
      <c r="J1135" t="s">
        <v>4915</v>
      </c>
      <c r="K1135" t="s">
        <v>4916</v>
      </c>
      <c r="L1135" t="s">
        <v>10171</v>
      </c>
      <c r="M1135" t="s">
        <v>10172</v>
      </c>
      <c r="N1135" t="s">
        <v>5829</v>
      </c>
      <c r="O1135" t="s">
        <v>4956</v>
      </c>
      <c r="P1135" t="s">
        <v>5219</v>
      </c>
      <c r="Q1135">
        <v>2459</v>
      </c>
      <c r="R1135" t="s">
        <v>5118</v>
      </c>
      <c r="S1135" t="s">
        <v>12</v>
      </c>
      <c r="T1135" t="s">
        <v>4923</v>
      </c>
      <c r="U1135" t="s">
        <v>4924</v>
      </c>
      <c r="V1135" t="s">
        <v>10173</v>
      </c>
      <c r="W1135" t="s">
        <v>3667</v>
      </c>
      <c r="X1135">
        <v>100</v>
      </c>
    </row>
    <row r="1136" spans="1:24" x14ac:dyDescent="0.25">
      <c r="A1136" t="s">
        <v>5176</v>
      </c>
      <c r="B1136" t="s">
        <v>10140</v>
      </c>
      <c r="C1136" t="s">
        <v>10141</v>
      </c>
      <c r="D1136" t="s">
        <v>30</v>
      </c>
      <c r="E1136" t="s">
        <v>4913</v>
      </c>
      <c r="F1136" t="s">
        <v>1534</v>
      </c>
      <c r="G1136">
        <f>IF(K1136="Pick-up","PICKUPS",IF(K1136="Staff drop-off","STAFF_DROPOFF",IF(K1136="Replacements","REPLACEMENT",IF(K1136="Central Stores Dispatch","CENTRAL STORES DISPATCH",IFNA(IFNA(VLOOKUP(F1136,'Raw Platform Nov 4-6 2025'!C:C,1,FALSE),VLOOKUP(F1136,'Raw Platform Nov 4-6 2025'!D:D,1,FALSE)),IFNA(VLOOKUP(F1136,'Glovo Raw Nov 4-6 2025'!B:B,1,FALSE),"Not Matched"))))))</f>
      </c>
      <c r="H1136">
        <f>COUNTIF(F:F,F1136)</f>
      </c>
      <c r="I1136" t="s">
        <v>10174</v>
      </c>
      <c r="J1136" t="s">
        <v>4915</v>
      </c>
      <c r="K1136" t="s">
        <v>4927</v>
      </c>
      <c r="L1136" t="s">
        <v>5842</v>
      </c>
      <c r="M1136" t="s">
        <v>5843</v>
      </c>
      <c r="N1136" t="s">
        <v>5844</v>
      </c>
      <c r="O1136" t="s">
        <v>37</v>
      </c>
      <c r="P1136" t="s">
        <v>5845</v>
      </c>
      <c r="Q1136">
        <v>0</v>
      </c>
      <c r="R1136" t="s">
        <v>5118</v>
      </c>
      <c r="S1136" t="s">
        <v>5437</v>
      </c>
      <c r="T1136" t="s">
        <v>4923</v>
      </c>
      <c r="U1136" t="s">
        <v>4924</v>
      </c>
      <c r="V1136" t="s">
        <v>10175</v>
      </c>
      <c r="W1136" t="s">
        <v>3667</v>
      </c>
      <c r="X1136">
        <v>247.2</v>
      </c>
    </row>
    <row r="1137" spans="1:24" x14ac:dyDescent="0.25">
      <c r="A1137" t="s">
        <v>5176</v>
      </c>
      <c r="B1137" t="s">
        <v>10140</v>
      </c>
      <c r="C1137" t="s">
        <v>10141</v>
      </c>
      <c r="D1137" t="s">
        <v>30</v>
      </c>
      <c r="E1137" t="s">
        <v>4913</v>
      </c>
      <c r="F1137" t="s">
        <v>1954</v>
      </c>
      <c r="G1137">
        <f>IF(K1137="Pick-up","PICKUPS",IF(K1137="Staff drop-off","STAFF_DROPOFF",IF(K1137="Replacements","REPLACEMENT",IF(K1137="Central Stores Dispatch","CENTRAL STORES DISPATCH",IFNA(IFNA(VLOOKUP(F1137,'Raw Platform Nov 4-6 2025'!C:C,1,FALSE),VLOOKUP(F1137,'Raw Platform Nov 4-6 2025'!D:D,1,FALSE)),IFNA(VLOOKUP(F1137,'Glovo Raw Nov 4-6 2025'!B:B,1,FALSE),"Not Matched"))))))</f>
      </c>
      <c r="H1137">
        <f>COUNTIF(F:F,F1137)</f>
      </c>
      <c r="I1137" t="s">
        <v>10176</v>
      </c>
      <c r="J1137" t="s">
        <v>4915</v>
      </c>
      <c r="K1137" t="s">
        <v>4927</v>
      </c>
      <c r="L1137" t="s">
        <v>10177</v>
      </c>
      <c r="M1137" t="s">
        <v>10178</v>
      </c>
      <c r="N1137" t="s">
        <v>10179</v>
      </c>
      <c r="O1137" t="s">
        <v>123</v>
      </c>
      <c r="P1137" t="s">
        <v>5404</v>
      </c>
      <c r="Q1137">
        <v>0</v>
      </c>
      <c r="R1137" t="s">
        <v>5118</v>
      </c>
      <c r="S1137" t="s">
        <v>5437</v>
      </c>
      <c r="T1137" t="s">
        <v>4923</v>
      </c>
      <c r="U1137" t="s">
        <v>4924</v>
      </c>
      <c r="V1137" t="s">
        <v>10180</v>
      </c>
      <c r="W1137" t="s">
        <v>3667</v>
      </c>
      <c r="X1137">
        <v>123</v>
      </c>
    </row>
    <row r="1138" spans="1:24" x14ac:dyDescent="0.25">
      <c r="A1138" t="s">
        <v>5176</v>
      </c>
      <c r="B1138" t="s">
        <v>10140</v>
      </c>
      <c r="C1138" t="s">
        <v>10141</v>
      </c>
      <c r="D1138" t="s">
        <v>30</v>
      </c>
      <c r="E1138" t="s">
        <v>4913</v>
      </c>
      <c r="F1138" t="s">
        <v>2203</v>
      </c>
      <c r="G1138">
        <f>IF(K1138="Pick-up","PICKUPS",IF(K1138="Staff drop-off","STAFF_DROPOFF",IF(K1138="Replacements","REPLACEMENT",IF(K1138="Central Stores Dispatch","CENTRAL STORES DISPATCH",IFNA(IFNA(VLOOKUP(F1138,'Raw Platform Nov 4-6 2025'!C:C,1,FALSE),VLOOKUP(F1138,'Raw Platform Nov 4-6 2025'!D:D,1,FALSE)),IFNA(VLOOKUP(F1138,'Glovo Raw Nov 4-6 2025'!B:B,1,FALSE),"Not Matched"))))))</f>
      </c>
      <c r="H1138">
        <f>COUNTIF(F:F,F1138)</f>
      </c>
      <c r="I1138" t="s">
        <v>10181</v>
      </c>
      <c r="J1138" t="s">
        <v>4915</v>
      </c>
      <c r="K1138" t="s">
        <v>4927</v>
      </c>
      <c r="L1138" t="s">
        <v>6012</v>
      </c>
      <c r="M1138" t="s">
        <v>6013</v>
      </c>
      <c r="N1138" t="s">
        <v>6014</v>
      </c>
      <c r="O1138" t="s">
        <v>53</v>
      </c>
      <c r="P1138" t="s">
        <v>5541</v>
      </c>
      <c r="Q1138">
        <v>0</v>
      </c>
      <c r="R1138" t="s">
        <v>5118</v>
      </c>
      <c r="S1138" t="s">
        <v>29</v>
      </c>
      <c r="T1138" t="s">
        <v>4923</v>
      </c>
      <c r="U1138" t="s">
        <v>4924</v>
      </c>
      <c r="V1138" t="s">
        <v>10182</v>
      </c>
      <c r="W1138" t="s">
        <v>3667</v>
      </c>
      <c r="X1138">
        <v>100</v>
      </c>
    </row>
    <row r="1139" spans="1:24" x14ac:dyDescent="0.25">
      <c r="A1139" t="s">
        <v>5176</v>
      </c>
      <c r="B1139" t="s">
        <v>10140</v>
      </c>
      <c r="C1139" t="s">
        <v>10141</v>
      </c>
      <c r="D1139" t="s">
        <v>191</v>
      </c>
      <c r="E1139" t="s">
        <v>5034</v>
      </c>
      <c r="F1139" t="s">
        <v>1948</v>
      </c>
      <c r="G1139">
        <f>IF(K1139="Pick-up","PICKUPS",IF(K1139="Staff drop-off","STAFF_DROPOFF",IF(K1139="Replacements","REPLACEMENT",IF(K1139="Central Stores Dispatch","CENTRAL STORES DISPATCH",IFNA(IFNA(VLOOKUP(F1139,'Raw Platform Nov 4-6 2025'!C:C,1,FALSE),VLOOKUP(F1139,'Raw Platform Nov 4-6 2025'!D:D,1,FALSE)),IFNA(VLOOKUP(F1139,'Glovo Raw Nov 4-6 2025'!B:B,1,FALSE),"Not Matched"))))))</f>
      </c>
      <c r="H1139">
        <f>COUNTIF(F:F,F1139)</f>
      </c>
      <c r="I1139" t="s">
        <v>10183</v>
      </c>
      <c r="J1139" t="s">
        <v>4915</v>
      </c>
      <c r="K1139" t="s">
        <v>4927</v>
      </c>
      <c r="L1139" t="s">
        <v>10184</v>
      </c>
      <c r="M1139" t="s">
        <v>10185</v>
      </c>
      <c r="N1139" t="s">
        <v>10186</v>
      </c>
      <c r="O1139" t="s">
        <v>2009</v>
      </c>
      <c r="P1139" t="s">
        <v>4920</v>
      </c>
      <c r="Q1139">
        <v>0</v>
      </c>
      <c r="R1139" t="s">
        <v>5118</v>
      </c>
      <c r="S1139" t="s">
        <v>5184</v>
      </c>
      <c r="T1139" t="s">
        <v>4923</v>
      </c>
      <c r="U1139" t="s">
        <v>4923</v>
      </c>
      <c r="V1139" t="s">
        <v>10187</v>
      </c>
      <c r="W1139" t="s">
        <v>3667</v>
      </c>
      <c r="X1139">
        <v>0</v>
      </c>
    </row>
    <row r="1140" spans="1:24" x14ac:dyDescent="0.25">
      <c r="A1140" t="s">
        <v>5176</v>
      </c>
      <c r="B1140" t="s">
        <v>10140</v>
      </c>
      <c r="C1140" t="s">
        <v>10141</v>
      </c>
      <c r="D1140" t="s">
        <v>191</v>
      </c>
      <c r="E1140" t="s">
        <v>4913</v>
      </c>
      <c r="F1140" t="s">
        <v>1948</v>
      </c>
      <c r="G1140">
        <f>IF(K1140="Pick-up","PICKUPS",IF(K1140="Staff drop-off","STAFF_DROPOFF",IF(K1140="Replacements","REPLACEMENT",IF(K1140="Central Stores Dispatch","CENTRAL STORES DISPATCH",IFNA(IFNA(VLOOKUP(F1140,'Raw Platform Nov 4-6 2025'!C:C,1,FALSE),VLOOKUP(F1140,'Raw Platform Nov 4-6 2025'!D:D,1,FALSE)),IFNA(VLOOKUP(F1140,'Glovo Raw Nov 4-6 2025'!B:B,1,FALSE),"Not Matched"))))))</f>
      </c>
      <c r="H1140">
        <f>COUNTIF(F:F,F1140)</f>
      </c>
      <c r="I1140" t="s">
        <v>10183</v>
      </c>
      <c r="J1140" t="s">
        <v>4915</v>
      </c>
      <c r="K1140" t="s">
        <v>4927</v>
      </c>
      <c r="L1140" t="s">
        <v>10184</v>
      </c>
      <c r="M1140" t="s">
        <v>10185</v>
      </c>
      <c r="N1140" t="s">
        <v>10186</v>
      </c>
      <c r="O1140" t="s">
        <v>2009</v>
      </c>
      <c r="P1140" t="s">
        <v>4920</v>
      </c>
      <c r="Q1140">
        <v>0</v>
      </c>
      <c r="R1140" t="s">
        <v>5118</v>
      </c>
      <c r="S1140" t="s">
        <v>5184</v>
      </c>
      <c r="T1140" t="s">
        <v>4923</v>
      </c>
      <c r="U1140" t="s">
        <v>4924</v>
      </c>
      <c r="V1140" t="s">
        <v>10188</v>
      </c>
      <c r="W1140" t="s">
        <v>3667</v>
      </c>
      <c r="X1140">
        <v>100</v>
      </c>
    </row>
    <row r="1141" spans="1:24" x14ac:dyDescent="0.25">
      <c r="A1141" t="s">
        <v>5176</v>
      </c>
      <c r="B1141" t="s">
        <v>10140</v>
      </c>
      <c r="C1141" t="s">
        <v>10141</v>
      </c>
      <c r="D1141" t="s">
        <v>30</v>
      </c>
      <c r="E1141" t="s">
        <v>4913</v>
      </c>
      <c r="F1141" t="s">
        <v>2131</v>
      </c>
      <c r="G1141">
        <f>IF(K1141="Pick-up","PICKUPS",IF(K1141="Staff drop-off","STAFF_DROPOFF",IF(K1141="Replacements","REPLACEMENT",IF(K1141="Central Stores Dispatch","CENTRAL STORES DISPATCH",IFNA(IFNA(VLOOKUP(F1141,'Raw Platform Nov 4-6 2025'!C:C,1,FALSE),VLOOKUP(F1141,'Raw Platform Nov 4-6 2025'!D:D,1,FALSE)),IFNA(VLOOKUP(F1141,'Glovo Raw Nov 4-6 2025'!B:B,1,FALSE),"Not Matched"))))))</f>
      </c>
      <c r="H1141">
        <f>COUNTIF(F:F,F1141)</f>
      </c>
      <c r="I1141" t="s">
        <v>10189</v>
      </c>
      <c r="J1141" t="s">
        <v>4915</v>
      </c>
      <c r="K1141" t="s">
        <v>4927</v>
      </c>
      <c r="L1141" t="s">
        <v>10190</v>
      </c>
      <c r="M1141" t="s">
        <v>10191</v>
      </c>
      <c r="N1141" t="s">
        <v>10192</v>
      </c>
      <c r="O1141" t="s">
        <v>4962</v>
      </c>
      <c r="P1141" t="s">
        <v>5097</v>
      </c>
      <c r="Q1141">
        <v>0</v>
      </c>
      <c r="R1141" t="s">
        <v>5118</v>
      </c>
      <c r="S1141" t="s">
        <v>172</v>
      </c>
      <c r="T1141" t="s">
        <v>4923</v>
      </c>
      <c r="U1141" t="s">
        <v>4924</v>
      </c>
      <c r="V1141" t="s">
        <v>10193</v>
      </c>
      <c r="W1141" t="s">
        <v>3667</v>
      </c>
      <c r="X1141">
        <v>100</v>
      </c>
    </row>
    <row r="1142" spans="1:24" x14ac:dyDescent="0.25">
      <c r="A1142" t="s">
        <v>5176</v>
      </c>
      <c r="B1142" t="s">
        <v>10140</v>
      </c>
      <c r="C1142" t="s">
        <v>10141</v>
      </c>
      <c r="D1142" t="s">
        <v>30</v>
      </c>
      <c r="E1142" t="s">
        <v>4913</v>
      </c>
      <c r="F1142" t="s">
        <v>2476</v>
      </c>
      <c r="G1142">
        <f>IF(K1142="Pick-up","PICKUPS",IF(K1142="Staff drop-off","STAFF_DROPOFF",IF(K1142="Replacements","REPLACEMENT",IF(K1142="Central Stores Dispatch","CENTRAL STORES DISPATCH",IFNA(IFNA(VLOOKUP(F1142,'Raw Platform Nov 4-6 2025'!C:C,1,FALSE),VLOOKUP(F1142,'Raw Platform Nov 4-6 2025'!D:D,1,FALSE)),IFNA(VLOOKUP(F1142,'Glovo Raw Nov 4-6 2025'!B:B,1,FALSE),"Not Matched"))))))</f>
      </c>
      <c r="H1142">
        <f>COUNTIF(F:F,F1142)</f>
      </c>
      <c r="I1142" t="s">
        <v>10194</v>
      </c>
      <c r="J1142" t="s">
        <v>5028</v>
      </c>
      <c r="K1142" t="s">
        <v>4927</v>
      </c>
      <c r="L1142" t="s">
        <v>9039</v>
      </c>
      <c r="M1142" t="s">
        <v>10195</v>
      </c>
      <c r="N1142" t="s">
        <v>10196</v>
      </c>
      <c r="O1142" t="s">
        <v>123</v>
      </c>
      <c r="P1142" t="s">
        <v>6305</v>
      </c>
      <c r="Q1142">
        <v>1740</v>
      </c>
      <c r="R1142" t="s">
        <v>5118</v>
      </c>
      <c r="S1142" t="s">
        <v>12</v>
      </c>
      <c r="T1142" t="s">
        <v>4923</v>
      </c>
      <c r="U1142" t="s">
        <v>4924</v>
      </c>
      <c r="V1142" t="s">
        <v>10197</v>
      </c>
      <c r="W1142" t="s">
        <v>3667</v>
      </c>
      <c r="X1142">
        <v>143.7</v>
      </c>
    </row>
    <row r="1143" spans="1:24" x14ac:dyDescent="0.25">
      <c r="A1143" t="s">
        <v>5176</v>
      </c>
      <c r="B1143" t="s">
        <v>10140</v>
      </c>
      <c r="C1143" t="s">
        <v>10141</v>
      </c>
      <c r="D1143" t="s">
        <v>191</v>
      </c>
      <c r="E1143" t="s">
        <v>4913</v>
      </c>
      <c r="F1143" t="s">
        <v>1828</v>
      </c>
      <c r="G1143">
        <f>IF(K1143="Pick-up","PICKUPS",IF(K1143="Staff drop-off","STAFF_DROPOFF",IF(K1143="Replacements","REPLACEMENT",IF(K1143="Central Stores Dispatch","CENTRAL STORES DISPATCH",IFNA(IFNA(VLOOKUP(F1143,'Raw Platform Nov 4-6 2025'!C:C,1,FALSE),VLOOKUP(F1143,'Raw Platform Nov 4-6 2025'!D:D,1,FALSE)),IFNA(VLOOKUP(F1143,'Glovo Raw Nov 4-6 2025'!B:B,1,FALSE),"Not Matched"))))))</f>
      </c>
      <c r="H1143">
        <f>COUNTIF(F:F,F1143)</f>
      </c>
      <c r="I1143" t="s">
        <v>10198</v>
      </c>
      <c r="J1143" t="s">
        <v>4915</v>
      </c>
      <c r="K1143" t="s">
        <v>4927</v>
      </c>
      <c r="L1143" t="s">
        <v>6949</v>
      </c>
      <c r="M1143" t="s">
        <v>6950</v>
      </c>
      <c r="N1143" t="s">
        <v>6951</v>
      </c>
      <c r="O1143" t="s">
        <v>2009</v>
      </c>
      <c r="P1143" t="s">
        <v>4950</v>
      </c>
      <c r="Q1143">
        <v>0</v>
      </c>
      <c r="R1143" t="s">
        <v>5118</v>
      </c>
      <c r="S1143" t="s">
        <v>5184</v>
      </c>
      <c r="T1143" t="s">
        <v>4923</v>
      </c>
      <c r="U1143" t="s">
        <v>4924</v>
      </c>
      <c r="V1143" t="s">
        <v>10199</v>
      </c>
      <c r="W1143" t="s">
        <v>3667</v>
      </c>
      <c r="X1143">
        <v>100</v>
      </c>
    </row>
    <row r="1144" spans="1:24" x14ac:dyDescent="0.25">
      <c r="A1144" t="s">
        <v>5176</v>
      </c>
      <c r="B1144" t="s">
        <v>10140</v>
      </c>
      <c r="C1144" t="s">
        <v>10141</v>
      </c>
      <c r="D1144" t="s">
        <v>30</v>
      </c>
      <c r="E1144" t="s">
        <v>4913</v>
      </c>
      <c r="F1144" t="s">
        <v>1457</v>
      </c>
      <c r="G1144">
        <f>IF(K1144="Pick-up","PICKUPS",IF(K1144="Staff drop-off","STAFF_DROPOFF",IF(K1144="Replacements","REPLACEMENT",IF(K1144="Central Stores Dispatch","CENTRAL STORES DISPATCH",IFNA(IFNA(VLOOKUP(F1144,'Raw Platform Nov 4-6 2025'!C:C,1,FALSE),VLOOKUP(F1144,'Raw Platform Nov 4-6 2025'!D:D,1,FALSE)),IFNA(VLOOKUP(F1144,'Glovo Raw Nov 4-6 2025'!B:B,1,FALSE),"Not Matched"))))))</f>
      </c>
      <c r="H1144">
        <f>COUNTIF(F:F,F1144)</f>
      </c>
      <c r="I1144" t="s">
        <v>10200</v>
      </c>
      <c r="J1144" t="s">
        <v>4915</v>
      </c>
      <c r="K1144" t="s">
        <v>4927</v>
      </c>
      <c r="L1144" t="s">
        <v>10201</v>
      </c>
      <c r="M1144" t="s">
        <v>10202</v>
      </c>
      <c r="N1144" t="s">
        <v>10203</v>
      </c>
      <c r="O1144" t="s">
        <v>37</v>
      </c>
      <c r="P1144" t="s">
        <v>10204</v>
      </c>
      <c r="Q1144">
        <v>0</v>
      </c>
      <c r="R1144" t="s">
        <v>5118</v>
      </c>
      <c r="S1144" t="s">
        <v>116</v>
      </c>
      <c r="T1144" t="s">
        <v>4923</v>
      </c>
      <c r="U1144" t="s">
        <v>4924</v>
      </c>
      <c r="V1144" t="s">
        <v>10205</v>
      </c>
      <c r="W1144" t="s">
        <v>3667</v>
      </c>
      <c r="X1144">
        <v>240.3</v>
      </c>
    </row>
    <row r="1145" spans="1:24" x14ac:dyDescent="0.25">
      <c r="A1145" t="s">
        <v>5176</v>
      </c>
      <c r="B1145" t="s">
        <v>10140</v>
      </c>
      <c r="C1145" t="s">
        <v>10141</v>
      </c>
      <c r="D1145" t="s">
        <v>30</v>
      </c>
      <c r="E1145" t="s">
        <v>4913</v>
      </c>
      <c r="F1145" t="s">
        <v>1699</v>
      </c>
      <c r="G1145">
        <f>IF(K1145="Pick-up","PICKUPS",IF(K1145="Staff drop-off","STAFF_DROPOFF",IF(K1145="Replacements","REPLACEMENT",IF(K1145="Central Stores Dispatch","CENTRAL STORES DISPATCH",IFNA(IFNA(VLOOKUP(F1145,'Raw Platform Nov 4-6 2025'!C:C,1,FALSE),VLOOKUP(F1145,'Raw Platform Nov 4-6 2025'!D:D,1,FALSE)),IFNA(VLOOKUP(F1145,'Glovo Raw Nov 4-6 2025'!B:B,1,FALSE),"Not Matched"))))))</f>
      </c>
      <c r="H1145">
        <f>COUNTIF(F:F,F1145)</f>
      </c>
      <c r="I1145" t="s">
        <v>10206</v>
      </c>
      <c r="J1145" t="s">
        <v>4915</v>
      </c>
      <c r="K1145" t="s">
        <v>4916</v>
      </c>
      <c r="L1145" t="s">
        <v>10207</v>
      </c>
      <c r="M1145" t="s">
        <v>10208</v>
      </c>
      <c r="N1145" t="s">
        <v>10209</v>
      </c>
      <c r="O1145" t="s">
        <v>4990</v>
      </c>
      <c r="P1145" t="s">
        <v>5056</v>
      </c>
      <c r="Q1145">
        <v>1650</v>
      </c>
      <c r="R1145" t="s">
        <v>5118</v>
      </c>
      <c r="S1145" t="s">
        <v>45</v>
      </c>
      <c r="T1145" t="s">
        <v>4923</v>
      </c>
      <c r="U1145" t="s">
        <v>4924</v>
      </c>
      <c r="V1145" t="s">
        <v>10210</v>
      </c>
      <c r="W1145" t="s">
        <v>3667</v>
      </c>
      <c r="X1145">
        <v>100</v>
      </c>
    </row>
    <row r="1146" spans="1:24" x14ac:dyDescent="0.25">
      <c r="A1146" t="s">
        <v>5176</v>
      </c>
      <c r="B1146" t="s">
        <v>10140</v>
      </c>
      <c r="C1146" t="s">
        <v>10141</v>
      </c>
      <c r="D1146" t="s">
        <v>191</v>
      </c>
      <c r="E1146" t="s">
        <v>4913</v>
      </c>
      <c r="F1146" t="s">
        <v>2156</v>
      </c>
      <c r="G1146">
        <f>IF(K1146="Pick-up","PICKUPS",IF(K1146="Staff drop-off","STAFF_DROPOFF",IF(K1146="Replacements","REPLACEMENT",IF(K1146="Central Stores Dispatch","CENTRAL STORES DISPATCH",IFNA(IFNA(VLOOKUP(F1146,'Raw Platform Nov 4-6 2025'!C:C,1,FALSE),VLOOKUP(F1146,'Raw Platform Nov 4-6 2025'!D:D,1,FALSE)),IFNA(VLOOKUP(F1146,'Glovo Raw Nov 4-6 2025'!B:B,1,FALSE),"Not Matched"))))))</f>
      </c>
      <c r="H1146">
        <f>COUNTIF(F:F,F1146)</f>
      </c>
      <c r="I1146" t="s">
        <v>10211</v>
      </c>
      <c r="J1146" t="s">
        <v>4915</v>
      </c>
      <c r="K1146" t="s">
        <v>4916</v>
      </c>
      <c r="L1146" t="s">
        <v>10212</v>
      </c>
      <c r="M1146" t="s">
        <v>7283</v>
      </c>
      <c r="N1146" t="s">
        <v>10213</v>
      </c>
      <c r="O1146" t="s">
        <v>100</v>
      </c>
      <c r="P1146" t="s">
        <v>47</v>
      </c>
      <c r="Q1146">
        <v>2261</v>
      </c>
      <c r="R1146" t="s">
        <v>5118</v>
      </c>
      <c r="S1146" t="s">
        <v>5184</v>
      </c>
      <c r="T1146" t="s">
        <v>4923</v>
      </c>
      <c r="U1146" t="s">
        <v>4924</v>
      </c>
      <c r="V1146" t="s">
        <v>10214</v>
      </c>
      <c r="W1146" t="s">
        <v>3667</v>
      </c>
      <c r="X1146">
        <v>226.5</v>
      </c>
    </row>
    <row r="1147" spans="1:24" x14ac:dyDescent="0.25">
      <c r="A1147" t="s">
        <v>5176</v>
      </c>
      <c r="B1147" t="s">
        <v>10140</v>
      </c>
      <c r="C1147" t="s">
        <v>10141</v>
      </c>
      <c r="D1147" t="s">
        <v>30</v>
      </c>
      <c r="E1147" t="s">
        <v>4913</v>
      </c>
      <c r="F1147" t="s">
        <v>2080</v>
      </c>
      <c r="G1147">
        <f>IF(K1147="Pick-up","PICKUPS",IF(K1147="Staff drop-off","STAFF_DROPOFF",IF(K1147="Replacements","REPLACEMENT",IF(K1147="Central Stores Dispatch","CENTRAL STORES DISPATCH",IFNA(IFNA(VLOOKUP(F1147,'Raw Platform Nov 4-6 2025'!C:C,1,FALSE),VLOOKUP(F1147,'Raw Platform Nov 4-6 2025'!D:D,1,FALSE)),IFNA(VLOOKUP(F1147,'Glovo Raw Nov 4-6 2025'!B:B,1,FALSE),"Not Matched"))))))</f>
      </c>
      <c r="H1147">
        <f>COUNTIF(F:F,F1147)</f>
      </c>
      <c r="I1147" t="s">
        <v>10215</v>
      </c>
      <c r="J1147" t="s">
        <v>4915</v>
      </c>
      <c r="K1147" t="s">
        <v>4927</v>
      </c>
      <c r="L1147" t="s">
        <v>10216</v>
      </c>
      <c r="M1147" t="s">
        <v>10217</v>
      </c>
      <c r="N1147" t="s">
        <v>8442</v>
      </c>
      <c r="O1147" t="s">
        <v>4962</v>
      </c>
      <c r="P1147" t="s">
        <v>5025</v>
      </c>
      <c r="Q1147">
        <v>0</v>
      </c>
      <c r="R1147" t="s">
        <v>5118</v>
      </c>
      <c r="S1147" t="s">
        <v>12</v>
      </c>
      <c r="T1147" t="s">
        <v>4923</v>
      </c>
      <c r="U1147" t="s">
        <v>4924</v>
      </c>
      <c r="V1147" t="s">
        <v>10218</v>
      </c>
      <c r="W1147" t="s">
        <v>3667</v>
      </c>
      <c r="X1147">
        <v>100</v>
      </c>
    </row>
    <row r="1148" spans="1:24" x14ac:dyDescent="0.25">
      <c r="A1148" t="s">
        <v>5176</v>
      </c>
      <c r="B1148" t="s">
        <v>10140</v>
      </c>
      <c r="C1148" t="s">
        <v>10141</v>
      </c>
      <c r="D1148" t="s">
        <v>30</v>
      </c>
      <c r="E1148" t="s">
        <v>4913</v>
      </c>
      <c r="F1148" t="s">
        <v>3498</v>
      </c>
      <c r="G1148">
        <f>IF(K1148="Pick-up","PICKUPS",IF(K1148="Staff drop-off","STAFF_DROPOFF",IF(K1148="Replacements","REPLACEMENT",IF(K1148="Central Stores Dispatch","CENTRAL STORES DISPATCH",IFNA(IFNA(VLOOKUP(F1148,'Raw Platform Nov 4-6 2025'!C:C,1,FALSE),VLOOKUP(F1148,'Raw Platform Nov 4-6 2025'!D:D,1,FALSE)),IFNA(VLOOKUP(F1148,'Glovo Raw Nov 4-6 2025'!B:B,1,FALSE),"Not Matched"))))))</f>
      </c>
      <c r="H1148">
        <f>COUNTIF(F:F,F1148)</f>
      </c>
      <c r="I1148" t="s">
        <v>10219</v>
      </c>
      <c r="J1148" t="s">
        <v>4915</v>
      </c>
      <c r="K1148" t="s">
        <v>4927</v>
      </c>
      <c r="L1148" t="s">
        <v>10220</v>
      </c>
      <c r="M1148" t="s">
        <v>10221</v>
      </c>
      <c r="N1148" t="s">
        <v>10222</v>
      </c>
      <c r="O1148" t="s">
        <v>113</v>
      </c>
      <c r="P1148" t="s">
        <v>5164</v>
      </c>
      <c r="Q1148">
        <v>0</v>
      </c>
      <c r="R1148" t="s">
        <v>5118</v>
      </c>
      <c r="S1148" t="s">
        <v>116</v>
      </c>
      <c r="T1148" t="s">
        <v>4923</v>
      </c>
      <c r="U1148" t="s">
        <v>4924</v>
      </c>
      <c r="V1148" t="s">
        <v>10223</v>
      </c>
      <c r="W1148" t="s">
        <v>3667</v>
      </c>
      <c r="X1148">
        <v>146</v>
      </c>
    </row>
    <row r="1149" spans="1:24" x14ac:dyDescent="0.25">
      <c r="A1149" t="s">
        <v>5176</v>
      </c>
      <c r="B1149" t="s">
        <v>10140</v>
      </c>
      <c r="C1149" t="s">
        <v>10141</v>
      </c>
      <c r="D1149" t="s">
        <v>30</v>
      </c>
      <c r="E1149" t="s">
        <v>4913</v>
      </c>
      <c r="F1149" t="s">
        <v>3098</v>
      </c>
      <c r="G1149">
        <f>IF(K1149="Pick-up","PICKUPS",IF(K1149="Staff drop-off","STAFF_DROPOFF",IF(K1149="Replacements","REPLACEMENT",IF(K1149="Central Stores Dispatch","CENTRAL STORES DISPATCH",IFNA(IFNA(VLOOKUP(F1149,'Raw Platform Nov 4-6 2025'!C:C,1,FALSE),VLOOKUP(F1149,'Raw Platform Nov 4-6 2025'!D:D,1,FALSE)),IFNA(VLOOKUP(F1149,'Glovo Raw Nov 4-6 2025'!B:B,1,FALSE),"Not Matched"))))))</f>
      </c>
      <c r="H1149">
        <f>COUNTIF(F:F,F1149)</f>
      </c>
      <c r="I1149" t="s">
        <v>10224</v>
      </c>
      <c r="J1149" t="s">
        <v>63</v>
      </c>
      <c r="K1149" t="s">
        <v>4916</v>
      </c>
      <c r="L1149" t="s">
        <v>10225</v>
      </c>
      <c r="M1149" t="s">
        <v>10226</v>
      </c>
      <c r="N1149" t="s">
        <v>10227</v>
      </c>
      <c r="O1149" t="s">
        <v>2009</v>
      </c>
      <c r="P1149" t="s">
        <v>5019</v>
      </c>
      <c r="Q1149">
        <v>2176</v>
      </c>
      <c r="R1149" t="s">
        <v>5118</v>
      </c>
      <c r="S1149" t="s">
        <v>45</v>
      </c>
      <c r="T1149" t="s">
        <v>4923</v>
      </c>
      <c r="U1149" t="s">
        <v>4924</v>
      </c>
      <c r="V1149" t="s">
        <v>10228</v>
      </c>
      <c r="W1149" t="s">
        <v>3667</v>
      </c>
      <c r="X1149">
        <v>100</v>
      </c>
    </row>
    <row r="1150" spans="1:24" x14ac:dyDescent="0.25">
      <c r="A1150" t="s">
        <v>5176</v>
      </c>
      <c r="B1150" t="s">
        <v>10140</v>
      </c>
      <c r="C1150" t="s">
        <v>10141</v>
      </c>
      <c r="D1150" t="s">
        <v>191</v>
      </c>
      <c r="E1150" t="s">
        <v>4913</v>
      </c>
      <c r="F1150" t="s">
        <v>3167</v>
      </c>
      <c r="G1150">
        <f>IF(K1150="Pick-up","PICKUPS",IF(K1150="Staff drop-off","STAFF_DROPOFF",IF(K1150="Replacements","REPLACEMENT",IF(K1150="Central Stores Dispatch","CENTRAL STORES DISPATCH",IFNA(IFNA(VLOOKUP(F1150,'Raw Platform Nov 4-6 2025'!C:C,1,FALSE),VLOOKUP(F1150,'Raw Platform Nov 4-6 2025'!D:D,1,FALSE)),IFNA(VLOOKUP(F1150,'Glovo Raw Nov 4-6 2025'!B:B,1,FALSE),"Not Matched"))))))</f>
      </c>
      <c r="H1150">
        <f>COUNTIF(F:F,F1150)</f>
      </c>
      <c r="I1150" t="s">
        <v>10229</v>
      </c>
      <c r="J1150" t="s">
        <v>63</v>
      </c>
      <c r="K1150" t="s">
        <v>4927</v>
      </c>
      <c r="L1150" t="s">
        <v>10230</v>
      </c>
      <c r="M1150" t="s">
        <v>10231</v>
      </c>
      <c r="N1150" t="s">
        <v>10232</v>
      </c>
      <c r="O1150" t="s">
        <v>4949</v>
      </c>
      <c r="P1150" t="s">
        <v>4930</v>
      </c>
      <c r="Q1150">
        <v>0</v>
      </c>
      <c r="R1150" t="s">
        <v>5118</v>
      </c>
      <c r="S1150" t="s">
        <v>5184</v>
      </c>
      <c r="T1150" t="s">
        <v>4923</v>
      </c>
      <c r="U1150" t="s">
        <v>4924</v>
      </c>
      <c r="V1150" t="s">
        <v>10233</v>
      </c>
      <c r="W1150" t="s">
        <v>3667</v>
      </c>
      <c r="X1150">
        <v>100</v>
      </c>
    </row>
    <row r="1151" spans="1:24" x14ac:dyDescent="0.25">
      <c r="A1151" t="s">
        <v>5176</v>
      </c>
      <c r="B1151" t="s">
        <v>10140</v>
      </c>
      <c r="C1151" t="s">
        <v>10141</v>
      </c>
      <c r="D1151" t="s">
        <v>30</v>
      </c>
      <c r="E1151" t="s">
        <v>4913</v>
      </c>
      <c r="F1151" t="s">
        <v>2914</v>
      </c>
      <c r="G1151">
        <f>IF(K1151="Pick-up","PICKUPS",IF(K1151="Staff drop-off","STAFF_DROPOFF",IF(K1151="Replacements","REPLACEMENT",IF(K1151="Central Stores Dispatch","CENTRAL STORES DISPATCH",IFNA(IFNA(VLOOKUP(F1151,'Raw Platform Nov 4-6 2025'!C:C,1,FALSE),VLOOKUP(F1151,'Raw Platform Nov 4-6 2025'!D:D,1,FALSE)),IFNA(VLOOKUP(F1151,'Glovo Raw Nov 4-6 2025'!B:B,1,FALSE),"Not Matched"))))))</f>
      </c>
      <c r="H1151">
        <f>COUNTIF(F:F,F1151)</f>
      </c>
      <c r="I1151" t="s">
        <v>10234</v>
      </c>
      <c r="J1151" t="s">
        <v>4915</v>
      </c>
      <c r="K1151" t="s">
        <v>4916</v>
      </c>
      <c r="L1151" t="s">
        <v>10235</v>
      </c>
      <c r="M1151" t="s">
        <v>10236</v>
      </c>
      <c r="N1151" t="s">
        <v>10237</v>
      </c>
      <c r="O1151" t="s">
        <v>42</v>
      </c>
      <c r="P1151" t="s">
        <v>5672</v>
      </c>
      <c r="Q1151">
        <v>968</v>
      </c>
      <c r="R1151" t="s">
        <v>5118</v>
      </c>
      <c r="S1151" t="s">
        <v>29</v>
      </c>
      <c r="T1151" t="s">
        <v>4923</v>
      </c>
      <c r="U1151" t="s">
        <v>4924</v>
      </c>
      <c r="V1151" t="s">
        <v>10238</v>
      </c>
      <c r="W1151" t="s">
        <v>3667</v>
      </c>
      <c r="X1151">
        <v>244.9</v>
      </c>
    </row>
    <row r="1152" spans="1:24" x14ac:dyDescent="0.25">
      <c r="A1152" t="s">
        <v>5176</v>
      </c>
      <c r="B1152" t="s">
        <v>10140</v>
      </c>
      <c r="C1152" t="s">
        <v>10141</v>
      </c>
      <c r="D1152" t="s">
        <v>30</v>
      </c>
      <c r="E1152" t="s">
        <v>4913</v>
      </c>
      <c r="F1152" t="s">
        <v>2669</v>
      </c>
      <c r="G1152">
        <f>IF(K1152="Pick-up","PICKUPS",IF(K1152="Staff drop-off","STAFF_DROPOFF",IF(K1152="Replacements","REPLACEMENT",IF(K1152="Central Stores Dispatch","CENTRAL STORES DISPATCH",IFNA(IFNA(VLOOKUP(F1152,'Raw Platform Nov 4-6 2025'!C:C,1,FALSE),VLOOKUP(F1152,'Raw Platform Nov 4-6 2025'!D:D,1,FALSE)),IFNA(VLOOKUP(F1152,'Glovo Raw Nov 4-6 2025'!B:B,1,FALSE),"Not Matched"))))))</f>
      </c>
      <c r="H1152">
        <f>COUNTIF(F:F,F1152)</f>
      </c>
      <c r="I1152" t="s">
        <v>10239</v>
      </c>
      <c r="J1152" t="s">
        <v>4915</v>
      </c>
      <c r="K1152" t="s">
        <v>4916</v>
      </c>
      <c r="L1152" t="s">
        <v>6380</v>
      </c>
      <c r="M1152" t="s">
        <v>6381</v>
      </c>
      <c r="N1152" t="s">
        <v>5839</v>
      </c>
      <c r="O1152" t="s">
        <v>4990</v>
      </c>
      <c r="P1152" t="s">
        <v>5613</v>
      </c>
      <c r="Q1152">
        <v>1712</v>
      </c>
      <c r="R1152" t="s">
        <v>5118</v>
      </c>
      <c r="S1152" t="s">
        <v>29</v>
      </c>
      <c r="T1152" t="s">
        <v>4923</v>
      </c>
      <c r="U1152" t="s">
        <v>4924</v>
      </c>
      <c r="V1152" t="s">
        <v>10240</v>
      </c>
      <c r="W1152" t="s">
        <v>3667</v>
      </c>
      <c r="X1152">
        <v>100</v>
      </c>
    </row>
    <row r="1153" spans="1:24" x14ac:dyDescent="0.25">
      <c r="A1153" t="s">
        <v>5176</v>
      </c>
      <c r="B1153" t="s">
        <v>10140</v>
      </c>
      <c r="C1153" t="s">
        <v>10141</v>
      </c>
      <c r="D1153" t="s">
        <v>30</v>
      </c>
      <c r="E1153" t="s">
        <v>4913</v>
      </c>
      <c r="F1153" t="s">
        <v>2816</v>
      </c>
      <c r="G1153">
        <f>IF(K1153="Pick-up","PICKUPS",IF(K1153="Staff drop-off","STAFF_DROPOFF",IF(K1153="Replacements","REPLACEMENT",IF(K1153="Central Stores Dispatch","CENTRAL STORES DISPATCH",IFNA(IFNA(VLOOKUP(F1153,'Raw Platform Nov 4-6 2025'!C:C,1,FALSE),VLOOKUP(F1153,'Raw Platform Nov 4-6 2025'!D:D,1,FALSE)),IFNA(VLOOKUP(F1153,'Glovo Raw Nov 4-6 2025'!B:B,1,FALSE),"Not Matched"))))))</f>
      </c>
      <c r="H1153">
        <f>COUNTIF(F:F,F1153)</f>
      </c>
      <c r="I1153" t="s">
        <v>7746</v>
      </c>
      <c r="J1153" t="s">
        <v>4915</v>
      </c>
      <c r="K1153" t="s">
        <v>4916</v>
      </c>
      <c r="L1153" t="s">
        <v>10241</v>
      </c>
      <c r="M1153" t="s">
        <v>10242</v>
      </c>
      <c r="N1153" t="s">
        <v>10243</v>
      </c>
      <c r="O1153" t="s">
        <v>73</v>
      </c>
      <c r="P1153" t="s">
        <v>7536</v>
      </c>
      <c r="Q1153">
        <v>1006</v>
      </c>
      <c r="R1153" t="s">
        <v>5118</v>
      </c>
      <c r="S1153" t="s">
        <v>29</v>
      </c>
      <c r="T1153" t="s">
        <v>4923</v>
      </c>
      <c r="U1153" t="s">
        <v>4924</v>
      </c>
      <c r="V1153" t="s">
        <v>10244</v>
      </c>
      <c r="W1153" t="s">
        <v>3667</v>
      </c>
      <c r="X1153">
        <v>141.4</v>
      </c>
    </row>
    <row r="1154" spans="1:24" x14ac:dyDescent="0.25">
      <c r="A1154" t="s">
        <v>5176</v>
      </c>
      <c r="B1154" t="s">
        <v>10140</v>
      </c>
      <c r="C1154" t="s">
        <v>10141</v>
      </c>
      <c r="D1154" t="s">
        <v>30</v>
      </c>
      <c r="E1154" t="s">
        <v>4913</v>
      </c>
      <c r="F1154" t="s">
        <v>3021</v>
      </c>
      <c r="G1154">
        <f>IF(K1154="Pick-up","PICKUPS",IF(K1154="Staff drop-off","STAFF_DROPOFF",IF(K1154="Replacements","REPLACEMENT",IF(K1154="Central Stores Dispatch","CENTRAL STORES DISPATCH",IFNA(IFNA(VLOOKUP(F1154,'Raw Platform Nov 4-6 2025'!C:C,1,FALSE),VLOOKUP(F1154,'Raw Platform Nov 4-6 2025'!D:D,1,FALSE)),IFNA(VLOOKUP(F1154,'Glovo Raw Nov 4-6 2025'!B:B,1,FALSE),"Not Matched"))))))</f>
      </c>
      <c r="H1154">
        <f>COUNTIF(F:F,F1154)</f>
      </c>
      <c r="I1154" t="s">
        <v>10245</v>
      </c>
      <c r="J1154" t="s">
        <v>5028</v>
      </c>
      <c r="K1154" t="s">
        <v>4916</v>
      </c>
      <c r="L1154" t="s">
        <v>10246</v>
      </c>
      <c r="M1154" t="s">
        <v>10247</v>
      </c>
      <c r="N1154" t="s">
        <v>10248</v>
      </c>
      <c r="O1154" t="s">
        <v>4956</v>
      </c>
      <c r="P1154" t="s">
        <v>5056</v>
      </c>
      <c r="Q1154">
        <v>1700</v>
      </c>
      <c r="R1154" t="s">
        <v>5118</v>
      </c>
      <c r="S1154" t="s">
        <v>45</v>
      </c>
      <c r="T1154" t="s">
        <v>4923</v>
      </c>
      <c r="U1154" t="s">
        <v>4924</v>
      </c>
      <c r="V1154" t="s">
        <v>10249</v>
      </c>
      <c r="W1154" t="s">
        <v>3667</v>
      </c>
      <c r="X1154">
        <v>100</v>
      </c>
    </row>
    <row r="1155" spans="1:24" x14ac:dyDescent="0.25">
      <c r="A1155" t="s">
        <v>5176</v>
      </c>
      <c r="B1155" t="s">
        <v>10140</v>
      </c>
      <c r="C1155" t="s">
        <v>10141</v>
      </c>
      <c r="D1155" t="s">
        <v>30</v>
      </c>
      <c r="E1155" t="s">
        <v>4913</v>
      </c>
      <c r="F1155" t="s">
        <v>3160</v>
      </c>
      <c r="G1155">
        <f>IF(K1155="Pick-up","PICKUPS",IF(K1155="Staff drop-off","STAFF_DROPOFF",IF(K1155="Replacements","REPLACEMENT",IF(K1155="Central Stores Dispatch","CENTRAL STORES DISPATCH",IFNA(IFNA(VLOOKUP(F1155,'Raw Platform Nov 4-6 2025'!C:C,1,FALSE),VLOOKUP(F1155,'Raw Platform Nov 4-6 2025'!D:D,1,FALSE)),IFNA(VLOOKUP(F1155,'Glovo Raw Nov 4-6 2025'!B:B,1,FALSE),"Not Matched"))))))</f>
      </c>
      <c r="H1155">
        <f>COUNTIF(F:F,F1155)</f>
      </c>
      <c r="I1155" t="s">
        <v>10250</v>
      </c>
      <c r="J1155" t="s">
        <v>63</v>
      </c>
      <c r="K1155" t="s">
        <v>4927</v>
      </c>
      <c r="L1155" t="s">
        <v>10251</v>
      </c>
      <c r="M1155" t="s">
        <v>10252</v>
      </c>
      <c r="N1155" t="s">
        <v>5958</v>
      </c>
      <c r="O1155" t="s">
        <v>47</v>
      </c>
      <c r="P1155" t="s">
        <v>5045</v>
      </c>
      <c r="Q1155">
        <v>0</v>
      </c>
      <c r="R1155" t="s">
        <v>5118</v>
      </c>
      <c r="S1155" t="s">
        <v>172</v>
      </c>
      <c r="T1155" t="s">
        <v>4923</v>
      </c>
      <c r="U1155" t="s">
        <v>4924</v>
      </c>
      <c r="V1155" t="s">
        <v>10253</v>
      </c>
      <c r="W1155" t="s">
        <v>3667</v>
      </c>
      <c r="X1155">
        <v>102.3</v>
      </c>
    </row>
    <row r="1156" spans="1:24" x14ac:dyDescent="0.25">
      <c r="A1156" t="s">
        <v>5176</v>
      </c>
      <c r="B1156" t="s">
        <v>10254</v>
      </c>
      <c r="C1156" t="s">
        <v>10255</v>
      </c>
      <c r="D1156" t="s">
        <v>30</v>
      </c>
      <c r="E1156" t="s">
        <v>4913</v>
      </c>
      <c r="F1156" t="s">
        <v>193</v>
      </c>
      <c r="G1156">
        <f>IF(K1156="Pick-up","PICKUPS",IF(K1156="Staff drop-off","STAFF_DROPOFF",IF(K1156="Replacements","REPLACEMENT",IF(K1156="Central Stores Dispatch","CENTRAL STORES DISPATCH",IFNA(IFNA(VLOOKUP(F1156,'Raw Platform Nov 4-6 2025'!C:C,1,FALSE),VLOOKUP(F1156,'Raw Platform Nov 4-6 2025'!D:D,1,FALSE)),IFNA(VLOOKUP(F1156,'Glovo Raw Nov 4-6 2025'!B:B,1,FALSE),"Not Matched"))))))</f>
      </c>
      <c r="H1156">
        <f>COUNTIF(F:F,F1156)</f>
      </c>
      <c r="I1156" t="s">
        <v>10256</v>
      </c>
      <c r="J1156" t="s">
        <v>4915</v>
      </c>
      <c r="K1156" t="s">
        <v>4927</v>
      </c>
      <c r="L1156" t="s">
        <v>10257</v>
      </c>
      <c r="M1156" t="s">
        <v>10258</v>
      </c>
      <c r="N1156" t="s">
        <v>5435</v>
      </c>
      <c r="O1156" t="s">
        <v>47</v>
      </c>
      <c r="P1156" t="s">
        <v>5045</v>
      </c>
      <c r="Q1156">
        <v>0</v>
      </c>
      <c r="R1156" t="s">
        <v>5118</v>
      </c>
      <c r="S1156" t="s">
        <v>29</v>
      </c>
      <c r="T1156" t="s">
        <v>4923</v>
      </c>
      <c r="U1156" t="s">
        <v>4924</v>
      </c>
      <c r="V1156" t="s">
        <v>8787</v>
      </c>
      <c r="W1156" t="s">
        <v>3667</v>
      </c>
      <c r="X1156">
        <v>102.3</v>
      </c>
    </row>
    <row r="1157" spans="1:24" x14ac:dyDescent="0.25">
      <c r="A1157" t="s">
        <v>5176</v>
      </c>
      <c r="B1157" t="s">
        <v>10254</v>
      </c>
      <c r="C1157" t="s">
        <v>10255</v>
      </c>
      <c r="D1157" t="s">
        <v>30</v>
      </c>
      <c r="E1157" t="s">
        <v>4913</v>
      </c>
      <c r="F1157" t="s">
        <v>1176</v>
      </c>
      <c r="G1157">
        <f>IF(K1157="Pick-up","PICKUPS",IF(K1157="Staff drop-off","STAFF_DROPOFF",IF(K1157="Replacements","REPLACEMENT",IF(K1157="Central Stores Dispatch","CENTRAL STORES DISPATCH",IFNA(IFNA(VLOOKUP(F1157,'Raw Platform Nov 4-6 2025'!C:C,1,FALSE),VLOOKUP(F1157,'Raw Platform Nov 4-6 2025'!D:D,1,FALSE)),IFNA(VLOOKUP(F1157,'Glovo Raw Nov 4-6 2025'!B:B,1,FALSE),"Not Matched"))))))</f>
      </c>
      <c r="H1157">
        <f>COUNTIF(F:F,F1157)</f>
      </c>
      <c r="I1157" t="s">
        <v>10259</v>
      </c>
      <c r="J1157" t="s">
        <v>4915</v>
      </c>
      <c r="K1157" t="s">
        <v>4927</v>
      </c>
      <c r="L1157" t="s">
        <v>10260</v>
      </c>
      <c r="M1157" t="s">
        <v>10258</v>
      </c>
      <c r="N1157" t="s">
        <v>10261</v>
      </c>
      <c r="O1157" t="s">
        <v>47</v>
      </c>
      <c r="P1157" t="s">
        <v>6235</v>
      </c>
      <c r="Q1157">
        <v>0</v>
      </c>
      <c r="R1157" t="s">
        <v>5118</v>
      </c>
      <c r="S1157" t="s">
        <v>12</v>
      </c>
      <c r="T1157" t="s">
        <v>4923</v>
      </c>
      <c r="U1157" t="s">
        <v>4924</v>
      </c>
      <c r="V1157" t="s">
        <v>10262</v>
      </c>
      <c r="W1157" t="s">
        <v>3667</v>
      </c>
      <c r="X1157">
        <v>104.6</v>
      </c>
    </row>
    <row r="1158" spans="1:24" x14ac:dyDescent="0.25">
      <c r="A1158" t="s">
        <v>5176</v>
      </c>
      <c r="B1158" t="s">
        <v>10254</v>
      </c>
      <c r="C1158" t="s">
        <v>10255</v>
      </c>
      <c r="D1158" t="s">
        <v>191</v>
      </c>
      <c r="E1158" t="s">
        <v>4913</v>
      </c>
      <c r="F1158" t="s">
        <v>550</v>
      </c>
      <c r="G1158">
        <f>IF(K1158="Pick-up","PICKUPS",IF(K1158="Staff drop-off","STAFF_DROPOFF",IF(K1158="Replacements","REPLACEMENT",IF(K1158="Central Stores Dispatch","CENTRAL STORES DISPATCH",IFNA(IFNA(VLOOKUP(F1158,'Raw Platform Nov 4-6 2025'!C:C,1,FALSE),VLOOKUP(F1158,'Raw Platform Nov 4-6 2025'!D:D,1,FALSE)),IFNA(VLOOKUP(F1158,'Glovo Raw Nov 4-6 2025'!B:B,1,FALSE),"Not Matched"))))))</f>
      </c>
      <c r="H1158">
        <f>COUNTIF(F:F,F1158)</f>
      </c>
      <c r="I1158" t="s">
        <v>10263</v>
      </c>
      <c r="J1158" t="s">
        <v>4915</v>
      </c>
      <c r="K1158" t="s">
        <v>4927</v>
      </c>
      <c r="L1158" t="s">
        <v>10264</v>
      </c>
      <c r="M1158" t="s">
        <v>5327</v>
      </c>
      <c r="N1158" t="s">
        <v>9251</v>
      </c>
      <c r="O1158" t="s">
        <v>42</v>
      </c>
      <c r="P1158" t="s">
        <v>5672</v>
      </c>
      <c r="Q1158">
        <v>0</v>
      </c>
      <c r="R1158" t="s">
        <v>5118</v>
      </c>
      <c r="S1158" t="s">
        <v>5184</v>
      </c>
      <c r="T1158" t="s">
        <v>4923</v>
      </c>
      <c r="U1158" t="s">
        <v>4924</v>
      </c>
      <c r="V1158" t="s">
        <v>10265</v>
      </c>
      <c r="W1158" t="s">
        <v>3667</v>
      </c>
      <c r="X1158">
        <v>244.9</v>
      </c>
    </row>
    <row r="1159" spans="1:24" x14ac:dyDescent="0.25">
      <c r="A1159" t="s">
        <v>5176</v>
      </c>
      <c r="B1159" t="s">
        <v>10254</v>
      </c>
      <c r="C1159" t="s">
        <v>10255</v>
      </c>
      <c r="D1159" t="s">
        <v>30</v>
      </c>
      <c r="E1159" t="s">
        <v>4913</v>
      </c>
      <c r="F1159" t="s">
        <v>1376</v>
      </c>
      <c r="G1159">
        <f>IF(K1159="Pick-up","PICKUPS",IF(K1159="Staff drop-off","STAFF_DROPOFF",IF(K1159="Replacements","REPLACEMENT",IF(K1159="Central Stores Dispatch","CENTRAL STORES DISPATCH",IFNA(IFNA(VLOOKUP(F1159,'Raw Platform Nov 4-6 2025'!C:C,1,FALSE),VLOOKUP(F1159,'Raw Platform Nov 4-6 2025'!D:D,1,FALSE)),IFNA(VLOOKUP(F1159,'Glovo Raw Nov 4-6 2025'!B:B,1,FALSE),"Not Matched"))))))</f>
      </c>
      <c r="H1159">
        <f>COUNTIF(F:F,F1159)</f>
      </c>
      <c r="I1159" t="s">
        <v>10266</v>
      </c>
      <c r="J1159" t="s">
        <v>4915</v>
      </c>
      <c r="K1159" t="s">
        <v>4927</v>
      </c>
      <c r="L1159" t="s">
        <v>10267</v>
      </c>
      <c r="M1159" t="s">
        <v>10268</v>
      </c>
      <c r="N1159" t="s">
        <v>10269</v>
      </c>
      <c r="O1159" t="s">
        <v>47</v>
      </c>
      <c r="P1159" t="s">
        <v>5045</v>
      </c>
      <c r="Q1159">
        <v>0</v>
      </c>
      <c r="R1159" t="s">
        <v>5118</v>
      </c>
      <c r="S1159" t="s">
        <v>29</v>
      </c>
      <c r="T1159" t="s">
        <v>4923</v>
      </c>
      <c r="U1159" t="s">
        <v>4924</v>
      </c>
      <c r="V1159" t="s">
        <v>10270</v>
      </c>
      <c r="W1159" t="s">
        <v>3667</v>
      </c>
      <c r="X1159">
        <v>102.3</v>
      </c>
    </row>
    <row r="1160" spans="1:24" x14ac:dyDescent="0.25">
      <c r="A1160" t="s">
        <v>5176</v>
      </c>
      <c r="B1160" t="s">
        <v>10254</v>
      </c>
      <c r="C1160" t="s">
        <v>10255</v>
      </c>
      <c r="D1160" t="s">
        <v>30</v>
      </c>
      <c r="E1160" t="s">
        <v>4913</v>
      </c>
      <c r="F1160" t="s">
        <v>170</v>
      </c>
      <c r="G1160">
        <f>IF(K1160="Pick-up","PICKUPS",IF(K1160="Staff drop-off","STAFF_DROPOFF",IF(K1160="Replacements","REPLACEMENT",IF(K1160="Central Stores Dispatch","CENTRAL STORES DISPATCH",IFNA(IFNA(VLOOKUP(F1160,'Raw Platform Nov 4-6 2025'!C:C,1,FALSE),VLOOKUP(F1160,'Raw Platform Nov 4-6 2025'!D:D,1,FALSE)),IFNA(VLOOKUP(F1160,'Glovo Raw Nov 4-6 2025'!B:B,1,FALSE),"Not Matched"))))))</f>
      </c>
      <c r="H1160">
        <f>COUNTIF(F:F,F1160)</f>
      </c>
      <c r="I1160" t="s">
        <v>10271</v>
      </c>
      <c r="J1160" t="s">
        <v>5028</v>
      </c>
      <c r="K1160" t="s">
        <v>4927</v>
      </c>
      <c r="L1160" t="s">
        <v>10272</v>
      </c>
      <c r="M1160" t="s">
        <v>10273</v>
      </c>
      <c r="N1160" t="s">
        <v>10274</v>
      </c>
      <c r="O1160" t="s">
        <v>5678</v>
      </c>
      <c r="P1160" t="s">
        <v>10275</v>
      </c>
      <c r="Q1160">
        <v>1740</v>
      </c>
      <c r="R1160" t="s">
        <v>5118</v>
      </c>
      <c r="S1160" t="s">
        <v>172</v>
      </c>
      <c r="T1160" t="s">
        <v>4923</v>
      </c>
      <c r="U1160" t="s">
        <v>4924</v>
      </c>
      <c r="V1160" t="s">
        <v>10276</v>
      </c>
      <c r="W1160" t="s">
        <v>3667</v>
      </c>
      <c r="X1160">
        <v>378.3</v>
      </c>
    </row>
    <row r="1161" spans="1:24" x14ac:dyDescent="0.25">
      <c r="A1161" t="s">
        <v>5176</v>
      </c>
      <c r="B1161" t="s">
        <v>10254</v>
      </c>
      <c r="C1161" t="s">
        <v>10255</v>
      </c>
      <c r="D1161" t="s">
        <v>191</v>
      </c>
      <c r="E1161" t="s">
        <v>4913</v>
      </c>
      <c r="F1161" t="s">
        <v>1225</v>
      </c>
      <c r="G1161">
        <f>IF(K1161="Pick-up","PICKUPS",IF(K1161="Staff drop-off","STAFF_DROPOFF",IF(K1161="Replacements","REPLACEMENT",IF(K1161="Central Stores Dispatch","CENTRAL STORES DISPATCH",IFNA(IFNA(VLOOKUP(F1161,'Raw Platform Nov 4-6 2025'!C:C,1,FALSE),VLOOKUP(F1161,'Raw Platform Nov 4-6 2025'!D:D,1,FALSE)),IFNA(VLOOKUP(F1161,'Glovo Raw Nov 4-6 2025'!B:B,1,FALSE),"Not Matched"))))))</f>
      </c>
      <c r="H1161">
        <f>COUNTIF(F:F,F1161)</f>
      </c>
      <c r="I1161" t="s">
        <v>10277</v>
      </c>
      <c r="J1161" t="s">
        <v>63</v>
      </c>
      <c r="K1161" t="s">
        <v>4927</v>
      </c>
      <c r="L1161" t="s">
        <v>8217</v>
      </c>
      <c r="M1161" t="s">
        <v>8218</v>
      </c>
      <c r="N1161" t="s">
        <v>8219</v>
      </c>
      <c r="O1161" t="s">
        <v>16</v>
      </c>
      <c r="P1161" t="s">
        <v>5387</v>
      </c>
      <c r="Q1161">
        <v>0</v>
      </c>
      <c r="R1161" t="s">
        <v>5118</v>
      </c>
      <c r="S1161" t="s">
        <v>5184</v>
      </c>
      <c r="T1161" t="s">
        <v>4923</v>
      </c>
      <c r="U1161" t="s">
        <v>4924</v>
      </c>
      <c r="V1161" t="s">
        <v>10278</v>
      </c>
      <c r="W1161" t="s">
        <v>3667</v>
      </c>
      <c r="X1161">
        <v>152.9</v>
      </c>
    </row>
    <row r="1162" spans="1:24" x14ac:dyDescent="0.25">
      <c r="A1162" t="s">
        <v>5176</v>
      </c>
      <c r="B1162" t="s">
        <v>10254</v>
      </c>
      <c r="C1162" t="s">
        <v>10255</v>
      </c>
      <c r="D1162" t="s">
        <v>30</v>
      </c>
      <c r="E1162" t="s">
        <v>4913</v>
      </c>
      <c r="F1162" t="s">
        <v>2249</v>
      </c>
      <c r="G1162">
        <f>IF(K1162="Pick-up","PICKUPS",IF(K1162="Staff drop-off","STAFF_DROPOFF",IF(K1162="Replacements","REPLACEMENT",IF(K1162="Central Stores Dispatch","CENTRAL STORES DISPATCH",IFNA(IFNA(VLOOKUP(F1162,'Raw Platform Nov 4-6 2025'!C:C,1,FALSE),VLOOKUP(F1162,'Raw Platform Nov 4-6 2025'!D:D,1,FALSE)),IFNA(VLOOKUP(F1162,'Glovo Raw Nov 4-6 2025'!B:B,1,FALSE),"Not Matched"))))))</f>
      </c>
      <c r="H1162">
        <f>COUNTIF(F:F,F1162)</f>
      </c>
      <c r="I1162" t="s">
        <v>10279</v>
      </c>
      <c r="J1162" t="s">
        <v>5341</v>
      </c>
      <c r="K1162" t="s">
        <v>4927</v>
      </c>
      <c r="L1162" t="s">
        <v>10280</v>
      </c>
      <c r="M1162" t="s">
        <v>10281</v>
      </c>
      <c r="N1162" t="s">
        <v>10282</v>
      </c>
      <c r="O1162" t="s">
        <v>5678</v>
      </c>
      <c r="P1162" t="s">
        <v>7349</v>
      </c>
      <c r="Q1162">
        <v>0</v>
      </c>
      <c r="R1162" t="s">
        <v>5118</v>
      </c>
      <c r="S1162" t="s">
        <v>116</v>
      </c>
      <c r="T1162" t="s">
        <v>4923</v>
      </c>
      <c r="U1162" t="s">
        <v>4924</v>
      </c>
      <c r="V1162" t="s">
        <v>10283</v>
      </c>
      <c r="W1162" t="s">
        <v>3667</v>
      </c>
      <c r="X1162">
        <v>382.9</v>
      </c>
    </row>
    <row r="1163" spans="1:24" x14ac:dyDescent="0.25">
      <c r="A1163" t="s">
        <v>5176</v>
      </c>
      <c r="B1163" t="s">
        <v>10254</v>
      </c>
      <c r="C1163" t="s">
        <v>10255</v>
      </c>
      <c r="D1163" t="s">
        <v>30</v>
      </c>
      <c r="E1163" t="s">
        <v>4913</v>
      </c>
      <c r="F1163" t="s">
        <v>1312</v>
      </c>
      <c r="G1163">
        <f>IF(K1163="Pick-up","PICKUPS",IF(K1163="Staff drop-off","STAFF_DROPOFF",IF(K1163="Replacements","REPLACEMENT",IF(K1163="Central Stores Dispatch","CENTRAL STORES DISPATCH",IFNA(IFNA(VLOOKUP(F1163,'Raw Platform Nov 4-6 2025'!C:C,1,FALSE),VLOOKUP(F1163,'Raw Platform Nov 4-6 2025'!D:D,1,FALSE)),IFNA(VLOOKUP(F1163,'Glovo Raw Nov 4-6 2025'!B:B,1,FALSE),"Not Matched"))))))</f>
      </c>
      <c r="H1163">
        <f>COUNTIF(F:F,F1163)</f>
      </c>
      <c r="I1163" t="s">
        <v>10284</v>
      </c>
      <c r="J1163" t="s">
        <v>63</v>
      </c>
      <c r="K1163" t="s">
        <v>4927</v>
      </c>
      <c r="L1163" t="s">
        <v>10285</v>
      </c>
      <c r="M1163" t="s">
        <v>10286</v>
      </c>
      <c r="N1163" t="s">
        <v>10287</v>
      </c>
      <c r="O1163" t="s">
        <v>5469</v>
      </c>
      <c r="P1163" t="s">
        <v>8980</v>
      </c>
      <c r="Q1163">
        <v>0</v>
      </c>
      <c r="R1163" t="s">
        <v>5118</v>
      </c>
      <c r="S1163" t="s">
        <v>12</v>
      </c>
      <c r="T1163" t="s">
        <v>4923</v>
      </c>
      <c r="U1163" t="s">
        <v>4924</v>
      </c>
      <c r="V1163" t="s">
        <v>10288</v>
      </c>
      <c r="W1163" t="s">
        <v>3667</v>
      </c>
      <c r="X1163">
        <v>316.2</v>
      </c>
    </row>
    <row r="1164" spans="1:24" x14ac:dyDescent="0.25">
      <c r="A1164" t="s">
        <v>5176</v>
      </c>
      <c r="B1164" t="s">
        <v>10254</v>
      </c>
      <c r="C1164" t="s">
        <v>10255</v>
      </c>
      <c r="D1164" t="s">
        <v>30</v>
      </c>
      <c r="E1164" t="s">
        <v>4913</v>
      </c>
      <c r="F1164" t="s">
        <v>1822</v>
      </c>
      <c r="G1164">
        <f>IF(K1164="Pick-up","PICKUPS",IF(K1164="Staff drop-off","STAFF_DROPOFF",IF(K1164="Replacements","REPLACEMENT",IF(K1164="Central Stores Dispatch","CENTRAL STORES DISPATCH",IFNA(IFNA(VLOOKUP(F1164,'Raw Platform Nov 4-6 2025'!C:C,1,FALSE),VLOOKUP(F1164,'Raw Platform Nov 4-6 2025'!D:D,1,FALSE)),IFNA(VLOOKUP(F1164,'Glovo Raw Nov 4-6 2025'!B:B,1,FALSE),"Not Matched"))))))</f>
      </c>
      <c r="H1164">
        <f>COUNTIF(F:F,F1164)</f>
      </c>
      <c r="I1164" t="s">
        <v>10289</v>
      </c>
      <c r="J1164" t="s">
        <v>63</v>
      </c>
      <c r="K1164" t="s">
        <v>4927</v>
      </c>
      <c r="L1164" t="s">
        <v>10290</v>
      </c>
      <c r="M1164" t="s">
        <v>10291</v>
      </c>
      <c r="N1164" t="s">
        <v>10292</v>
      </c>
      <c r="O1164" t="s">
        <v>2009</v>
      </c>
      <c r="P1164" t="s">
        <v>5097</v>
      </c>
      <c r="Q1164">
        <v>0</v>
      </c>
      <c r="R1164" t="s">
        <v>5118</v>
      </c>
      <c r="S1164" t="s">
        <v>29</v>
      </c>
      <c r="T1164" t="s">
        <v>4923</v>
      </c>
      <c r="U1164" t="s">
        <v>4924</v>
      </c>
      <c r="V1164" t="s">
        <v>10293</v>
      </c>
      <c r="W1164" t="s">
        <v>3667</v>
      </c>
      <c r="X1164">
        <v>100</v>
      </c>
    </row>
    <row r="1165" spans="1:24" x14ac:dyDescent="0.25">
      <c r="A1165" t="s">
        <v>5176</v>
      </c>
      <c r="B1165" t="s">
        <v>10254</v>
      </c>
      <c r="C1165" t="s">
        <v>10255</v>
      </c>
      <c r="D1165" t="s">
        <v>30</v>
      </c>
      <c r="E1165" t="s">
        <v>4913</v>
      </c>
      <c r="F1165" t="s">
        <v>2162</v>
      </c>
      <c r="G1165">
        <f>IF(K1165="Pick-up","PICKUPS",IF(K1165="Staff drop-off","STAFF_DROPOFF",IF(K1165="Replacements","REPLACEMENT",IF(K1165="Central Stores Dispatch","CENTRAL STORES DISPATCH",IFNA(IFNA(VLOOKUP(F1165,'Raw Platform Nov 4-6 2025'!C:C,1,FALSE),VLOOKUP(F1165,'Raw Platform Nov 4-6 2025'!D:D,1,FALSE)),IFNA(VLOOKUP(F1165,'Glovo Raw Nov 4-6 2025'!B:B,1,FALSE),"Not Matched"))))))</f>
      </c>
      <c r="H1165">
        <f>COUNTIF(F:F,F1165)</f>
      </c>
      <c r="I1165" t="s">
        <v>10294</v>
      </c>
      <c r="J1165" t="s">
        <v>4915</v>
      </c>
      <c r="K1165" t="s">
        <v>4927</v>
      </c>
      <c r="L1165" t="s">
        <v>10295</v>
      </c>
      <c r="M1165" t="s">
        <v>5327</v>
      </c>
      <c r="N1165" t="s">
        <v>10296</v>
      </c>
      <c r="O1165" t="s">
        <v>183</v>
      </c>
      <c r="P1165" t="s">
        <v>8737</v>
      </c>
      <c r="Q1165">
        <v>0</v>
      </c>
      <c r="R1165" t="s">
        <v>5118</v>
      </c>
      <c r="S1165" t="s">
        <v>172</v>
      </c>
      <c r="T1165" t="s">
        <v>4923</v>
      </c>
      <c r="U1165" t="s">
        <v>4924</v>
      </c>
      <c r="V1165" t="s">
        <v>10297</v>
      </c>
      <c r="W1165" t="s">
        <v>3667</v>
      </c>
      <c r="X1165">
        <v>320.8</v>
      </c>
    </row>
    <row r="1166" spans="1:24" x14ac:dyDescent="0.25">
      <c r="A1166" t="s">
        <v>5176</v>
      </c>
      <c r="B1166" t="s">
        <v>10254</v>
      </c>
      <c r="C1166" t="s">
        <v>10255</v>
      </c>
      <c r="D1166" t="s">
        <v>191</v>
      </c>
      <c r="E1166" t="s">
        <v>4913</v>
      </c>
      <c r="F1166" t="s">
        <v>1980</v>
      </c>
      <c r="G1166">
        <f>IF(K1166="Pick-up","PICKUPS",IF(K1166="Staff drop-off","STAFF_DROPOFF",IF(K1166="Replacements","REPLACEMENT",IF(K1166="Central Stores Dispatch","CENTRAL STORES DISPATCH",IFNA(IFNA(VLOOKUP(F1166,'Raw Platform Nov 4-6 2025'!C:C,1,FALSE),VLOOKUP(F1166,'Raw Platform Nov 4-6 2025'!D:D,1,FALSE)),IFNA(VLOOKUP(F1166,'Glovo Raw Nov 4-6 2025'!B:B,1,FALSE),"Not Matched"))))))</f>
      </c>
      <c r="H1166">
        <f>COUNTIF(F:F,F1166)</f>
      </c>
      <c r="I1166" t="s">
        <v>10298</v>
      </c>
      <c r="J1166" t="s">
        <v>4915</v>
      </c>
      <c r="K1166" t="s">
        <v>4916</v>
      </c>
      <c r="L1166" t="s">
        <v>10299</v>
      </c>
      <c r="M1166" t="s">
        <v>10300</v>
      </c>
      <c r="N1166" t="s">
        <v>10301</v>
      </c>
      <c r="O1166" t="s">
        <v>91</v>
      </c>
      <c r="P1166" t="s">
        <v>6125</v>
      </c>
      <c r="Q1166">
        <v>1390</v>
      </c>
      <c r="R1166" t="s">
        <v>5118</v>
      </c>
      <c r="S1166" t="s">
        <v>5184</v>
      </c>
      <c r="T1166" t="s">
        <v>4923</v>
      </c>
      <c r="U1166" t="s">
        <v>4924</v>
      </c>
      <c r="V1166" t="s">
        <v>10302</v>
      </c>
      <c r="W1166" t="s">
        <v>3667</v>
      </c>
      <c r="X1166">
        <v>224.2</v>
      </c>
    </row>
    <row r="1167" spans="1:24" x14ac:dyDescent="0.25">
      <c r="A1167" t="s">
        <v>5176</v>
      </c>
      <c r="B1167" t="s">
        <v>10254</v>
      </c>
      <c r="C1167" t="s">
        <v>10255</v>
      </c>
      <c r="D1167" t="s">
        <v>30</v>
      </c>
      <c r="E1167" t="s">
        <v>4913</v>
      </c>
      <c r="F1167" t="s">
        <v>1747</v>
      </c>
      <c r="G1167">
        <f>IF(K1167="Pick-up","PICKUPS",IF(K1167="Staff drop-off","STAFF_DROPOFF",IF(K1167="Replacements","REPLACEMENT",IF(K1167="Central Stores Dispatch","CENTRAL STORES DISPATCH",IFNA(IFNA(VLOOKUP(F1167,'Raw Platform Nov 4-6 2025'!C:C,1,FALSE),VLOOKUP(F1167,'Raw Platform Nov 4-6 2025'!D:D,1,FALSE)),IFNA(VLOOKUP(F1167,'Glovo Raw Nov 4-6 2025'!B:B,1,FALSE),"Not Matched"))))))</f>
      </c>
      <c r="H1167">
        <f>COUNTIF(F:F,F1167)</f>
      </c>
      <c r="I1167" t="s">
        <v>10303</v>
      </c>
      <c r="J1167" t="s">
        <v>63</v>
      </c>
      <c r="K1167" t="s">
        <v>4927</v>
      </c>
      <c r="L1167" t="s">
        <v>10304</v>
      </c>
      <c r="M1167" t="s">
        <v>10305</v>
      </c>
      <c r="N1167" t="s">
        <v>10306</v>
      </c>
      <c r="O1167" t="s">
        <v>123</v>
      </c>
      <c r="P1167" t="s">
        <v>6235</v>
      </c>
      <c r="Q1167">
        <v>0</v>
      </c>
      <c r="R1167" t="s">
        <v>5118</v>
      </c>
      <c r="S1167" t="s">
        <v>172</v>
      </c>
      <c r="T1167" t="s">
        <v>4923</v>
      </c>
      <c r="U1167" t="s">
        <v>4924</v>
      </c>
      <c r="V1167" t="s">
        <v>10307</v>
      </c>
      <c r="W1167" t="s">
        <v>3667</v>
      </c>
      <c r="X1167">
        <v>104.6</v>
      </c>
    </row>
    <row r="1168" spans="1:24" x14ac:dyDescent="0.25">
      <c r="A1168" t="s">
        <v>5176</v>
      </c>
      <c r="B1168" t="s">
        <v>10254</v>
      </c>
      <c r="C1168" t="s">
        <v>10255</v>
      </c>
      <c r="D1168" t="s">
        <v>30</v>
      </c>
      <c r="E1168" t="s">
        <v>4913</v>
      </c>
      <c r="F1168" t="s">
        <v>1588</v>
      </c>
      <c r="G1168">
        <f>IF(K1168="Pick-up","PICKUPS",IF(K1168="Staff drop-off","STAFF_DROPOFF",IF(K1168="Replacements","REPLACEMENT",IF(K1168="Central Stores Dispatch","CENTRAL STORES DISPATCH",IFNA(IFNA(VLOOKUP(F1168,'Raw Platform Nov 4-6 2025'!C:C,1,FALSE),VLOOKUP(F1168,'Raw Platform Nov 4-6 2025'!D:D,1,FALSE)),IFNA(VLOOKUP(F1168,'Glovo Raw Nov 4-6 2025'!B:B,1,FALSE),"Not Matched"))))))</f>
      </c>
      <c r="H1168">
        <f>COUNTIF(F:F,F1168)</f>
      </c>
      <c r="I1168" t="s">
        <v>10308</v>
      </c>
      <c r="J1168" t="s">
        <v>4915</v>
      </c>
      <c r="K1168" t="s">
        <v>4927</v>
      </c>
      <c r="L1168" t="s">
        <v>10309</v>
      </c>
      <c r="M1168" t="s">
        <v>5327</v>
      </c>
      <c r="N1168" t="s">
        <v>9932</v>
      </c>
      <c r="O1168" t="s">
        <v>9</v>
      </c>
      <c r="P1168" t="s">
        <v>6592</v>
      </c>
      <c r="Q1168">
        <v>0</v>
      </c>
      <c r="R1168" t="s">
        <v>5118</v>
      </c>
      <c r="S1168" t="s">
        <v>29</v>
      </c>
      <c r="T1168" t="s">
        <v>4923</v>
      </c>
      <c r="U1168" t="s">
        <v>4924</v>
      </c>
      <c r="V1168" t="s">
        <v>10310</v>
      </c>
      <c r="W1168" t="s">
        <v>3667</v>
      </c>
      <c r="X1168">
        <v>155.2</v>
      </c>
    </row>
    <row r="1169" spans="1:24" x14ac:dyDescent="0.25">
      <c r="A1169" t="s">
        <v>5176</v>
      </c>
      <c r="B1169" t="s">
        <v>10254</v>
      </c>
      <c r="C1169" t="s">
        <v>10255</v>
      </c>
      <c r="D1169" t="s">
        <v>30</v>
      </c>
      <c r="E1169" t="s">
        <v>4913</v>
      </c>
      <c r="F1169" t="s">
        <v>1765</v>
      </c>
      <c r="G1169">
        <f>IF(K1169="Pick-up","PICKUPS",IF(K1169="Staff drop-off","STAFF_DROPOFF",IF(K1169="Replacements","REPLACEMENT",IF(K1169="Central Stores Dispatch","CENTRAL STORES DISPATCH",IFNA(IFNA(VLOOKUP(F1169,'Raw Platform Nov 4-6 2025'!C:C,1,FALSE),VLOOKUP(F1169,'Raw Platform Nov 4-6 2025'!D:D,1,FALSE)),IFNA(VLOOKUP(F1169,'Glovo Raw Nov 4-6 2025'!B:B,1,FALSE),"Not Matched"))))))</f>
      </c>
      <c r="H1169">
        <f>COUNTIF(F:F,F1169)</f>
      </c>
      <c r="I1169" t="s">
        <v>10311</v>
      </c>
      <c r="J1169" t="s">
        <v>4915</v>
      </c>
      <c r="K1169" t="s">
        <v>4916</v>
      </c>
      <c r="L1169" t="s">
        <v>10312</v>
      </c>
      <c r="M1169" t="s">
        <v>10313</v>
      </c>
      <c r="N1169" t="s">
        <v>10314</v>
      </c>
      <c r="O1169" t="s">
        <v>47</v>
      </c>
      <c r="P1169" t="s">
        <v>5045</v>
      </c>
      <c r="Q1169">
        <v>992</v>
      </c>
      <c r="R1169" t="s">
        <v>5118</v>
      </c>
      <c r="S1169" t="s">
        <v>172</v>
      </c>
      <c r="T1169" t="s">
        <v>4923</v>
      </c>
      <c r="U1169" t="s">
        <v>4924</v>
      </c>
      <c r="V1169" t="s">
        <v>10315</v>
      </c>
      <c r="W1169" t="s">
        <v>3667</v>
      </c>
      <c r="X1169">
        <v>102.3</v>
      </c>
    </row>
    <row r="1170" spans="1:24" x14ac:dyDescent="0.25">
      <c r="A1170" t="s">
        <v>5176</v>
      </c>
      <c r="B1170" t="s">
        <v>10254</v>
      </c>
      <c r="C1170" t="s">
        <v>10255</v>
      </c>
      <c r="D1170" t="s">
        <v>30</v>
      </c>
      <c r="E1170" t="s">
        <v>4913</v>
      </c>
      <c r="F1170" t="s">
        <v>2334</v>
      </c>
      <c r="G1170">
        <f>IF(K1170="Pick-up","PICKUPS",IF(K1170="Staff drop-off","STAFF_DROPOFF",IF(K1170="Replacements","REPLACEMENT",IF(K1170="Central Stores Dispatch","CENTRAL STORES DISPATCH",IFNA(IFNA(VLOOKUP(F1170,'Raw Platform Nov 4-6 2025'!C:C,1,FALSE),VLOOKUP(F1170,'Raw Platform Nov 4-6 2025'!D:D,1,FALSE)),IFNA(VLOOKUP(F1170,'Glovo Raw Nov 4-6 2025'!B:B,1,FALSE),"Not Matched"))))))</f>
      </c>
      <c r="H1170">
        <f>COUNTIF(F:F,F1170)</f>
      </c>
      <c r="I1170" t="s">
        <v>10316</v>
      </c>
      <c r="J1170" t="s">
        <v>4915</v>
      </c>
      <c r="K1170" t="s">
        <v>4927</v>
      </c>
      <c r="L1170" t="s">
        <v>10317</v>
      </c>
      <c r="M1170" t="s">
        <v>10318</v>
      </c>
      <c r="N1170" t="s">
        <v>10319</v>
      </c>
      <c r="O1170" t="s">
        <v>53</v>
      </c>
      <c r="P1170" t="s">
        <v>5588</v>
      </c>
      <c r="Q1170">
        <v>0</v>
      </c>
      <c r="R1170" t="s">
        <v>5118</v>
      </c>
      <c r="S1170" t="s">
        <v>172</v>
      </c>
      <c r="T1170" t="s">
        <v>4923</v>
      </c>
      <c r="U1170" t="s">
        <v>4924</v>
      </c>
      <c r="V1170" t="s">
        <v>10320</v>
      </c>
      <c r="W1170" t="s">
        <v>3667</v>
      </c>
      <c r="X1170">
        <v>109.2</v>
      </c>
    </row>
    <row r="1171" spans="1:24" x14ac:dyDescent="0.25">
      <c r="A1171" t="s">
        <v>5176</v>
      </c>
      <c r="B1171" t="s">
        <v>10254</v>
      </c>
      <c r="C1171" t="s">
        <v>10255</v>
      </c>
      <c r="D1171" t="s">
        <v>30</v>
      </c>
      <c r="E1171" t="s">
        <v>4913</v>
      </c>
      <c r="F1171" t="s">
        <v>2129</v>
      </c>
      <c r="G1171">
        <f>IF(K1171="Pick-up","PICKUPS",IF(K1171="Staff drop-off","STAFF_DROPOFF",IF(K1171="Replacements","REPLACEMENT",IF(K1171="Central Stores Dispatch","CENTRAL STORES DISPATCH",IFNA(IFNA(VLOOKUP(F1171,'Raw Platform Nov 4-6 2025'!C:C,1,FALSE),VLOOKUP(F1171,'Raw Platform Nov 4-6 2025'!D:D,1,FALSE)),IFNA(VLOOKUP(F1171,'Glovo Raw Nov 4-6 2025'!B:B,1,FALSE),"Not Matched"))))))</f>
      </c>
      <c r="H1171">
        <f>COUNTIF(F:F,F1171)</f>
      </c>
      <c r="I1171" t="s">
        <v>10321</v>
      </c>
      <c r="J1171" t="s">
        <v>4915</v>
      </c>
      <c r="K1171" t="s">
        <v>4927</v>
      </c>
      <c r="L1171" t="s">
        <v>8869</v>
      </c>
      <c r="M1171" t="s">
        <v>8870</v>
      </c>
      <c r="N1171" t="s">
        <v>8871</v>
      </c>
      <c r="O1171" t="s">
        <v>26</v>
      </c>
      <c r="P1171" t="s">
        <v>5795</v>
      </c>
      <c r="Q1171">
        <v>0</v>
      </c>
      <c r="R1171" t="s">
        <v>5118</v>
      </c>
      <c r="S1171" t="s">
        <v>172</v>
      </c>
      <c r="T1171" t="s">
        <v>4923</v>
      </c>
      <c r="U1171" t="s">
        <v>4924</v>
      </c>
      <c r="V1171" t="s">
        <v>10322</v>
      </c>
      <c r="W1171" t="s">
        <v>3667</v>
      </c>
      <c r="X1171">
        <v>0</v>
      </c>
    </row>
    <row r="1172" spans="1:24" x14ac:dyDescent="0.25">
      <c r="A1172" t="s">
        <v>5176</v>
      </c>
      <c r="B1172" t="s">
        <v>10254</v>
      </c>
      <c r="C1172" t="s">
        <v>10255</v>
      </c>
      <c r="D1172" t="s">
        <v>30</v>
      </c>
      <c r="E1172" t="s">
        <v>4913</v>
      </c>
      <c r="F1172" t="s">
        <v>1593</v>
      </c>
      <c r="G1172">
        <f>IF(K1172="Pick-up","PICKUPS",IF(K1172="Staff drop-off","STAFF_DROPOFF",IF(K1172="Replacements","REPLACEMENT",IF(K1172="Central Stores Dispatch","CENTRAL STORES DISPATCH",IFNA(IFNA(VLOOKUP(F1172,'Raw Platform Nov 4-6 2025'!C:C,1,FALSE),VLOOKUP(F1172,'Raw Platform Nov 4-6 2025'!D:D,1,FALSE)),IFNA(VLOOKUP(F1172,'Glovo Raw Nov 4-6 2025'!B:B,1,FALSE),"Not Matched"))))))</f>
      </c>
      <c r="H1172">
        <f>COUNTIF(F:F,F1172)</f>
      </c>
      <c r="I1172" t="s">
        <v>10323</v>
      </c>
      <c r="J1172" t="s">
        <v>4915</v>
      </c>
      <c r="K1172" t="s">
        <v>4927</v>
      </c>
      <c r="L1172" t="s">
        <v>10324</v>
      </c>
      <c r="M1172" t="s">
        <v>5327</v>
      </c>
      <c r="N1172" t="s">
        <v>9328</v>
      </c>
      <c r="O1172" t="s">
        <v>73</v>
      </c>
      <c r="P1172" t="s">
        <v>5164</v>
      </c>
      <c r="Q1172">
        <v>0</v>
      </c>
      <c r="R1172" t="s">
        <v>5118</v>
      </c>
      <c r="S1172" t="s">
        <v>45</v>
      </c>
      <c r="T1172" t="s">
        <v>4923</v>
      </c>
      <c r="U1172" t="s">
        <v>4924</v>
      </c>
      <c r="V1172" t="s">
        <v>10325</v>
      </c>
      <c r="W1172" t="s">
        <v>3667</v>
      </c>
      <c r="X1172">
        <v>146</v>
      </c>
    </row>
    <row r="1173" spans="1:24" x14ac:dyDescent="0.25">
      <c r="A1173" t="s">
        <v>5176</v>
      </c>
      <c r="B1173" t="s">
        <v>10254</v>
      </c>
      <c r="C1173" t="s">
        <v>10255</v>
      </c>
      <c r="D1173" t="s">
        <v>30</v>
      </c>
      <c r="E1173" t="s">
        <v>4913</v>
      </c>
      <c r="F1173" t="s">
        <v>3532</v>
      </c>
      <c r="G1173">
        <f>IF(K1173="Pick-up","PICKUPS",IF(K1173="Staff drop-off","STAFF_DROPOFF",IF(K1173="Replacements","REPLACEMENT",IF(K1173="Central Stores Dispatch","CENTRAL STORES DISPATCH",IFNA(IFNA(VLOOKUP(F1173,'Raw Platform Nov 4-6 2025'!C:C,1,FALSE),VLOOKUP(F1173,'Raw Platform Nov 4-6 2025'!D:D,1,FALSE)),IFNA(VLOOKUP(F1173,'Glovo Raw Nov 4-6 2025'!B:B,1,FALSE),"Not Matched"))))))</f>
      </c>
      <c r="H1173">
        <f>COUNTIF(F:F,F1173)</f>
      </c>
      <c r="I1173" t="s">
        <v>10326</v>
      </c>
      <c r="J1173" t="s">
        <v>4915</v>
      </c>
      <c r="K1173" t="s">
        <v>4927</v>
      </c>
      <c r="L1173" t="s">
        <v>10327</v>
      </c>
      <c r="M1173" t="s">
        <v>10328</v>
      </c>
      <c r="N1173" t="s">
        <v>10329</v>
      </c>
      <c r="O1173" t="s">
        <v>9</v>
      </c>
      <c r="P1173" t="s">
        <v>6829</v>
      </c>
      <c r="Q1173">
        <v>0</v>
      </c>
      <c r="R1173" t="s">
        <v>5118</v>
      </c>
      <c r="S1173" t="s">
        <v>3534</v>
      </c>
      <c r="T1173" t="s">
        <v>4923</v>
      </c>
      <c r="U1173" t="s">
        <v>4924</v>
      </c>
      <c r="V1173" t="s">
        <v>10330</v>
      </c>
      <c r="W1173" t="s">
        <v>3667</v>
      </c>
      <c r="X1173">
        <v>171.3</v>
      </c>
    </row>
    <row r="1174" spans="1:24" x14ac:dyDescent="0.25">
      <c r="A1174" t="s">
        <v>5176</v>
      </c>
      <c r="B1174" t="s">
        <v>10254</v>
      </c>
      <c r="C1174" t="s">
        <v>10255</v>
      </c>
      <c r="D1174" t="s">
        <v>30</v>
      </c>
      <c r="E1174" t="s">
        <v>4913</v>
      </c>
      <c r="F1174" t="s">
        <v>3173</v>
      </c>
      <c r="G1174">
        <f>IF(K1174="Pick-up","PICKUPS",IF(K1174="Staff drop-off","STAFF_DROPOFF",IF(K1174="Replacements","REPLACEMENT",IF(K1174="Central Stores Dispatch","CENTRAL STORES DISPATCH",IFNA(IFNA(VLOOKUP(F1174,'Raw Platform Nov 4-6 2025'!C:C,1,FALSE),VLOOKUP(F1174,'Raw Platform Nov 4-6 2025'!D:D,1,FALSE)),IFNA(VLOOKUP(F1174,'Glovo Raw Nov 4-6 2025'!B:B,1,FALSE),"Not Matched"))))))</f>
      </c>
      <c r="H1174">
        <f>COUNTIF(F:F,F1174)</f>
      </c>
      <c r="I1174" t="s">
        <v>10331</v>
      </c>
      <c r="J1174" t="s">
        <v>63</v>
      </c>
      <c r="K1174" t="s">
        <v>4927</v>
      </c>
      <c r="L1174" t="s">
        <v>10332</v>
      </c>
      <c r="M1174" t="s">
        <v>10333</v>
      </c>
      <c r="N1174" t="s">
        <v>10334</v>
      </c>
      <c r="O1174" t="s">
        <v>16</v>
      </c>
      <c r="P1174" t="s">
        <v>5510</v>
      </c>
      <c r="Q1174">
        <v>0</v>
      </c>
      <c r="R1174" t="s">
        <v>5118</v>
      </c>
      <c r="S1174" t="s">
        <v>29</v>
      </c>
      <c r="T1174" t="s">
        <v>4923</v>
      </c>
      <c r="U1174" t="s">
        <v>4924</v>
      </c>
      <c r="V1174" t="s">
        <v>10335</v>
      </c>
      <c r="W1174" t="s">
        <v>3667</v>
      </c>
      <c r="X1174">
        <v>196.6</v>
      </c>
    </row>
    <row r="1175" spans="1:24" x14ac:dyDescent="0.25">
      <c r="A1175" t="s">
        <v>5176</v>
      </c>
      <c r="B1175" t="s">
        <v>10254</v>
      </c>
      <c r="C1175" t="s">
        <v>10255</v>
      </c>
      <c r="D1175" t="s">
        <v>30</v>
      </c>
      <c r="E1175" t="s">
        <v>4913</v>
      </c>
      <c r="F1175" t="s">
        <v>3359</v>
      </c>
      <c r="G1175">
        <f>IF(K1175="Pick-up","PICKUPS",IF(K1175="Staff drop-off","STAFF_DROPOFF",IF(K1175="Replacements","REPLACEMENT",IF(K1175="Central Stores Dispatch","CENTRAL STORES DISPATCH",IFNA(IFNA(VLOOKUP(F1175,'Raw Platform Nov 4-6 2025'!C:C,1,FALSE),VLOOKUP(F1175,'Raw Platform Nov 4-6 2025'!D:D,1,FALSE)),IFNA(VLOOKUP(F1175,'Glovo Raw Nov 4-6 2025'!B:B,1,FALSE),"Not Matched"))))))</f>
      </c>
      <c r="H1175">
        <f>COUNTIF(F:F,F1175)</f>
      </c>
      <c r="I1175" t="s">
        <v>10336</v>
      </c>
      <c r="J1175" t="s">
        <v>4915</v>
      </c>
      <c r="K1175" t="s">
        <v>4927</v>
      </c>
      <c r="L1175" t="s">
        <v>10337</v>
      </c>
      <c r="M1175" t="s">
        <v>5327</v>
      </c>
      <c r="N1175" t="s">
        <v>8849</v>
      </c>
      <c r="O1175" t="s">
        <v>47</v>
      </c>
      <c r="P1175" t="s">
        <v>5541</v>
      </c>
      <c r="Q1175">
        <v>0</v>
      </c>
      <c r="R1175" t="s">
        <v>5118</v>
      </c>
      <c r="S1175" t="s">
        <v>29</v>
      </c>
      <c r="T1175" t="s">
        <v>4923</v>
      </c>
      <c r="U1175" t="s">
        <v>4924</v>
      </c>
      <c r="V1175" t="s">
        <v>10338</v>
      </c>
      <c r="W1175" t="s">
        <v>3667</v>
      </c>
      <c r="X1175">
        <v>100</v>
      </c>
    </row>
    <row r="1176" spans="1:24" x14ac:dyDescent="0.25">
      <c r="A1176" t="s">
        <v>5176</v>
      </c>
      <c r="B1176" t="s">
        <v>10254</v>
      </c>
      <c r="C1176" t="s">
        <v>10255</v>
      </c>
      <c r="D1176" t="s">
        <v>30</v>
      </c>
      <c r="E1176" t="s">
        <v>4913</v>
      </c>
      <c r="F1176" t="s">
        <v>3345</v>
      </c>
      <c r="G1176">
        <f>IF(K1176="Pick-up","PICKUPS",IF(K1176="Staff drop-off","STAFF_DROPOFF",IF(K1176="Replacements","REPLACEMENT",IF(K1176="Central Stores Dispatch","CENTRAL STORES DISPATCH",IFNA(IFNA(VLOOKUP(F1176,'Raw Platform Nov 4-6 2025'!C:C,1,FALSE),VLOOKUP(F1176,'Raw Platform Nov 4-6 2025'!D:D,1,FALSE)),IFNA(VLOOKUP(F1176,'Glovo Raw Nov 4-6 2025'!B:B,1,FALSE),"Not Matched"))))))</f>
      </c>
      <c r="H1176">
        <f>COUNTIF(F:F,F1176)</f>
      </c>
      <c r="I1176" t="s">
        <v>10339</v>
      </c>
      <c r="J1176" t="s">
        <v>4915</v>
      </c>
      <c r="K1176" t="s">
        <v>4916</v>
      </c>
      <c r="L1176" t="s">
        <v>10340</v>
      </c>
      <c r="M1176" t="s">
        <v>10341</v>
      </c>
      <c r="N1176" t="s">
        <v>10342</v>
      </c>
      <c r="O1176" t="s">
        <v>4949</v>
      </c>
      <c r="P1176" t="s">
        <v>6558</v>
      </c>
      <c r="Q1176">
        <v>1546</v>
      </c>
      <c r="R1176" t="s">
        <v>5118</v>
      </c>
      <c r="S1176" t="s">
        <v>29</v>
      </c>
      <c r="T1176" t="s">
        <v>4923</v>
      </c>
      <c r="U1176" t="s">
        <v>4924</v>
      </c>
      <c r="V1176" t="s">
        <v>10343</v>
      </c>
      <c r="W1176" t="s">
        <v>3667</v>
      </c>
      <c r="X1176">
        <v>100</v>
      </c>
    </row>
    <row r="1177" spans="1:24" x14ac:dyDescent="0.25">
      <c r="A1177" t="s">
        <v>5176</v>
      </c>
      <c r="B1177" t="s">
        <v>10254</v>
      </c>
      <c r="C1177" t="s">
        <v>10255</v>
      </c>
      <c r="D1177" t="s">
        <v>30</v>
      </c>
      <c r="E1177" t="s">
        <v>4913</v>
      </c>
      <c r="F1177" t="s">
        <v>2905</v>
      </c>
      <c r="G1177">
        <f>IF(K1177="Pick-up","PICKUPS",IF(K1177="Staff drop-off","STAFF_DROPOFF",IF(K1177="Replacements","REPLACEMENT",IF(K1177="Central Stores Dispatch","CENTRAL STORES DISPATCH",IFNA(IFNA(VLOOKUP(F1177,'Raw Platform Nov 4-6 2025'!C:C,1,FALSE),VLOOKUP(F1177,'Raw Platform Nov 4-6 2025'!D:D,1,FALSE)),IFNA(VLOOKUP(F1177,'Glovo Raw Nov 4-6 2025'!B:B,1,FALSE),"Not Matched"))))))</f>
      </c>
      <c r="H1177">
        <f>COUNTIF(F:F,F1177)</f>
      </c>
      <c r="I1177" t="s">
        <v>6751</v>
      </c>
      <c r="J1177" t="s">
        <v>4915</v>
      </c>
      <c r="K1177" t="s">
        <v>4916</v>
      </c>
      <c r="L1177" t="s">
        <v>10344</v>
      </c>
      <c r="M1177" t="s">
        <v>10345</v>
      </c>
      <c r="N1177" t="s">
        <v>10346</v>
      </c>
      <c r="O1177" t="s">
        <v>5469</v>
      </c>
      <c r="P1177" t="s">
        <v>8737</v>
      </c>
      <c r="Q1177">
        <v>3586</v>
      </c>
      <c r="R1177" t="s">
        <v>5118</v>
      </c>
      <c r="S1177" t="s">
        <v>172</v>
      </c>
      <c r="T1177" t="s">
        <v>4923</v>
      </c>
      <c r="U1177" t="s">
        <v>4924</v>
      </c>
      <c r="V1177" t="s">
        <v>10347</v>
      </c>
      <c r="W1177" t="s">
        <v>3667</v>
      </c>
      <c r="X1177">
        <v>320.8</v>
      </c>
    </row>
    <row r="1178" spans="1:24" x14ac:dyDescent="0.25">
      <c r="A1178" t="s">
        <v>5176</v>
      </c>
      <c r="B1178" t="s">
        <v>10254</v>
      </c>
      <c r="C1178" t="s">
        <v>10255</v>
      </c>
      <c r="D1178" t="s">
        <v>30</v>
      </c>
      <c r="E1178" t="s">
        <v>4913</v>
      </c>
      <c r="F1178" t="s">
        <v>3235</v>
      </c>
      <c r="G1178">
        <f>IF(K1178="Pick-up","PICKUPS",IF(K1178="Staff drop-off","STAFF_DROPOFF",IF(K1178="Replacements","REPLACEMENT",IF(K1178="Central Stores Dispatch","CENTRAL STORES DISPATCH",IFNA(IFNA(VLOOKUP(F1178,'Raw Platform Nov 4-6 2025'!C:C,1,FALSE),VLOOKUP(F1178,'Raw Platform Nov 4-6 2025'!D:D,1,FALSE)),IFNA(VLOOKUP(F1178,'Glovo Raw Nov 4-6 2025'!B:B,1,FALSE),"Not Matched"))))))</f>
      </c>
      <c r="H1178">
        <f>COUNTIF(F:F,F1178)</f>
      </c>
      <c r="I1178" t="s">
        <v>10348</v>
      </c>
      <c r="J1178" t="s">
        <v>4915</v>
      </c>
      <c r="K1178" t="s">
        <v>4927</v>
      </c>
      <c r="L1178" t="s">
        <v>10349</v>
      </c>
      <c r="M1178" t="s">
        <v>10350</v>
      </c>
      <c r="N1178" t="s">
        <v>10261</v>
      </c>
      <c r="O1178" t="s">
        <v>47</v>
      </c>
      <c r="P1178" t="s">
        <v>6235</v>
      </c>
      <c r="Q1178">
        <v>0</v>
      </c>
      <c r="R1178" t="s">
        <v>5118</v>
      </c>
      <c r="S1178" t="s">
        <v>116</v>
      </c>
      <c r="T1178" t="s">
        <v>4923</v>
      </c>
      <c r="U1178" t="s">
        <v>4924</v>
      </c>
      <c r="V1178" t="s">
        <v>10351</v>
      </c>
      <c r="W1178" t="s">
        <v>3667</v>
      </c>
      <c r="X1178">
        <v>104.6</v>
      </c>
    </row>
    <row r="1179" spans="1:24" x14ac:dyDescent="0.25">
      <c r="A1179" t="s">
        <v>5176</v>
      </c>
      <c r="B1179" t="s">
        <v>10254</v>
      </c>
      <c r="C1179" t="s">
        <v>10255</v>
      </c>
      <c r="D1179" t="s">
        <v>30</v>
      </c>
      <c r="E1179" t="s">
        <v>4913</v>
      </c>
      <c r="F1179" t="s">
        <v>2699</v>
      </c>
      <c r="G1179">
        <f>IF(K1179="Pick-up","PICKUPS",IF(K1179="Staff drop-off","STAFF_DROPOFF",IF(K1179="Replacements","REPLACEMENT",IF(K1179="Central Stores Dispatch","CENTRAL STORES DISPATCH",IFNA(IFNA(VLOOKUP(F1179,'Raw Platform Nov 4-6 2025'!C:C,1,FALSE),VLOOKUP(F1179,'Raw Platform Nov 4-6 2025'!D:D,1,FALSE)),IFNA(VLOOKUP(F1179,'Glovo Raw Nov 4-6 2025'!B:B,1,FALSE),"Not Matched"))))))</f>
      </c>
      <c r="H1179">
        <f>COUNTIF(F:F,F1179)</f>
      </c>
      <c r="I1179" t="s">
        <v>10352</v>
      </c>
      <c r="J1179" t="s">
        <v>4915</v>
      </c>
      <c r="K1179" t="s">
        <v>4927</v>
      </c>
      <c r="L1179" t="s">
        <v>10353</v>
      </c>
      <c r="M1179" t="s">
        <v>5327</v>
      </c>
      <c r="N1179" t="s">
        <v>5435</v>
      </c>
      <c r="O1179" t="s">
        <v>47</v>
      </c>
      <c r="P1179" t="s">
        <v>5045</v>
      </c>
      <c r="Q1179">
        <v>0</v>
      </c>
      <c r="R1179" t="s">
        <v>5118</v>
      </c>
      <c r="S1179" t="s">
        <v>45</v>
      </c>
      <c r="T1179" t="s">
        <v>4923</v>
      </c>
      <c r="U1179" t="s">
        <v>4924</v>
      </c>
      <c r="V1179" t="s">
        <v>10354</v>
      </c>
      <c r="W1179" t="s">
        <v>3667</v>
      </c>
      <c r="X1179">
        <v>102.3</v>
      </c>
    </row>
    <row r="1180" spans="1:24" x14ac:dyDescent="0.25">
      <c r="A1180" t="s">
        <v>5176</v>
      </c>
      <c r="B1180" t="s">
        <v>10254</v>
      </c>
      <c r="C1180" t="s">
        <v>10255</v>
      </c>
      <c r="D1180" t="s">
        <v>30</v>
      </c>
      <c r="E1180" t="s">
        <v>4913</v>
      </c>
      <c r="F1180" t="s">
        <v>2818</v>
      </c>
      <c r="G1180">
        <f>IF(K1180="Pick-up","PICKUPS",IF(K1180="Staff drop-off","STAFF_DROPOFF",IF(K1180="Replacements","REPLACEMENT",IF(K1180="Central Stores Dispatch","CENTRAL STORES DISPATCH",IFNA(IFNA(VLOOKUP(F1180,'Raw Platform Nov 4-6 2025'!C:C,1,FALSE),VLOOKUP(F1180,'Raw Platform Nov 4-6 2025'!D:D,1,FALSE)),IFNA(VLOOKUP(F1180,'Glovo Raw Nov 4-6 2025'!B:B,1,FALSE),"Not Matched"))))))</f>
      </c>
      <c r="H1180">
        <f>COUNTIF(F:F,F1180)</f>
      </c>
      <c r="I1180" t="s">
        <v>10355</v>
      </c>
      <c r="J1180" t="s">
        <v>4915</v>
      </c>
      <c r="K1180" t="s">
        <v>4916</v>
      </c>
      <c r="L1180" t="s">
        <v>10356</v>
      </c>
      <c r="M1180" t="s">
        <v>10357</v>
      </c>
      <c r="N1180" t="s">
        <v>10358</v>
      </c>
      <c r="O1180" t="s">
        <v>26</v>
      </c>
      <c r="P1180" t="s">
        <v>5572</v>
      </c>
      <c r="Q1180">
        <v>1442</v>
      </c>
      <c r="R1180" t="s">
        <v>5118</v>
      </c>
      <c r="S1180" t="s">
        <v>172</v>
      </c>
      <c r="T1180" t="s">
        <v>4923</v>
      </c>
      <c r="U1180" t="s">
        <v>4924</v>
      </c>
      <c r="V1180" t="s">
        <v>10359</v>
      </c>
      <c r="W1180" t="s">
        <v>3667</v>
      </c>
      <c r="X1180">
        <v>125.3</v>
      </c>
    </row>
    <row r="1181" spans="1:24" x14ac:dyDescent="0.25">
      <c r="A1181" t="s">
        <v>5176</v>
      </c>
      <c r="B1181" t="s">
        <v>10254</v>
      </c>
      <c r="C1181" t="s">
        <v>10255</v>
      </c>
      <c r="D1181" t="s">
        <v>30</v>
      </c>
      <c r="E1181" t="s">
        <v>4913</v>
      </c>
      <c r="F1181" t="s">
        <v>2787</v>
      </c>
      <c r="G1181">
        <f>IF(K1181="Pick-up","PICKUPS",IF(K1181="Staff drop-off","STAFF_DROPOFF",IF(K1181="Replacements","REPLACEMENT",IF(K1181="Central Stores Dispatch","CENTRAL STORES DISPATCH",IFNA(IFNA(VLOOKUP(F1181,'Raw Platform Nov 4-6 2025'!C:C,1,FALSE),VLOOKUP(F1181,'Raw Platform Nov 4-6 2025'!D:D,1,FALSE)),IFNA(VLOOKUP(F1181,'Glovo Raw Nov 4-6 2025'!B:B,1,FALSE),"Not Matched"))))))</f>
      </c>
      <c r="H1181">
        <f>COUNTIF(F:F,F1181)</f>
      </c>
      <c r="I1181" t="s">
        <v>10360</v>
      </c>
      <c r="J1181" t="s">
        <v>4915</v>
      </c>
      <c r="K1181" t="s">
        <v>4927</v>
      </c>
      <c r="L1181" t="s">
        <v>10327</v>
      </c>
      <c r="M1181" t="s">
        <v>10328</v>
      </c>
      <c r="N1181" t="s">
        <v>10329</v>
      </c>
      <c r="O1181" t="s">
        <v>9</v>
      </c>
      <c r="P1181" t="s">
        <v>6829</v>
      </c>
      <c r="Q1181">
        <v>0</v>
      </c>
      <c r="R1181" t="s">
        <v>5118</v>
      </c>
      <c r="S1181" t="s">
        <v>116</v>
      </c>
      <c r="T1181" t="s">
        <v>4923</v>
      </c>
      <c r="U1181" t="s">
        <v>4924</v>
      </c>
      <c r="V1181" t="s">
        <v>10361</v>
      </c>
      <c r="W1181" t="s">
        <v>3667</v>
      </c>
      <c r="X1181">
        <v>171.3</v>
      </c>
    </row>
    <row r="1182" spans="1:24" x14ac:dyDescent="0.25">
      <c r="A1182" t="s">
        <v>5176</v>
      </c>
      <c r="B1182" t="s">
        <v>10254</v>
      </c>
      <c r="C1182" t="s">
        <v>10255</v>
      </c>
      <c r="D1182" t="s">
        <v>30</v>
      </c>
      <c r="E1182" t="s">
        <v>4913</v>
      </c>
      <c r="F1182" t="s">
        <v>2693</v>
      </c>
      <c r="G1182">
        <f>IF(K1182="Pick-up","PICKUPS",IF(K1182="Staff drop-off","STAFF_DROPOFF",IF(K1182="Replacements","REPLACEMENT",IF(K1182="Central Stores Dispatch","CENTRAL STORES DISPATCH",IFNA(IFNA(VLOOKUP(F1182,'Raw Platform Nov 4-6 2025'!C:C,1,FALSE),VLOOKUP(F1182,'Raw Platform Nov 4-6 2025'!D:D,1,FALSE)),IFNA(VLOOKUP(F1182,'Glovo Raw Nov 4-6 2025'!B:B,1,FALSE),"Not Matched"))))))</f>
      </c>
      <c r="H1182">
        <f>COUNTIF(F:F,F1182)</f>
      </c>
      <c r="I1182" t="s">
        <v>10362</v>
      </c>
      <c r="J1182" t="s">
        <v>4915</v>
      </c>
      <c r="K1182" t="s">
        <v>4916</v>
      </c>
      <c r="L1182" t="s">
        <v>6296</v>
      </c>
      <c r="M1182" t="s">
        <v>10363</v>
      </c>
      <c r="N1182" t="s">
        <v>10364</v>
      </c>
      <c r="O1182" t="s">
        <v>2009</v>
      </c>
      <c r="P1182" t="s">
        <v>4984</v>
      </c>
      <c r="Q1182">
        <v>1352</v>
      </c>
      <c r="R1182" t="s">
        <v>5118</v>
      </c>
      <c r="S1182" t="s">
        <v>172</v>
      </c>
      <c r="T1182" t="s">
        <v>4923</v>
      </c>
      <c r="U1182" t="s">
        <v>4924</v>
      </c>
      <c r="V1182" t="s">
        <v>5780</v>
      </c>
      <c r="W1182" t="s">
        <v>3667</v>
      </c>
      <c r="X1182">
        <v>100</v>
      </c>
    </row>
    <row r="1183" spans="1:24" x14ac:dyDescent="0.25">
      <c r="A1183" t="s">
        <v>9516</v>
      </c>
      <c r="B1183" t="s">
        <v>10365</v>
      </c>
      <c r="C1183" t="s">
        <v>10366</v>
      </c>
      <c r="D1183" t="s">
        <v>3667</v>
      </c>
      <c r="E1183" t="s">
        <v>4913</v>
      </c>
      <c r="F1183" t="s">
        <v>553</v>
      </c>
      <c r="G1183">
        <f>IF(K1183="Pick-up","PICKUPS",IF(K1183="Staff drop-off","STAFF_DROPOFF",IF(K1183="Replacements","REPLACEMENT",IF(K1183="Central Stores Dispatch","CENTRAL STORES DISPATCH",IFNA(IFNA(VLOOKUP(F1183,'Raw Platform Nov 4-6 2025'!C:C,1,FALSE),VLOOKUP(F1183,'Raw Platform Nov 4-6 2025'!D:D,1,FALSE)),IFNA(VLOOKUP(F1183,'Glovo Raw Nov 4-6 2025'!B:B,1,FALSE),"Not Matched"))))))</f>
      </c>
      <c r="H1183">
        <f>COUNTIF(F:F,F1183)</f>
      </c>
      <c r="I1183" t="s">
        <v>10367</v>
      </c>
      <c r="J1183" t="s">
        <v>5028</v>
      </c>
      <c r="K1183" t="s">
        <v>4916</v>
      </c>
      <c r="L1183" t="s">
        <v>9518</v>
      </c>
      <c r="M1183" t="s">
        <v>9519</v>
      </c>
      <c r="N1183" t="s">
        <v>9520</v>
      </c>
      <c r="O1183" t="s">
        <v>9</v>
      </c>
      <c r="P1183" t="s">
        <v>5820</v>
      </c>
      <c r="Q1183">
        <v>12000</v>
      </c>
      <c r="R1183" t="s">
        <v>5118</v>
      </c>
      <c r="S1183" t="s">
        <v>3667</v>
      </c>
      <c r="T1183" t="s">
        <v>4923</v>
      </c>
      <c r="U1183" t="s">
        <v>4924</v>
      </c>
      <c r="V1183" t="s">
        <v>8998</v>
      </c>
      <c r="W1183" t="s">
        <v>3667</v>
      </c>
      <c r="X1183">
        <v>1500</v>
      </c>
    </row>
    <row r="1184" spans="1:24" x14ac:dyDescent="0.25">
      <c r="A1184" t="s">
        <v>5916</v>
      </c>
      <c r="B1184" t="s">
        <v>10365</v>
      </c>
      <c r="C1184" t="s">
        <v>10366</v>
      </c>
      <c r="D1184" t="s">
        <v>3667</v>
      </c>
      <c r="E1184" t="s">
        <v>5034</v>
      </c>
      <c r="F1184" t="s">
        <v>2538</v>
      </c>
      <c r="G1184">
        <f>IF(K1184="Pick-up","PICKUPS",IF(K1184="Staff drop-off","STAFF_DROPOFF",IF(K1184="Replacements","REPLACEMENT",IF(K1184="Central Stores Dispatch","CENTRAL STORES DISPATCH",IFNA(IFNA(VLOOKUP(F1184,'Raw Platform Nov 4-6 2025'!C:C,1,FALSE),VLOOKUP(F1184,'Raw Platform Nov 4-6 2025'!D:D,1,FALSE)),IFNA(VLOOKUP(F1184,'Glovo Raw Nov 4-6 2025'!B:B,1,FALSE),"Not Matched"))))))</f>
      </c>
      <c r="H1184">
        <f>COUNTIF(F:F,F1184)</f>
      </c>
      <c r="I1184" t="s">
        <v>5919</v>
      </c>
      <c r="J1184" t="s">
        <v>5028</v>
      </c>
      <c r="K1184" t="s">
        <v>4916</v>
      </c>
      <c r="L1184" t="s">
        <v>5920</v>
      </c>
      <c r="M1184" t="s">
        <v>5921</v>
      </c>
      <c r="N1184" t="s">
        <v>5922</v>
      </c>
      <c r="O1184" t="s">
        <v>32</v>
      </c>
      <c r="P1184" t="s">
        <v>5923</v>
      </c>
      <c r="Q1184">
        <v>1500</v>
      </c>
      <c r="R1184" t="s">
        <v>5118</v>
      </c>
      <c r="S1184" t="s">
        <v>3667</v>
      </c>
      <c r="T1184" t="s">
        <v>4923</v>
      </c>
      <c r="U1184" t="s">
        <v>4923</v>
      </c>
      <c r="V1184" t="s">
        <v>10368</v>
      </c>
      <c r="W1184" t="s">
        <v>3667</v>
      </c>
      <c r="X1184">
        <v>0</v>
      </c>
    </row>
    <row r="1185" spans="1:24" x14ac:dyDescent="0.25">
      <c r="A1185" t="s">
        <v>5130</v>
      </c>
      <c r="B1185" t="s">
        <v>10369</v>
      </c>
      <c r="C1185" t="s">
        <v>10370</v>
      </c>
      <c r="D1185" t="s">
        <v>24</v>
      </c>
      <c r="E1185" t="s">
        <v>4913</v>
      </c>
      <c r="F1185" t="s">
        <v>1914</v>
      </c>
      <c r="G1185">
        <f>IF(K1185="Pick-up","PICKUPS",IF(K1185="Staff drop-off","STAFF_DROPOFF",IF(K1185="Replacements","REPLACEMENT",IF(K1185="Central Stores Dispatch","CENTRAL STORES DISPATCH",IFNA(IFNA(VLOOKUP(F1185,'Raw Platform Nov 4-6 2025'!C:C,1,FALSE),VLOOKUP(F1185,'Raw Platform Nov 4-6 2025'!D:D,1,FALSE)),IFNA(VLOOKUP(F1185,'Glovo Raw Nov 4-6 2025'!B:B,1,FALSE),"Not Matched"))))))</f>
      </c>
      <c r="H1185">
        <f>COUNTIF(F:F,F1185)</f>
      </c>
      <c r="I1185" t="s">
        <v>10371</v>
      </c>
      <c r="J1185" t="s">
        <v>63</v>
      </c>
      <c r="K1185" t="s">
        <v>4927</v>
      </c>
      <c r="L1185" t="s">
        <v>10372</v>
      </c>
      <c r="M1185" t="s">
        <v>5217</v>
      </c>
      <c r="N1185" t="s">
        <v>5982</v>
      </c>
      <c r="O1185" t="s">
        <v>123</v>
      </c>
      <c r="P1185" t="s">
        <v>5404</v>
      </c>
      <c r="Q1185">
        <v>0</v>
      </c>
      <c r="R1185" t="s">
        <v>4922</v>
      </c>
      <c r="S1185" t="s">
        <v>116</v>
      </c>
      <c r="T1185" t="s">
        <v>4923</v>
      </c>
      <c r="U1185" t="s">
        <v>4924</v>
      </c>
      <c r="V1185" t="s">
        <v>10373</v>
      </c>
      <c r="W1185" t="s">
        <v>3667</v>
      </c>
      <c r="X1185">
        <v>123</v>
      </c>
    </row>
    <row r="1186" spans="1:24" x14ac:dyDescent="0.25">
      <c r="A1186" t="s">
        <v>5231</v>
      </c>
      <c r="B1186" t="s">
        <v>10369</v>
      </c>
      <c r="C1186" t="s">
        <v>10370</v>
      </c>
      <c r="D1186" t="s">
        <v>191</v>
      </c>
      <c r="E1186" t="s">
        <v>4913</v>
      </c>
      <c r="F1186" t="s">
        <v>1816</v>
      </c>
      <c r="G1186">
        <f>IF(K1186="Pick-up","PICKUPS",IF(K1186="Staff drop-off","STAFF_DROPOFF",IF(K1186="Replacements","REPLACEMENT",IF(K1186="Central Stores Dispatch","CENTRAL STORES DISPATCH",IFNA(IFNA(VLOOKUP(F1186,'Raw Platform Nov 4-6 2025'!C:C,1,FALSE),VLOOKUP(F1186,'Raw Platform Nov 4-6 2025'!D:D,1,FALSE)),IFNA(VLOOKUP(F1186,'Glovo Raw Nov 4-6 2025'!B:B,1,FALSE),"Not Matched"))))))</f>
      </c>
      <c r="H1186">
        <f>COUNTIF(F:F,F1186)</f>
      </c>
      <c r="I1186" t="s">
        <v>10374</v>
      </c>
      <c r="J1186" t="s">
        <v>4915</v>
      </c>
      <c r="K1186" t="s">
        <v>4916</v>
      </c>
      <c r="L1186" t="s">
        <v>10375</v>
      </c>
      <c r="M1186" t="s">
        <v>10376</v>
      </c>
      <c r="N1186" t="s">
        <v>9785</v>
      </c>
      <c r="O1186" t="s">
        <v>4962</v>
      </c>
      <c r="P1186" t="s">
        <v>5097</v>
      </c>
      <c r="Q1186">
        <v>2086</v>
      </c>
      <c r="R1186" t="s">
        <v>4922</v>
      </c>
      <c r="S1186" t="s">
        <v>5184</v>
      </c>
      <c r="T1186" t="s">
        <v>4923</v>
      </c>
      <c r="U1186" t="s">
        <v>4924</v>
      </c>
      <c r="V1186" t="s">
        <v>10377</v>
      </c>
      <c r="W1186" t="s">
        <v>3667</v>
      </c>
      <c r="X1186">
        <v>100</v>
      </c>
    </row>
    <row r="1187" spans="1:24" x14ac:dyDescent="0.25">
      <c r="A1187" t="s">
        <v>5130</v>
      </c>
      <c r="B1187" t="s">
        <v>10369</v>
      </c>
      <c r="C1187" t="s">
        <v>10370</v>
      </c>
      <c r="D1187" t="s">
        <v>24</v>
      </c>
      <c r="E1187" t="s">
        <v>4913</v>
      </c>
      <c r="F1187" t="s">
        <v>1640</v>
      </c>
      <c r="G1187">
        <f>IF(K1187="Pick-up","PICKUPS",IF(K1187="Staff drop-off","STAFF_DROPOFF",IF(K1187="Replacements","REPLACEMENT",IF(K1187="Central Stores Dispatch","CENTRAL STORES DISPATCH",IFNA(IFNA(VLOOKUP(F1187,'Raw Platform Nov 4-6 2025'!C:C,1,FALSE),VLOOKUP(F1187,'Raw Platform Nov 4-6 2025'!D:D,1,FALSE)),IFNA(VLOOKUP(F1187,'Glovo Raw Nov 4-6 2025'!B:B,1,FALSE),"Not Matched"))))))</f>
      </c>
      <c r="H1187">
        <f>COUNTIF(F:F,F1187)</f>
      </c>
      <c r="I1187" t="s">
        <v>10378</v>
      </c>
      <c r="J1187" t="s">
        <v>4915</v>
      </c>
      <c r="K1187" t="s">
        <v>4927</v>
      </c>
      <c r="L1187" t="s">
        <v>10379</v>
      </c>
      <c r="M1187" t="s">
        <v>10380</v>
      </c>
      <c r="N1187" t="s">
        <v>5012</v>
      </c>
      <c r="O1187" t="s">
        <v>4920</v>
      </c>
      <c r="P1187" t="s">
        <v>5056</v>
      </c>
      <c r="Q1187">
        <v>0</v>
      </c>
      <c r="R1187" t="s">
        <v>4922</v>
      </c>
      <c r="S1187" t="s">
        <v>5136</v>
      </c>
      <c r="T1187" t="s">
        <v>4923</v>
      </c>
      <c r="U1187" t="s">
        <v>4924</v>
      </c>
      <c r="V1187" t="s">
        <v>10381</v>
      </c>
      <c r="W1187" t="s">
        <v>3667</v>
      </c>
      <c r="X1187">
        <v>100</v>
      </c>
    </row>
    <row r="1188" spans="1:24" x14ac:dyDescent="0.25">
      <c r="A1188" t="s">
        <v>5130</v>
      </c>
      <c r="B1188" t="s">
        <v>10369</v>
      </c>
      <c r="C1188" t="s">
        <v>10370</v>
      </c>
      <c r="D1188" t="s">
        <v>24</v>
      </c>
      <c r="E1188" t="s">
        <v>4913</v>
      </c>
      <c r="F1188" t="s">
        <v>10382</v>
      </c>
      <c r="G1188">
        <f>IF(K1188="Pick-up","PICKUPS",IF(K1188="Staff drop-off","STAFF_DROPOFF",IF(K1188="Replacements","REPLACEMENT",IF(K1188="Central Stores Dispatch","CENTRAL STORES DISPATCH",IFNA(IFNA(VLOOKUP(F1188,'Raw Platform Nov 4-6 2025'!C:C,1,FALSE),VLOOKUP(F1188,'Raw Platform Nov 4-6 2025'!D:D,1,FALSE)),IFNA(VLOOKUP(F1188,'Glovo Raw Nov 4-6 2025'!B:B,1,FALSE),"Not Matched"))))))</f>
      </c>
      <c r="H1188">
        <f>COUNTIF(F:F,F1188)</f>
      </c>
      <c r="I1188" t="s">
        <v>10383</v>
      </c>
      <c r="J1188" t="s">
        <v>4915</v>
      </c>
      <c r="K1188" t="s">
        <v>4927</v>
      </c>
      <c r="L1188" t="s">
        <v>10384</v>
      </c>
      <c r="M1188" t="s">
        <v>10385</v>
      </c>
      <c r="N1188" t="s">
        <v>5355</v>
      </c>
      <c r="O1188" t="s">
        <v>47</v>
      </c>
      <c r="P1188" t="s">
        <v>5128</v>
      </c>
      <c r="Q1188">
        <v>0</v>
      </c>
      <c r="R1188" t="s">
        <v>4922</v>
      </c>
      <c r="S1188" t="s">
        <v>116</v>
      </c>
      <c r="T1188" t="s">
        <v>4923</v>
      </c>
      <c r="U1188" t="s">
        <v>4924</v>
      </c>
      <c r="V1188" t="s">
        <v>10386</v>
      </c>
      <c r="W1188" t="s">
        <v>3667</v>
      </c>
      <c r="X1188">
        <v>116.1</v>
      </c>
    </row>
    <row r="1189" spans="1:24" x14ac:dyDescent="0.25">
      <c r="A1189" t="s">
        <v>5130</v>
      </c>
      <c r="B1189" t="s">
        <v>10369</v>
      </c>
      <c r="C1189" t="s">
        <v>10370</v>
      </c>
      <c r="D1189" t="s">
        <v>24</v>
      </c>
      <c r="E1189" t="s">
        <v>4913</v>
      </c>
      <c r="F1189" t="s">
        <v>2490</v>
      </c>
      <c r="G1189">
        <f>IF(K1189="Pick-up","PICKUPS",IF(K1189="Staff drop-off","STAFF_DROPOFF",IF(K1189="Replacements","REPLACEMENT",IF(K1189="Central Stores Dispatch","CENTRAL STORES DISPATCH",IFNA(IFNA(VLOOKUP(F1189,'Raw Platform Nov 4-6 2025'!C:C,1,FALSE),VLOOKUP(F1189,'Raw Platform Nov 4-6 2025'!D:D,1,FALSE)),IFNA(VLOOKUP(F1189,'Glovo Raw Nov 4-6 2025'!B:B,1,FALSE),"Not Matched"))))))</f>
      </c>
      <c r="H1189">
        <f>COUNTIF(F:F,F1189)</f>
      </c>
      <c r="I1189" t="s">
        <v>10387</v>
      </c>
      <c r="J1189" t="s">
        <v>5028</v>
      </c>
      <c r="K1189" t="s">
        <v>4927</v>
      </c>
      <c r="L1189" t="s">
        <v>10388</v>
      </c>
      <c r="M1189" t="s">
        <v>10389</v>
      </c>
      <c r="N1189" t="s">
        <v>10390</v>
      </c>
      <c r="O1189" t="s">
        <v>47</v>
      </c>
      <c r="P1189" t="s">
        <v>5476</v>
      </c>
      <c r="Q1189">
        <v>0</v>
      </c>
      <c r="R1189" t="s">
        <v>4922</v>
      </c>
      <c r="S1189" t="s">
        <v>5136</v>
      </c>
      <c r="T1189" t="s">
        <v>4923</v>
      </c>
      <c r="U1189" t="s">
        <v>4924</v>
      </c>
      <c r="V1189" t="s">
        <v>10391</v>
      </c>
      <c r="W1189" t="s">
        <v>3667</v>
      </c>
      <c r="X1189">
        <v>100</v>
      </c>
    </row>
    <row r="1190" spans="1:24" x14ac:dyDescent="0.25">
      <c r="A1190" t="s">
        <v>5130</v>
      </c>
      <c r="B1190" t="s">
        <v>10369</v>
      </c>
      <c r="C1190" t="s">
        <v>10370</v>
      </c>
      <c r="D1190" t="s">
        <v>24</v>
      </c>
      <c r="E1190" t="s">
        <v>4913</v>
      </c>
      <c r="F1190" t="s">
        <v>2070</v>
      </c>
      <c r="G1190">
        <f>IF(K1190="Pick-up","PICKUPS",IF(K1190="Staff drop-off","STAFF_DROPOFF",IF(K1190="Replacements","REPLACEMENT",IF(K1190="Central Stores Dispatch","CENTRAL STORES DISPATCH",IFNA(IFNA(VLOOKUP(F1190,'Raw Platform Nov 4-6 2025'!C:C,1,FALSE),VLOOKUP(F1190,'Raw Platform Nov 4-6 2025'!D:D,1,FALSE)),IFNA(VLOOKUP(F1190,'Glovo Raw Nov 4-6 2025'!B:B,1,FALSE),"Not Matched"))))))</f>
      </c>
      <c r="H1190">
        <f>COUNTIF(F:F,F1190)</f>
      </c>
      <c r="I1190" t="s">
        <v>10392</v>
      </c>
      <c r="J1190" t="s">
        <v>4915</v>
      </c>
      <c r="K1190" t="s">
        <v>4916</v>
      </c>
      <c r="L1190" t="s">
        <v>10393</v>
      </c>
      <c r="M1190" t="s">
        <v>10394</v>
      </c>
      <c r="N1190" t="s">
        <v>10395</v>
      </c>
      <c r="O1190" t="s">
        <v>4956</v>
      </c>
      <c r="P1190" t="s">
        <v>5097</v>
      </c>
      <c r="Q1190">
        <v>1152</v>
      </c>
      <c r="R1190" t="s">
        <v>4922</v>
      </c>
      <c r="S1190" t="s">
        <v>35</v>
      </c>
      <c r="T1190" t="s">
        <v>4923</v>
      </c>
      <c r="U1190" t="s">
        <v>4924</v>
      </c>
      <c r="V1190" t="s">
        <v>10396</v>
      </c>
      <c r="W1190" t="s">
        <v>3667</v>
      </c>
      <c r="X1190">
        <v>100</v>
      </c>
    </row>
    <row r="1191" spans="1:24" x14ac:dyDescent="0.25">
      <c r="A1191" t="s">
        <v>5130</v>
      </c>
      <c r="B1191" t="s">
        <v>10369</v>
      </c>
      <c r="C1191" t="s">
        <v>10370</v>
      </c>
      <c r="D1191" t="s">
        <v>24</v>
      </c>
      <c r="E1191" t="s">
        <v>4913</v>
      </c>
      <c r="F1191" t="s">
        <v>1560</v>
      </c>
      <c r="G1191">
        <f>IF(K1191="Pick-up","PICKUPS",IF(K1191="Staff drop-off","STAFF_DROPOFF",IF(K1191="Replacements","REPLACEMENT",IF(K1191="Central Stores Dispatch","CENTRAL STORES DISPATCH",IFNA(IFNA(VLOOKUP(F1191,'Raw Platform Nov 4-6 2025'!C:C,1,FALSE),VLOOKUP(F1191,'Raw Platform Nov 4-6 2025'!D:D,1,FALSE)),IFNA(VLOOKUP(F1191,'Glovo Raw Nov 4-6 2025'!B:B,1,FALSE),"Not Matched"))))))</f>
      </c>
      <c r="H1191">
        <f>COUNTIF(F:F,F1191)</f>
      </c>
      <c r="I1191" t="s">
        <v>10397</v>
      </c>
      <c r="J1191" t="s">
        <v>4915</v>
      </c>
      <c r="K1191" t="s">
        <v>4927</v>
      </c>
      <c r="L1191" t="s">
        <v>10398</v>
      </c>
      <c r="M1191" t="s">
        <v>5217</v>
      </c>
      <c r="N1191" t="s">
        <v>4973</v>
      </c>
      <c r="O1191" t="s">
        <v>123</v>
      </c>
      <c r="P1191" t="s">
        <v>5285</v>
      </c>
      <c r="Q1191">
        <v>0</v>
      </c>
      <c r="R1191" t="s">
        <v>4922</v>
      </c>
      <c r="S1191" t="s">
        <v>5136</v>
      </c>
      <c r="T1191" t="s">
        <v>4923</v>
      </c>
      <c r="U1191" t="s">
        <v>4924</v>
      </c>
      <c r="V1191" t="s">
        <v>10399</v>
      </c>
      <c r="W1191" t="s">
        <v>3667</v>
      </c>
      <c r="X1191">
        <v>175.9</v>
      </c>
    </row>
    <row r="1192" spans="1:24" x14ac:dyDescent="0.25">
      <c r="A1192" t="s">
        <v>4910</v>
      </c>
      <c r="B1192" t="s">
        <v>10369</v>
      </c>
      <c r="C1192" t="s">
        <v>10370</v>
      </c>
      <c r="D1192" t="s">
        <v>13</v>
      </c>
      <c r="E1192" t="s">
        <v>4913</v>
      </c>
      <c r="F1192" t="s">
        <v>2151</v>
      </c>
      <c r="G1192">
        <f>IF(K1192="Pick-up","PICKUPS",IF(K1192="Staff drop-off","STAFF_DROPOFF",IF(K1192="Replacements","REPLACEMENT",IF(K1192="Central Stores Dispatch","CENTRAL STORES DISPATCH",IFNA(IFNA(VLOOKUP(F1192,'Raw Platform Nov 4-6 2025'!C:C,1,FALSE),VLOOKUP(F1192,'Raw Platform Nov 4-6 2025'!D:D,1,FALSE)),IFNA(VLOOKUP(F1192,'Glovo Raw Nov 4-6 2025'!B:B,1,FALSE),"Not Matched"))))))</f>
      </c>
      <c r="H1192">
        <f>COUNTIF(F:F,F1192)</f>
      </c>
      <c r="I1192" t="s">
        <v>10400</v>
      </c>
      <c r="J1192" t="s">
        <v>4915</v>
      </c>
      <c r="K1192" t="s">
        <v>4927</v>
      </c>
      <c r="L1192" t="s">
        <v>10401</v>
      </c>
      <c r="M1192" t="s">
        <v>10402</v>
      </c>
      <c r="N1192" t="s">
        <v>9104</v>
      </c>
      <c r="O1192" t="s">
        <v>123</v>
      </c>
      <c r="P1192" t="s">
        <v>4956</v>
      </c>
      <c r="Q1192">
        <v>0</v>
      </c>
      <c r="R1192" t="s">
        <v>4922</v>
      </c>
      <c r="S1192" t="s">
        <v>12</v>
      </c>
      <c r="T1192" t="s">
        <v>4923</v>
      </c>
      <c r="U1192" t="s">
        <v>4924</v>
      </c>
      <c r="V1192" t="s">
        <v>10403</v>
      </c>
      <c r="W1192" t="s">
        <v>3667</v>
      </c>
      <c r="X1192">
        <v>134.5</v>
      </c>
    </row>
    <row r="1193" spans="1:24" x14ac:dyDescent="0.25">
      <c r="A1193" t="s">
        <v>5130</v>
      </c>
      <c r="B1193" t="s">
        <v>10369</v>
      </c>
      <c r="C1193" t="s">
        <v>10370</v>
      </c>
      <c r="D1193" t="s">
        <v>24</v>
      </c>
      <c r="E1193" t="s">
        <v>4913</v>
      </c>
      <c r="F1193" t="s">
        <v>10404</v>
      </c>
      <c r="G1193">
        <f>IF(K1193="Pick-up","PICKUPS",IF(K1193="Staff drop-off","STAFF_DROPOFF",IF(K1193="Replacements","REPLACEMENT",IF(K1193="Central Stores Dispatch","CENTRAL STORES DISPATCH",IFNA(IFNA(VLOOKUP(F1193,'Raw Platform Nov 4-6 2025'!C:C,1,FALSE),VLOOKUP(F1193,'Raw Platform Nov 4-6 2025'!D:D,1,FALSE)),IFNA(VLOOKUP(F1193,'Glovo Raw Nov 4-6 2025'!B:B,1,FALSE),"Not Matched"))))))</f>
      </c>
      <c r="H1193">
        <f>COUNTIF(F:F,F1193)</f>
      </c>
      <c r="I1193" t="s">
        <v>10405</v>
      </c>
      <c r="J1193" t="s">
        <v>5289</v>
      </c>
      <c r="K1193" t="s">
        <v>4927</v>
      </c>
      <c r="L1193" t="s">
        <v>6255</v>
      </c>
      <c r="M1193" t="s">
        <v>5217</v>
      </c>
      <c r="N1193" t="s">
        <v>10406</v>
      </c>
      <c r="O1193" t="s">
        <v>53</v>
      </c>
      <c r="P1193" t="s">
        <v>7536</v>
      </c>
      <c r="Q1193">
        <v>0</v>
      </c>
      <c r="R1193" t="s">
        <v>4922</v>
      </c>
      <c r="S1193" t="s">
        <v>5318</v>
      </c>
      <c r="T1193" t="s">
        <v>4923</v>
      </c>
      <c r="U1193" t="s">
        <v>4924</v>
      </c>
      <c r="V1193" t="s">
        <v>10407</v>
      </c>
      <c r="W1193" t="s">
        <v>3667</v>
      </c>
      <c r="X1193">
        <v>141.4</v>
      </c>
    </row>
    <row r="1194" spans="1:24" x14ac:dyDescent="0.25">
      <c r="A1194" t="s">
        <v>5130</v>
      </c>
      <c r="B1194" t="s">
        <v>10369</v>
      </c>
      <c r="C1194" t="s">
        <v>10370</v>
      </c>
      <c r="D1194" t="s">
        <v>24</v>
      </c>
      <c r="E1194" t="s">
        <v>4913</v>
      </c>
      <c r="F1194" t="s">
        <v>2802</v>
      </c>
      <c r="G1194">
        <f>IF(K1194="Pick-up","PICKUPS",IF(K1194="Staff drop-off","STAFF_DROPOFF",IF(K1194="Replacements","REPLACEMENT",IF(K1194="Central Stores Dispatch","CENTRAL STORES DISPATCH",IFNA(IFNA(VLOOKUP(F1194,'Raw Platform Nov 4-6 2025'!C:C,1,FALSE),VLOOKUP(F1194,'Raw Platform Nov 4-6 2025'!D:D,1,FALSE)),IFNA(VLOOKUP(F1194,'Glovo Raw Nov 4-6 2025'!B:B,1,FALSE),"Not Matched"))))))</f>
      </c>
      <c r="H1194">
        <f>COUNTIF(F:F,F1194)</f>
      </c>
      <c r="I1194" t="s">
        <v>10408</v>
      </c>
      <c r="J1194" t="s">
        <v>4915</v>
      </c>
      <c r="K1194" t="s">
        <v>4916</v>
      </c>
      <c r="L1194" t="s">
        <v>10409</v>
      </c>
      <c r="M1194" t="s">
        <v>10410</v>
      </c>
      <c r="N1194" t="s">
        <v>10411</v>
      </c>
      <c r="O1194" t="s">
        <v>47</v>
      </c>
      <c r="P1194" t="s">
        <v>6305</v>
      </c>
      <c r="Q1194">
        <v>1352</v>
      </c>
      <c r="R1194" t="s">
        <v>4922</v>
      </c>
      <c r="S1194" t="s">
        <v>35</v>
      </c>
      <c r="T1194" t="s">
        <v>4923</v>
      </c>
      <c r="U1194" t="s">
        <v>4924</v>
      </c>
      <c r="V1194" t="s">
        <v>10412</v>
      </c>
      <c r="W1194" t="s">
        <v>3667</v>
      </c>
      <c r="X1194">
        <v>143.7</v>
      </c>
    </row>
    <row r="1195" spans="1:24" x14ac:dyDescent="0.25">
      <c r="A1195" t="s">
        <v>5130</v>
      </c>
      <c r="B1195" t="s">
        <v>10369</v>
      </c>
      <c r="C1195" t="s">
        <v>10370</v>
      </c>
      <c r="D1195" t="s">
        <v>24</v>
      </c>
      <c r="E1195" t="s">
        <v>4913</v>
      </c>
      <c r="F1195" t="s">
        <v>2568</v>
      </c>
      <c r="G1195">
        <f>IF(K1195="Pick-up","PICKUPS",IF(K1195="Staff drop-off","STAFF_DROPOFF",IF(K1195="Replacements","REPLACEMENT",IF(K1195="Central Stores Dispatch","CENTRAL STORES DISPATCH",IFNA(IFNA(VLOOKUP(F1195,'Raw Platform Nov 4-6 2025'!C:C,1,FALSE),VLOOKUP(F1195,'Raw Platform Nov 4-6 2025'!D:D,1,FALSE)),IFNA(VLOOKUP(F1195,'Glovo Raw Nov 4-6 2025'!B:B,1,FALSE),"Not Matched"))))))</f>
      </c>
      <c r="H1195">
        <f>COUNTIF(F:F,F1195)</f>
      </c>
      <c r="I1195" t="s">
        <v>10413</v>
      </c>
      <c r="J1195" t="s">
        <v>63</v>
      </c>
      <c r="K1195" t="s">
        <v>4927</v>
      </c>
      <c r="L1195" t="s">
        <v>10414</v>
      </c>
      <c r="M1195" t="s">
        <v>10415</v>
      </c>
      <c r="N1195" t="s">
        <v>10416</v>
      </c>
      <c r="O1195" t="s">
        <v>26</v>
      </c>
      <c r="P1195" t="s">
        <v>5482</v>
      </c>
      <c r="Q1195">
        <v>0</v>
      </c>
      <c r="R1195" t="s">
        <v>4922</v>
      </c>
      <c r="S1195" t="s">
        <v>35</v>
      </c>
      <c r="T1195" t="s">
        <v>4923</v>
      </c>
      <c r="U1195" t="s">
        <v>4924</v>
      </c>
      <c r="V1195" t="s">
        <v>10417</v>
      </c>
      <c r="W1195" t="s">
        <v>3667</v>
      </c>
      <c r="X1195">
        <v>187.4</v>
      </c>
    </row>
    <row r="1196" spans="1:24" x14ac:dyDescent="0.25">
      <c r="A1196" t="s">
        <v>5130</v>
      </c>
      <c r="B1196" t="s">
        <v>10369</v>
      </c>
      <c r="C1196" t="s">
        <v>10370</v>
      </c>
      <c r="D1196" t="s">
        <v>24</v>
      </c>
      <c r="E1196" t="s">
        <v>5034</v>
      </c>
      <c r="F1196" t="s">
        <v>2568</v>
      </c>
      <c r="G1196">
        <f>IF(K1196="Pick-up","PICKUPS",IF(K1196="Staff drop-off","STAFF_DROPOFF",IF(K1196="Replacements","REPLACEMENT",IF(K1196="Central Stores Dispatch","CENTRAL STORES DISPATCH",IFNA(IFNA(VLOOKUP(F1196,'Raw Platform Nov 4-6 2025'!C:C,1,FALSE),VLOOKUP(F1196,'Raw Platform Nov 4-6 2025'!D:D,1,FALSE)),IFNA(VLOOKUP(F1196,'Glovo Raw Nov 4-6 2025'!B:B,1,FALSE),"Not Matched"))))))</f>
      </c>
      <c r="H1196">
        <f>COUNTIF(F:F,F1196)</f>
      </c>
      <c r="I1196" t="s">
        <v>10413</v>
      </c>
      <c r="J1196" t="s">
        <v>63</v>
      </c>
      <c r="K1196" t="s">
        <v>4927</v>
      </c>
      <c r="L1196" t="s">
        <v>10414</v>
      </c>
      <c r="M1196" t="s">
        <v>10415</v>
      </c>
      <c r="N1196" t="s">
        <v>10416</v>
      </c>
      <c r="O1196" t="s">
        <v>26</v>
      </c>
      <c r="P1196" t="s">
        <v>5482</v>
      </c>
      <c r="Q1196">
        <v>0</v>
      </c>
      <c r="R1196" t="s">
        <v>4922</v>
      </c>
      <c r="S1196" t="s">
        <v>35</v>
      </c>
      <c r="T1196" t="s">
        <v>4923</v>
      </c>
      <c r="U1196" t="s">
        <v>4923</v>
      </c>
      <c r="V1196" t="s">
        <v>10418</v>
      </c>
      <c r="W1196" t="s">
        <v>3667</v>
      </c>
      <c r="X1196">
        <v>0</v>
      </c>
    </row>
    <row r="1197" spans="1:24" x14ac:dyDescent="0.25">
      <c r="A1197" t="s">
        <v>5130</v>
      </c>
      <c r="B1197" t="s">
        <v>10369</v>
      </c>
      <c r="C1197" t="s">
        <v>10370</v>
      </c>
      <c r="D1197" t="s">
        <v>24</v>
      </c>
      <c r="E1197" t="s">
        <v>4913</v>
      </c>
      <c r="F1197" t="s">
        <v>10419</v>
      </c>
      <c r="G1197">
        <f>IF(K1197="Pick-up","PICKUPS",IF(K1197="Staff drop-off","STAFF_DROPOFF",IF(K1197="Replacements","REPLACEMENT",IF(K1197="Central Stores Dispatch","CENTRAL STORES DISPATCH",IFNA(IFNA(VLOOKUP(F1197,'Raw Platform Nov 4-6 2025'!C:C,1,FALSE),VLOOKUP(F1197,'Raw Platform Nov 4-6 2025'!D:D,1,FALSE)),IFNA(VLOOKUP(F1197,'Glovo Raw Nov 4-6 2025'!B:B,1,FALSE),"Not Matched"))))))</f>
      </c>
      <c r="H1197">
        <f>COUNTIF(F:F,F1197)</f>
      </c>
      <c r="I1197" t="s">
        <v>9749</v>
      </c>
      <c r="J1197" t="s">
        <v>5318</v>
      </c>
      <c r="K1197" t="s">
        <v>4927</v>
      </c>
      <c r="L1197" t="s">
        <v>5319</v>
      </c>
      <c r="M1197" t="s">
        <v>5320</v>
      </c>
      <c r="N1197" t="s">
        <v>6458</v>
      </c>
      <c r="O1197" t="s">
        <v>5013</v>
      </c>
      <c r="P1197" t="s">
        <v>6459</v>
      </c>
      <c r="Q1197">
        <v>0</v>
      </c>
      <c r="R1197" t="s">
        <v>4922</v>
      </c>
      <c r="S1197" t="s">
        <v>5293</v>
      </c>
      <c r="T1197" t="s">
        <v>4923</v>
      </c>
      <c r="U1197" t="s">
        <v>4924</v>
      </c>
      <c r="V1197" t="s">
        <v>10420</v>
      </c>
      <c r="W1197" t="s">
        <v>3667</v>
      </c>
      <c r="X1197">
        <v>100</v>
      </c>
    </row>
    <row r="1198" spans="1:24" x14ac:dyDescent="0.25">
      <c r="A1198" t="s">
        <v>5130</v>
      </c>
      <c r="B1198" t="s">
        <v>10369</v>
      </c>
      <c r="C1198" t="s">
        <v>10370</v>
      </c>
      <c r="D1198" t="s">
        <v>24</v>
      </c>
      <c r="E1198" t="s">
        <v>4913</v>
      </c>
      <c r="F1198" t="s">
        <v>10421</v>
      </c>
      <c r="G1198">
        <f>IF(K1198="Pick-up","PICKUPS",IF(K1198="Staff drop-off","STAFF_DROPOFF",IF(K1198="Replacements","REPLACEMENT",IF(K1198="Central Stores Dispatch","CENTRAL STORES DISPATCH",IFNA(IFNA(VLOOKUP(F1198,'Raw Platform Nov 4-6 2025'!C:C,1,FALSE),VLOOKUP(F1198,'Raw Platform Nov 4-6 2025'!D:D,1,FALSE)),IFNA(VLOOKUP(F1198,'Glovo Raw Nov 4-6 2025'!B:B,1,FALSE),"Not Matched"))))))</f>
      </c>
      <c r="H1198">
        <f>COUNTIF(F:F,F1198)</f>
      </c>
      <c r="I1198" t="s">
        <v>10422</v>
      </c>
      <c r="J1198" t="s">
        <v>5318</v>
      </c>
      <c r="K1198" t="s">
        <v>4927</v>
      </c>
      <c r="L1198" t="s">
        <v>5319</v>
      </c>
      <c r="M1198" t="s">
        <v>5320</v>
      </c>
      <c r="N1198" t="s">
        <v>6458</v>
      </c>
      <c r="O1198" t="s">
        <v>5013</v>
      </c>
      <c r="P1198" t="s">
        <v>6459</v>
      </c>
      <c r="Q1198">
        <v>0</v>
      </c>
      <c r="R1198" t="s">
        <v>4922</v>
      </c>
      <c r="S1198" t="s">
        <v>5293</v>
      </c>
      <c r="T1198" t="s">
        <v>4923</v>
      </c>
      <c r="U1198" t="s">
        <v>4924</v>
      </c>
      <c r="V1198" t="s">
        <v>10423</v>
      </c>
      <c r="W1198" t="s">
        <v>3667</v>
      </c>
      <c r="X1198">
        <v>100</v>
      </c>
    </row>
    <row r="1199" spans="1:24" x14ac:dyDescent="0.25">
      <c r="A1199" t="s">
        <v>5130</v>
      </c>
      <c r="B1199" t="s">
        <v>10369</v>
      </c>
      <c r="C1199" t="s">
        <v>10370</v>
      </c>
      <c r="D1199" t="s">
        <v>24</v>
      </c>
      <c r="E1199" t="s">
        <v>4913</v>
      </c>
      <c r="F1199" t="s">
        <v>10424</v>
      </c>
      <c r="G1199">
        <f>IF(K1199="Pick-up","PICKUPS",IF(K1199="Staff drop-off","STAFF_DROPOFF",IF(K1199="Replacements","REPLACEMENT",IF(K1199="Central Stores Dispatch","CENTRAL STORES DISPATCH",IFNA(IFNA(VLOOKUP(F1199,'Raw Platform Nov 4-6 2025'!C:C,1,FALSE),VLOOKUP(F1199,'Raw Platform Nov 4-6 2025'!D:D,1,FALSE)),IFNA(VLOOKUP(F1199,'Glovo Raw Nov 4-6 2025'!B:B,1,FALSE),"Not Matched"))))))</f>
      </c>
      <c r="H1199">
        <f>COUNTIF(F:F,F1199)</f>
      </c>
      <c r="I1199" t="s">
        <v>10425</v>
      </c>
      <c r="J1199" t="s">
        <v>5318</v>
      </c>
      <c r="K1199" t="s">
        <v>4927</v>
      </c>
      <c r="L1199" t="s">
        <v>5319</v>
      </c>
      <c r="M1199" t="s">
        <v>5320</v>
      </c>
      <c r="N1199" t="s">
        <v>6458</v>
      </c>
      <c r="O1199" t="s">
        <v>5013</v>
      </c>
      <c r="P1199" t="s">
        <v>6459</v>
      </c>
      <c r="Q1199">
        <v>0</v>
      </c>
      <c r="R1199" t="s">
        <v>4922</v>
      </c>
      <c r="S1199" t="s">
        <v>5293</v>
      </c>
      <c r="T1199" t="s">
        <v>4923</v>
      </c>
      <c r="U1199" t="s">
        <v>4924</v>
      </c>
      <c r="V1199" t="s">
        <v>10426</v>
      </c>
      <c r="W1199" t="s">
        <v>3667</v>
      </c>
      <c r="X1199">
        <v>100</v>
      </c>
    </row>
    <row r="1200" spans="1:24" x14ac:dyDescent="0.25">
      <c r="A1200" t="s">
        <v>5130</v>
      </c>
      <c r="B1200" t="s">
        <v>10369</v>
      </c>
      <c r="C1200" t="s">
        <v>10370</v>
      </c>
      <c r="D1200" t="s">
        <v>24</v>
      </c>
      <c r="E1200" t="s">
        <v>4913</v>
      </c>
      <c r="F1200" t="s">
        <v>10427</v>
      </c>
      <c r="G1200">
        <f>IF(K1200="Pick-up","PICKUPS",IF(K1200="Staff drop-off","STAFF_DROPOFF",IF(K1200="Replacements","REPLACEMENT",IF(K1200="Central Stores Dispatch","CENTRAL STORES DISPATCH",IFNA(IFNA(VLOOKUP(F1200,'Raw Platform Nov 4-6 2025'!C:C,1,FALSE),VLOOKUP(F1200,'Raw Platform Nov 4-6 2025'!D:D,1,FALSE)),IFNA(VLOOKUP(F1200,'Glovo Raw Nov 4-6 2025'!B:B,1,FALSE),"Not Matched"))))))</f>
      </c>
      <c r="H1200">
        <f>COUNTIF(F:F,F1200)</f>
      </c>
      <c r="I1200" t="s">
        <v>10428</v>
      </c>
      <c r="J1200" t="s">
        <v>5318</v>
      </c>
      <c r="K1200" t="s">
        <v>4927</v>
      </c>
      <c r="L1200" t="s">
        <v>5319</v>
      </c>
      <c r="M1200" t="s">
        <v>5320</v>
      </c>
      <c r="N1200" t="s">
        <v>6458</v>
      </c>
      <c r="O1200" t="s">
        <v>5013</v>
      </c>
      <c r="P1200" t="s">
        <v>6459</v>
      </c>
      <c r="Q1200">
        <v>0</v>
      </c>
      <c r="R1200" t="s">
        <v>4922</v>
      </c>
      <c r="S1200" t="s">
        <v>5293</v>
      </c>
      <c r="T1200" t="s">
        <v>4923</v>
      </c>
      <c r="U1200" t="s">
        <v>4924</v>
      </c>
      <c r="V1200" t="s">
        <v>10429</v>
      </c>
      <c r="W1200" t="s">
        <v>3667</v>
      </c>
      <c r="X1200">
        <v>100</v>
      </c>
    </row>
    <row r="1201" spans="1:24" x14ac:dyDescent="0.25">
      <c r="A1201" t="s">
        <v>5130</v>
      </c>
      <c r="B1201" t="s">
        <v>10369</v>
      </c>
      <c r="C1201" t="s">
        <v>10370</v>
      </c>
      <c r="D1201" t="s">
        <v>24</v>
      </c>
      <c r="E1201" t="s">
        <v>4913</v>
      </c>
      <c r="F1201" t="s">
        <v>10430</v>
      </c>
      <c r="G1201">
        <f>IF(K1201="Pick-up","PICKUPS",IF(K1201="Staff drop-off","STAFF_DROPOFF",IF(K1201="Replacements","REPLACEMENT",IF(K1201="Central Stores Dispatch","CENTRAL STORES DISPATCH",IFNA(IFNA(VLOOKUP(F1201,'Raw Platform Nov 4-6 2025'!C:C,1,FALSE),VLOOKUP(F1201,'Raw Platform Nov 4-6 2025'!D:D,1,FALSE)),IFNA(VLOOKUP(F1201,'Glovo Raw Nov 4-6 2025'!B:B,1,FALSE),"Not Matched"))))))</f>
      </c>
      <c r="H1201">
        <f>COUNTIF(F:F,F1201)</f>
      </c>
      <c r="I1201" t="s">
        <v>10431</v>
      </c>
      <c r="J1201" t="s">
        <v>5318</v>
      </c>
      <c r="K1201" t="s">
        <v>4927</v>
      </c>
      <c r="L1201" t="s">
        <v>5319</v>
      </c>
      <c r="M1201" t="s">
        <v>5320</v>
      </c>
      <c r="N1201" t="s">
        <v>6458</v>
      </c>
      <c r="O1201" t="s">
        <v>5013</v>
      </c>
      <c r="P1201" t="s">
        <v>6459</v>
      </c>
      <c r="Q1201">
        <v>0</v>
      </c>
      <c r="R1201" t="s">
        <v>4922</v>
      </c>
      <c r="S1201" t="s">
        <v>5293</v>
      </c>
      <c r="T1201" t="s">
        <v>4923</v>
      </c>
      <c r="U1201" t="s">
        <v>4924</v>
      </c>
      <c r="V1201" t="s">
        <v>10432</v>
      </c>
      <c r="W1201" t="s">
        <v>3667</v>
      </c>
      <c r="X1201">
        <v>100</v>
      </c>
    </row>
    <row r="1202" spans="1:24" x14ac:dyDescent="0.25">
      <c r="A1202" t="s">
        <v>5130</v>
      </c>
      <c r="B1202" t="s">
        <v>10369</v>
      </c>
      <c r="C1202" t="s">
        <v>10370</v>
      </c>
      <c r="D1202" t="s">
        <v>24</v>
      </c>
      <c r="E1202" t="s">
        <v>4913</v>
      </c>
      <c r="F1202" t="s">
        <v>3143</v>
      </c>
      <c r="G1202">
        <f>IF(K1202="Pick-up","PICKUPS",IF(K1202="Staff drop-off","STAFF_DROPOFF",IF(K1202="Replacements","REPLACEMENT",IF(K1202="Central Stores Dispatch","CENTRAL STORES DISPATCH",IFNA(IFNA(VLOOKUP(F1202,'Raw Platform Nov 4-6 2025'!C:C,1,FALSE),VLOOKUP(F1202,'Raw Platform Nov 4-6 2025'!D:D,1,FALSE)),IFNA(VLOOKUP(F1202,'Glovo Raw Nov 4-6 2025'!B:B,1,FALSE),"Not Matched"))))))</f>
      </c>
      <c r="H1202">
        <f>COUNTIF(F:F,F1202)</f>
      </c>
      <c r="I1202" t="s">
        <v>10433</v>
      </c>
      <c r="J1202" t="s">
        <v>63</v>
      </c>
      <c r="K1202" t="s">
        <v>4927</v>
      </c>
      <c r="L1202" t="s">
        <v>10434</v>
      </c>
      <c r="M1202" t="s">
        <v>10435</v>
      </c>
      <c r="N1202" t="s">
        <v>10436</v>
      </c>
      <c r="O1202" t="s">
        <v>9</v>
      </c>
      <c r="P1202" t="s">
        <v>5816</v>
      </c>
      <c r="Q1202">
        <v>0</v>
      </c>
      <c r="R1202" t="s">
        <v>4922</v>
      </c>
      <c r="S1202" t="s">
        <v>5136</v>
      </c>
      <c r="T1202" t="s">
        <v>4923</v>
      </c>
      <c r="U1202" t="s">
        <v>4924</v>
      </c>
      <c r="V1202" t="s">
        <v>5780</v>
      </c>
      <c r="W1202" t="s">
        <v>3667</v>
      </c>
      <c r="X1202">
        <v>162.1</v>
      </c>
    </row>
    <row r="1203" spans="1:24" x14ac:dyDescent="0.25">
      <c r="A1203" t="s">
        <v>4932</v>
      </c>
      <c r="B1203" t="s">
        <v>10437</v>
      </c>
      <c r="C1203" t="s">
        <v>10438</v>
      </c>
      <c r="D1203" t="s">
        <v>13</v>
      </c>
      <c r="E1203" t="s">
        <v>4913</v>
      </c>
      <c r="F1203" t="s">
        <v>600</v>
      </c>
      <c r="G1203">
        <f>IF(K1203="Pick-up","PICKUPS",IF(K1203="Staff drop-off","STAFF_DROPOFF",IF(K1203="Replacements","REPLACEMENT",IF(K1203="Central Stores Dispatch","CENTRAL STORES DISPATCH",IFNA(IFNA(VLOOKUP(F1203,'Raw Platform Nov 4-6 2025'!C:C,1,FALSE),VLOOKUP(F1203,'Raw Platform Nov 4-6 2025'!D:D,1,FALSE)),IFNA(VLOOKUP(F1203,'Glovo Raw Nov 4-6 2025'!B:B,1,FALSE),"Not Matched"))))))</f>
      </c>
      <c r="H1203">
        <f>COUNTIF(F:F,F1203)</f>
      </c>
      <c r="I1203" t="s">
        <v>10439</v>
      </c>
      <c r="J1203" t="s">
        <v>4915</v>
      </c>
      <c r="K1203" t="s">
        <v>4927</v>
      </c>
      <c r="L1203" t="s">
        <v>10440</v>
      </c>
      <c r="M1203" t="s">
        <v>10441</v>
      </c>
      <c r="N1203" t="s">
        <v>9171</v>
      </c>
      <c r="O1203" t="s">
        <v>26</v>
      </c>
      <c r="P1203" t="s">
        <v>5032</v>
      </c>
      <c r="Q1203">
        <v>0</v>
      </c>
      <c r="R1203" t="s">
        <v>4922</v>
      </c>
      <c r="S1203" t="s">
        <v>29</v>
      </c>
      <c r="T1203" t="s">
        <v>4923</v>
      </c>
      <c r="U1203" t="s">
        <v>4924</v>
      </c>
      <c r="V1203" t="s">
        <v>10442</v>
      </c>
      <c r="W1203" t="s">
        <v>3667</v>
      </c>
      <c r="X1203">
        <v>159.8</v>
      </c>
    </row>
    <row r="1204" spans="1:24" x14ac:dyDescent="0.25">
      <c r="A1204" t="s">
        <v>4910</v>
      </c>
      <c r="B1204" t="s">
        <v>10437</v>
      </c>
      <c r="C1204" t="s">
        <v>10438</v>
      </c>
      <c r="D1204" t="s">
        <v>13</v>
      </c>
      <c r="E1204" t="s">
        <v>4913</v>
      </c>
      <c r="F1204" t="s">
        <v>972</v>
      </c>
      <c r="G1204">
        <f>IF(K1204="Pick-up","PICKUPS",IF(K1204="Staff drop-off","STAFF_DROPOFF",IF(K1204="Replacements","REPLACEMENT",IF(K1204="Central Stores Dispatch","CENTRAL STORES DISPATCH",IFNA(IFNA(VLOOKUP(F1204,'Raw Platform Nov 4-6 2025'!C:C,1,FALSE),VLOOKUP(F1204,'Raw Platform Nov 4-6 2025'!D:D,1,FALSE)),IFNA(VLOOKUP(F1204,'Glovo Raw Nov 4-6 2025'!B:B,1,FALSE),"Not Matched"))))))</f>
      </c>
      <c r="H1204">
        <f>COUNTIF(F:F,F1204)</f>
      </c>
      <c r="I1204" t="s">
        <v>10443</v>
      </c>
      <c r="J1204" t="s">
        <v>4915</v>
      </c>
      <c r="K1204" t="s">
        <v>4927</v>
      </c>
      <c r="L1204" t="s">
        <v>9647</v>
      </c>
      <c r="M1204" t="s">
        <v>9648</v>
      </c>
      <c r="N1204" t="s">
        <v>9649</v>
      </c>
      <c r="O1204" t="s">
        <v>47</v>
      </c>
      <c r="P1204" t="s">
        <v>5001</v>
      </c>
      <c r="Q1204">
        <v>0</v>
      </c>
      <c r="R1204" t="s">
        <v>4922</v>
      </c>
      <c r="S1204" t="s">
        <v>12</v>
      </c>
      <c r="T1204" t="s">
        <v>4923</v>
      </c>
      <c r="U1204" t="s">
        <v>4924</v>
      </c>
      <c r="V1204" t="s">
        <v>10444</v>
      </c>
      <c r="W1204" t="s">
        <v>3667</v>
      </c>
      <c r="X1204">
        <v>120.7</v>
      </c>
    </row>
    <row r="1205" spans="1:24" x14ac:dyDescent="0.25">
      <c r="A1205" t="s">
        <v>5130</v>
      </c>
      <c r="B1205" t="s">
        <v>10437</v>
      </c>
      <c r="C1205" t="s">
        <v>10438</v>
      </c>
      <c r="D1205" t="s">
        <v>24</v>
      </c>
      <c r="E1205" t="s">
        <v>4913</v>
      </c>
      <c r="F1205" t="s">
        <v>33</v>
      </c>
      <c r="G1205">
        <f>IF(K1205="Pick-up","PICKUPS",IF(K1205="Staff drop-off","STAFF_DROPOFF",IF(K1205="Replacements","REPLACEMENT",IF(K1205="Central Stores Dispatch","CENTRAL STORES DISPATCH",IFNA(IFNA(VLOOKUP(F1205,'Raw Platform Nov 4-6 2025'!C:C,1,FALSE),VLOOKUP(F1205,'Raw Platform Nov 4-6 2025'!D:D,1,FALSE)),IFNA(VLOOKUP(F1205,'Glovo Raw Nov 4-6 2025'!B:B,1,FALSE),"Not Matched"))))))</f>
      </c>
      <c r="H1205">
        <f>COUNTIF(F:F,F1205)</f>
      </c>
      <c r="I1205" t="s">
        <v>10445</v>
      </c>
      <c r="J1205" t="s">
        <v>4915</v>
      </c>
      <c r="K1205" t="s">
        <v>4916</v>
      </c>
      <c r="L1205" t="s">
        <v>10446</v>
      </c>
      <c r="M1205" t="s">
        <v>10447</v>
      </c>
      <c r="N1205" t="s">
        <v>10448</v>
      </c>
      <c r="O1205" t="s">
        <v>123</v>
      </c>
      <c r="P1205" t="s">
        <v>6829</v>
      </c>
      <c r="Q1205">
        <v>942</v>
      </c>
      <c r="R1205" t="s">
        <v>4922</v>
      </c>
      <c r="S1205" t="s">
        <v>35</v>
      </c>
      <c r="T1205" t="s">
        <v>4923</v>
      </c>
      <c r="U1205" t="s">
        <v>4924</v>
      </c>
      <c r="V1205" t="s">
        <v>10449</v>
      </c>
      <c r="W1205" t="s">
        <v>3667</v>
      </c>
      <c r="X1205">
        <v>171.3</v>
      </c>
    </row>
    <row r="1206" spans="1:24" x14ac:dyDescent="0.25">
      <c r="A1206" t="s">
        <v>5130</v>
      </c>
      <c r="B1206" t="s">
        <v>10437</v>
      </c>
      <c r="C1206" t="s">
        <v>10438</v>
      </c>
      <c r="D1206" t="s">
        <v>24</v>
      </c>
      <c r="E1206" t="s">
        <v>4913</v>
      </c>
      <c r="F1206" t="s">
        <v>272</v>
      </c>
      <c r="G1206">
        <f>IF(K1206="Pick-up","PICKUPS",IF(K1206="Staff drop-off","STAFF_DROPOFF",IF(K1206="Replacements","REPLACEMENT",IF(K1206="Central Stores Dispatch","CENTRAL STORES DISPATCH",IFNA(IFNA(VLOOKUP(F1206,'Raw Platform Nov 4-6 2025'!C:C,1,FALSE),VLOOKUP(F1206,'Raw Platform Nov 4-6 2025'!D:D,1,FALSE)),IFNA(VLOOKUP(F1206,'Glovo Raw Nov 4-6 2025'!B:B,1,FALSE),"Not Matched"))))))</f>
      </c>
      <c r="H1206">
        <f>COUNTIF(F:F,F1206)</f>
      </c>
      <c r="I1206" t="s">
        <v>10450</v>
      </c>
      <c r="J1206" t="s">
        <v>4915</v>
      </c>
      <c r="K1206" t="s">
        <v>4916</v>
      </c>
      <c r="L1206" t="s">
        <v>10451</v>
      </c>
      <c r="M1206" t="s">
        <v>10452</v>
      </c>
      <c r="N1206" t="s">
        <v>5061</v>
      </c>
      <c r="O1206" t="s">
        <v>26</v>
      </c>
      <c r="P1206" t="s">
        <v>4996</v>
      </c>
      <c r="Q1206">
        <v>1500</v>
      </c>
      <c r="R1206" t="s">
        <v>4922</v>
      </c>
      <c r="S1206" t="s">
        <v>5136</v>
      </c>
      <c r="T1206" t="s">
        <v>4923</v>
      </c>
      <c r="U1206" t="s">
        <v>4924</v>
      </c>
      <c r="V1206" t="s">
        <v>10453</v>
      </c>
      <c r="W1206" t="s">
        <v>3667</v>
      </c>
      <c r="X1206">
        <v>129.9</v>
      </c>
    </row>
    <row r="1207" spans="1:24" x14ac:dyDescent="0.25">
      <c r="A1207" t="s">
        <v>5130</v>
      </c>
      <c r="B1207" t="s">
        <v>10437</v>
      </c>
      <c r="C1207" t="s">
        <v>10438</v>
      </c>
      <c r="D1207" t="s">
        <v>24</v>
      </c>
      <c r="E1207" t="s">
        <v>4913</v>
      </c>
      <c r="F1207" t="s">
        <v>1232</v>
      </c>
      <c r="G1207">
        <f>IF(K1207="Pick-up","PICKUPS",IF(K1207="Staff drop-off","STAFF_DROPOFF",IF(K1207="Replacements","REPLACEMENT",IF(K1207="Central Stores Dispatch","CENTRAL STORES DISPATCH",IFNA(IFNA(VLOOKUP(F1207,'Raw Platform Nov 4-6 2025'!C:C,1,FALSE),VLOOKUP(F1207,'Raw Platform Nov 4-6 2025'!D:D,1,FALSE)),IFNA(VLOOKUP(F1207,'Glovo Raw Nov 4-6 2025'!B:B,1,FALSE),"Not Matched"))))))</f>
      </c>
      <c r="H1207">
        <f>COUNTIF(F:F,F1207)</f>
      </c>
      <c r="I1207" t="s">
        <v>10454</v>
      </c>
      <c r="J1207" t="s">
        <v>63</v>
      </c>
      <c r="K1207" t="s">
        <v>4927</v>
      </c>
      <c r="L1207" t="s">
        <v>10455</v>
      </c>
      <c r="M1207" t="s">
        <v>10456</v>
      </c>
      <c r="N1207" t="s">
        <v>10457</v>
      </c>
      <c r="O1207" t="s">
        <v>47</v>
      </c>
      <c r="P1207" t="s">
        <v>5128</v>
      </c>
      <c r="Q1207">
        <v>0</v>
      </c>
      <c r="R1207" t="s">
        <v>4922</v>
      </c>
      <c r="S1207" t="s">
        <v>5136</v>
      </c>
      <c r="T1207" t="s">
        <v>4923</v>
      </c>
      <c r="U1207" t="s">
        <v>4924</v>
      </c>
      <c r="V1207" t="s">
        <v>10458</v>
      </c>
      <c r="W1207" t="s">
        <v>3667</v>
      </c>
      <c r="X1207">
        <v>116.1</v>
      </c>
    </row>
    <row r="1208" spans="1:24" x14ac:dyDescent="0.25">
      <c r="A1208" t="s">
        <v>5130</v>
      </c>
      <c r="B1208" t="s">
        <v>10437</v>
      </c>
      <c r="C1208" t="s">
        <v>10438</v>
      </c>
      <c r="D1208" t="s">
        <v>24</v>
      </c>
      <c r="E1208" t="s">
        <v>4913</v>
      </c>
      <c r="F1208" t="s">
        <v>1018</v>
      </c>
      <c r="G1208">
        <f>IF(K1208="Pick-up","PICKUPS",IF(K1208="Staff drop-off","STAFF_DROPOFF",IF(K1208="Replacements","REPLACEMENT",IF(K1208="Central Stores Dispatch","CENTRAL STORES DISPATCH",IFNA(IFNA(VLOOKUP(F1208,'Raw Platform Nov 4-6 2025'!C:C,1,FALSE),VLOOKUP(F1208,'Raw Platform Nov 4-6 2025'!D:D,1,FALSE)),IFNA(VLOOKUP(F1208,'Glovo Raw Nov 4-6 2025'!B:B,1,FALSE),"Not Matched"))))))</f>
      </c>
      <c r="H1208">
        <f>COUNTIF(F:F,F1208)</f>
      </c>
      <c r="I1208" t="s">
        <v>10459</v>
      </c>
      <c r="J1208" t="s">
        <v>4915</v>
      </c>
      <c r="K1208" t="s">
        <v>4927</v>
      </c>
      <c r="L1208" t="s">
        <v>10460</v>
      </c>
      <c r="M1208" t="s">
        <v>5217</v>
      </c>
      <c r="N1208" t="s">
        <v>10461</v>
      </c>
      <c r="O1208" t="s">
        <v>123</v>
      </c>
      <c r="P1208" t="s">
        <v>4949</v>
      </c>
      <c r="Q1208">
        <v>0</v>
      </c>
      <c r="R1208" t="s">
        <v>4922</v>
      </c>
      <c r="S1208" t="s">
        <v>35</v>
      </c>
      <c r="T1208" t="s">
        <v>4923</v>
      </c>
      <c r="U1208" t="s">
        <v>4924</v>
      </c>
      <c r="V1208" t="s">
        <v>10462</v>
      </c>
      <c r="W1208" t="s">
        <v>3667</v>
      </c>
      <c r="X1208">
        <v>157.5</v>
      </c>
    </row>
    <row r="1209" spans="1:24" x14ac:dyDescent="0.25">
      <c r="A1209" t="s">
        <v>4910</v>
      </c>
      <c r="B1209" t="s">
        <v>10437</v>
      </c>
      <c r="C1209" t="s">
        <v>10438</v>
      </c>
      <c r="D1209" t="s">
        <v>13</v>
      </c>
      <c r="E1209" t="s">
        <v>4913</v>
      </c>
      <c r="F1209" t="s">
        <v>934</v>
      </c>
      <c r="G1209">
        <f>IF(K1209="Pick-up","PICKUPS",IF(K1209="Staff drop-off","STAFF_DROPOFF",IF(K1209="Replacements","REPLACEMENT",IF(K1209="Central Stores Dispatch","CENTRAL STORES DISPATCH",IFNA(IFNA(VLOOKUP(F1209,'Raw Platform Nov 4-6 2025'!C:C,1,FALSE),VLOOKUP(F1209,'Raw Platform Nov 4-6 2025'!D:D,1,FALSE)),IFNA(VLOOKUP(F1209,'Glovo Raw Nov 4-6 2025'!B:B,1,FALSE),"Not Matched"))))))</f>
      </c>
      <c r="H1209">
        <f>COUNTIF(F:F,F1209)</f>
      </c>
      <c r="I1209" t="s">
        <v>10463</v>
      </c>
      <c r="J1209" t="s">
        <v>63</v>
      </c>
      <c r="K1209" t="s">
        <v>4927</v>
      </c>
      <c r="L1209" t="s">
        <v>5569</v>
      </c>
      <c r="M1209" t="s">
        <v>10464</v>
      </c>
      <c r="N1209" t="s">
        <v>5072</v>
      </c>
      <c r="O1209" t="s">
        <v>4949</v>
      </c>
      <c r="P1209" t="s">
        <v>4920</v>
      </c>
      <c r="Q1209">
        <v>0</v>
      </c>
      <c r="R1209" t="s">
        <v>4922</v>
      </c>
      <c r="S1209" t="s">
        <v>12</v>
      </c>
      <c r="T1209" t="s">
        <v>4923</v>
      </c>
      <c r="U1209" t="s">
        <v>4924</v>
      </c>
      <c r="V1209" t="s">
        <v>10465</v>
      </c>
      <c r="W1209" t="s">
        <v>3667</v>
      </c>
      <c r="X1209">
        <v>100</v>
      </c>
    </row>
    <row r="1210" spans="1:24" x14ac:dyDescent="0.25">
      <c r="A1210" t="s">
        <v>4910</v>
      </c>
      <c r="B1210" t="s">
        <v>10437</v>
      </c>
      <c r="C1210" t="s">
        <v>10438</v>
      </c>
      <c r="D1210" t="s">
        <v>13</v>
      </c>
      <c r="E1210" t="s">
        <v>4913</v>
      </c>
      <c r="F1210" t="s">
        <v>899</v>
      </c>
      <c r="G1210">
        <f>IF(K1210="Pick-up","PICKUPS",IF(K1210="Staff drop-off","STAFF_DROPOFF",IF(K1210="Replacements","REPLACEMENT",IF(K1210="Central Stores Dispatch","CENTRAL STORES DISPATCH",IFNA(IFNA(VLOOKUP(F1210,'Raw Platform Nov 4-6 2025'!C:C,1,FALSE),VLOOKUP(F1210,'Raw Platform Nov 4-6 2025'!D:D,1,FALSE)),IFNA(VLOOKUP(F1210,'Glovo Raw Nov 4-6 2025'!B:B,1,FALSE),"Not Matched"))))))</f>
      </c>
      <c r="H1210">
        <f>COUNTIF(F:F,F1210)</f>
      </c>
      <c r="I1210" t="s">
        <v>10466</v>
      </c>
      <c r="J1210" t="s">
        <v>63</v>
      </c>
      <c r="K1210" t="s">
        <v>4916</v>
      </c>
      <c r="L1210" t="s">
        <v>10467</v>
      </c>
      <c r="M1210" t="s">
        <v>10468</v>
      </c>
      <c r="N1210" t="s">
        <v>10469</v>
      </c>
      <c r="O1210" t="s">
        <v>26</v>
      </c>
      <c r="P1210" t="s">
        <v>4949</v>
      </c>
      <c r="Q1210">
        <v>920</v>
      </c>
      <c r="R1210" t="s">
        <v>4922</v>
      </c>
      <c r="S1210" t="s">
        <v>12</v>
      </c>
      <c r="T1210" t="s">
        <v>4923</v>
      </c>
      <c r="U1210" t="s">
        <v>4924</v>
      </c>
      <c r="V1210" t="s">
        <v>10470</v>
      </c>
      <c r="W1210" t="s">
        <v>3667</v>
      </c>
      <c r="X1210">
        <v>157.5</v>
      </c>
    </row>
    <row r="1211" spans="1:24" x14ac:dyDescent="0.25">
      <c r="A1211" t="s">
        <v>4910</v>
      </c>
      <c r="B1211" t="s">
        <v>10437</v>
      </c>
      <c r="C1211" t="s">
        <v>10438</v>
      </c>
      <c r="D1211" t="s">
        <v>13</v>
      </c>
      <c r="E1211" t="s">
        <v>4913</v>
      </c>
      <c r="F1211" t="s">
        <v>1400</v>
      </c>
      <c r="G1211">
        <f>IF(K1211="Pick-up","PICKUPS",IF(K1211="Staff drop-off","STAFF_DROPOFF",IF(K1211="Replacements","REPLACEMENT",IF(K1211="Central Stores Dispatch","CENTRAL STORES DISPATCH",IFNA(IFNA(VLOOKUP(F1211,'Raw Platform Nov 4-6 2025'!C:C,1,FALSE),VLOOKUP(F1211,'Raw Platform Nov 4-6 2025'!D:D,1,FALSE)),IFNA(VLOOKUP(F1211,'Glovo Raw Nov 4-6 2025'!B:B,1,FALSE),"Not Matched"))))))</f>
      </c>
      <c r="H1211">
        <f>COUNTIF(F:F,F1211)</f>
      </c>
      <c r="I1211" t="s">
        <v>10471</v>
      </c>
      <c r="J1211" t="s">
        <v>4915</v>
      </c>
      <c r="K1211" t="s">
        <v>4927</v>
      </c>
      <c r="L1211" t="s">
        <v>10472</v>
      </c>
      <c r="M1211" t="s">
        <v>10473</v>
      </c>
      <c r="N1211" t="s">
        <v>10314</v>
      </c>
      <c r="O1211" t="s">
        <v>47</v>
      </c>
      <c r="P1211" t="s">
        <v>5001</v>
      </c>
      <c r="Q1211">
        <v>0</v>
      </c>
      <c r="R1211" t="s">
        <v>4922</v>
      </c>
      <c r="S1211" t="s">
        <v>12</v>
      </c>
      <c r="T1211" t="s">
        <v>4923</v>
      </c>
      <c r="U1211" t="s">
        <v>4924</v>
      </c>
      <c r="V1211" t="s">
        <v>10474</v>
      </c>
      <c r="W1211" t="s">
        <v>3667</v>
      </c>
      <c r="X1211">
        <v>120.7</v>
      </c>
    </row>
    <row r="1212" spans="1:24" x14ac:dyDescent="0.25">
      <c r="A1212" t="s">
        <v>5231</v>
      </c>
      <c r="B1212" t="s">
        <v>10437</v>
      </c>
      <c r="C1212" t="s">
        <v>10438</v>
      </c>
      <c r="D1212" t="s">
        <v>191</v>
      </c>
      <c r="E1212" t="s">
        <v>4913</v>
      </c>
      <c r="F1212" t="s">
        <v>824</v>
      </c>
      <c r="G1212">
        <f>IF(K1212="Pick-up","PICKUPS",IF(K1212="Staff drop-off","STAFF_DROPOFF",IF(K1212="Replacements","REPLACEMENT",IF(K1212="Central Stores Dispatch","CENTRAL STORES DISPATCH",IFNA(IFNA(VLOOKUP(F1212,'Raw Platform Nov 4-6 2025'!C:C,1,FALSE),VLOOKUP(F1212,'Raw Platform Nov 4-6 2025'!D:D,1,FALSE)),IFNA(VLOOKUP(F1212,'Glovo Raw Nov 4-6 2025'!B:B,1,FALSE),"Not Matched"))))))</f>
      </c>
      <c r="H1212">
        <f>COUNTIF(F:F,F1212)</f>
      </c>
      <c r="I1212" t="s">
        <v>10475</v>
      </c>
      <c r="J1212" t="s">
        <v>4915</v>
      </c>
      <c r="K1212" t="s">
        <v>4927</v>
      </c>
      <c r="L1212" t="s">
        <v>10476</v>
      </c>
      <c r="M1212" t="s">
        <v>10477</v>
      </c>
      <c r="N1212" t="s">
        <v>6801</v>
      </c>
      <c r="O1212" t="s">
        <v>42</v>
      </c>
      <c r="P1212" t="s">
        <v>7226</v>
      </c>
      <c r="Q1212">
        <v>0</v>
      </c>
      <c r="R1212" t="s">
        <v>4922</v>
      </c>
      <c r="S1212" t="s">
        <v>5699</v>
      </c>
      <c r="T1212" t="s">
        <v>4923</v>
      </c>
      <c r="U1212" t="s">
        <v>4924</v>
      </c>
      <c r="V1212" t="s">
        <v>6301</v>
      </c>
      <c r="W1212" t="s">
        <v>3667</v>
      </c>
      <c r="X1212">
        <v>325.4</v>
      </c>
    </row>
    <row r="1213" spans="1:24" x14ac:dyDescent="0.25">
      <c r="A1213" t="s">
        <v>4910</v>
      </c>
      <c r="B1213" t="s">
        <v>10437</v>
      </c>
      <c r="C1213" t="s">
        <v>10438</v>
      </c>
      <c r="D1213" t="s">
        <v>13</v>
      </c>
      <c r="E1213" t="s">
        <v>4913</v>
      </c>
      <c r="F1213" t="s">
        <v>1434</v>
      </c>
      <c r="G1213">
        <f>IF(K1213="Pick-up","PICKUPS",IF(K1213="Staff drop-off","STAFF_DROPOFF",IF(K1213="Replacements","REPLACEMENT",IF(K1213="Central Stores Dispatch","CENTRAL STORES DISPATCH",IFNA(IFNA(VLOOKUP(F1213,'Raw Platform Nov 4-6 2025'!C:C,1,FALSE),VLOOKUP(F1213,'Raw Platform Nov 4-6 2025'!D:D,1,FALSE)),IFNA(VLOOKUP(F1213,'Glovo Raw Nov 4-6 2025'!B:B,1,FALSE),"Not Matched"))))))</f>
      </c>
      <c r="H1213">
        <f>COUNTIF(F:F,F1213)</f>
      </c>
      <c r="I1213" t="s">
        <v>10478</v>
      </c>
      <c r="J1213" t="s">
        <v>4915</v>
      </c>
      <c r="K1213" t="s">
        <v>4916</v>
      </c>
      <c r="L1213" t="s">
        <v>10479</v>
      </c>
      <c r="M1213" t="s">
        <v>4918</v>
      </c>
      <c r="N1213" t="s">
        <v>10480</v>
      </c>
      <c r="O1213" t="s">
        <v>4962</v>
      </c>
      <c r="P1213" t="s">
        <v>5541</v>
      </c>
      <c r="Q1213">
        <v>1580</v>
      </c>
      <c r="R1213" t="s">
        <v>4922</v>
      </c>
      <c r="S1213" t="s">
        <v>12</v>
      </c>
      <c r="T1213" t="s">
        <v>4923</v>
      </c>
      <c r="U1213" t="s">
        <v>4924</v>
      </c>
      <c r="V1213" t="s">
        <v>10481</v>
      </c>
      <c r="W1213" t="s">
        <v>3667</v>
      </c>
      <c r="X1213">
        <v>100</v>
      </c>
    </row>
    <row r="1214" spans="1:24" x14ac:dyDescent="0.25">
      <c r="A1214" t="s">
        <v>5130</v>
      </c>
      <c r="B1214" t="s">
        <v>10437</v>
      </c>
      <c r="C1214" t="s">
        <v>10438</v>
      </c>
      <c r="D1214" t="s">
        <v>24</v>
      </c>
      <c r="E1214" t="s">
        <v>4913</v>
      </c>
      <c r="F1214" t="s">
        <v>1716</v>
      </c>
      <c r="G1214">
        <f>IF(K1214="Pick-up","PICKUPS",IF(K1214="Staff drop-off","STAFF_DROPOFF",IF(K1214="Replacements","REPLACEMENT",IF(K1214="Central Stores Dispatch","CENTRAL STORES DISPATCH",IFNA(IFNA(VLOOKUP(F1214,'Raw Platform Nov 4-6 2025'!C:C,1,FALSE),VLOOKUP(F1214,'Raw Platform Nov 4-6 2025'!D:D,1,FALSE)),IFNA(VLOOKUP(F1214,'Glovo Raw Nov 4-6 2025'!B:B,1,FALSE),"Not Matched"))))))</f>
      </c>
      <c r="H1214">
        <f>COUNTIF(F:F,F1214)</f>
      </c>
      <c r="I1214" t="s">
        <v>10482</v>
      </c>
      <c r="J1214" t="s">
        <v>4915</v>
      </c>
      <c r="K1214" t="s">
        <v>4916</v>
      </c>
      <c r="L1214" t="s">
        <v>10483</v>
      </c>
      <c r="M1214" t="s">
        <v>10484</v>
      </c>
      <c r="N1214" t="s">
        <v>10485</v>
      </c>
      <c r="O1214" t="s">
        <v>47</v>
      </c>
      <c r="P1214" t="s">
        <v>5953</v>
      </c>
      <c r="Q1214">
        <v>3599</v>
      </c>
      <c r="R1214" t="s">
        <v>4922</v>
      </c>
      <c r="S1214" t="s">
        <v>5136</v>
      </c>
      <c r="T1214" t="s">
        <v>4923</v>
      </c>
      <c r="U1214" t="s">
        <v>4924</v>
      </c>
      <c r="V1214" t="s">
        <v>10486</v>
      </c>
      <c r="W1214" t="s">
        <v>3667</v>
      </c>
      <c r="X1214">
        <v>118.4</v>
      </c>
    </row>
    <row r="1215" spans="1:24" x14ac:dyDescent="0.25">
      <c r="A1215" t="s">
        <v>5130</v>
      </c>
      <c r="B1215" t="s">
        <v>10437</v>
      </c>
      <c r="C1215" t="s">
        <v>10438</v>
      </c>
      <c r="D1215" t="s">
        <v>24</v>
      </c>
      <c r="E1215" t="s">
        <v>4913</v>
      </c>
      <c r="F1215" t="s">
        <v>2313</v>
      </c>
      <c r="G1215">
        <f>IF(K1215="Pick-up","PICKUPS",IF(K1215="Staff drop-off","STAFF_DROPOFF",IF(K1215="Replacements","REPLACEMENT",IF(K1215="Central Stores Dispatch","CENTRAL STORES DISPATCH",IFNA(IFNA(VLOOKUP(F1215,'Raw Platform Nov 4-6 2025'!C:C,1,FALSE),VLOOKUP(F1215,'Raw Platform Nov 4-6 2025'!D:D,1,FALSE)),IFNA(VLOOKUP(F1215,'Glovo Raw Nov 4-6 2025'!B:B,1,FALSE),"Not Matched"))))))</f>
      </c>
      <c r="H1215">
        <f>COUNTIF(F:F,F1215)</f>
      </c>
      <c r="I1215" t="s">
        <v>10487</v>
      </c>
      <c r="J1215" t="s">
        <v>4915</v>
      </c>
      <c r="K1215" t="s">
        <v>4916</v>
      </c>
      <c r="L1215" t="s">
        <v>10488</v>
      </c>
      <c r="M1215" t="s">
        <v>6194</v>
      </c>
      <c r="N1215" t="s">
        <v>9113</v>
      </c>
      <c r="O1215" t="s">
        <v>4990</v>
      </c>
      <c r="P1215" t="s">
        <v>5613</v>
      </c>
      <c r="Q1215">
        <v>1403</v>
      </c>
      <c r="R1215" t="s">
        <v>4922</v>
      </c>
      <c r="S1215" t="s">
        <v>45</v>
      </c>
      <c r="T1215" t="s">
        <v>4923</v>
      </c>
      <c r="U1215" t="s">
        <v>4924</v>
      </c>
      <c r="V1215" t="s">
        <v>10489</v>
      </c>
      <c r="W1215" t="s">
        <v>3667</v>
      </c>
      <c r="X1215">
        <v>100</v>
      </c>
    </row>
    <row r="1216" spans="1:24" x14ac:dyDescent="0.25">
      <c r="A1216" t="s">
        <v>5130</v>
      </c>
      <c r="B1216" t="s">
        <v>10437</v>
      </c>
      <c r="C1216" t="s">
        <v>10438</v>
      </c>
      <c r="D1216" t="s">
        <v>24</v>
      </c>
      <c r="E1216" t="s">
        <v>4913</v>
      </c>
      <c r="F1216" t="s">
        <v>1912</v>
      </c>
      <c r="G1216">
        <f>IF(K1216="Pick-up","PICKUPS",IF(K1216="Staff drop-off","STAFF_DROPOFF",IF(K1216="Replacements","REPLACEMENT",IF(K1216="Central Stores Dispatch","CENTRAL STORES DISPATCH",IFNA(IFNA(VLOOKUP(F1216,'Raw Platform Nov 4-6 2025'!C:C,1,FALSE),VLOOKUP(F1216,'Raw Platform Nov 4-6 2025'!D:D,1,FALSE)),IFNA(VLOOKUP(F1216,'Glovo Raw Nov 4-6 2025'!B:B,1,FALSE),"Not Matched"))))))</f>
      </c>
      <c r="H1216">
        <f>COUNTIF(F:F,F1216)</f>
      </c>
      <c r="I1216" t="s">
        <v>10490</v>
      </c>
      <c r="J1216" t="s">
        <v>4915</v>
      </c>
      <c r="K1216" t="s">
        <v>4927</v>
      </c>
      <c r="L1216" t="s">
        <v>10491</v>
      </c>
      <c r="M1216" t="s">
        <v>10492</v>
      </c>
      <c r="N1216" t="s">
        <v>10493</v>
      </c>
      <c r="O1216" t="s">
        <v>6318</v>
      </c>
      <c r="P1216" t="s">
        <v>10494</v>
      </c>
      <c r="Q1216">
        <v>0</v>
      </c>
      <c r="R1216" t="s">
        <v>4922</v>
      </c>
      <c r="S1216" t="s">
        <v>35</v>
      </c>
      <c r="T1216" t="s">
        <v>4923</v>
      </c>
      <c r="U1216" t="s">
        <v>4924</v>
      </c>
      <c r="V1216" t="s">
        <v>10495</v>
      </c>
      <c r="W1216" t="s">
        <v>3667</v>
      </c>
      <c r="X1216">
        <v>537</v>
      </c>
    </row>
    <row r="1217" spans="1:24" x14ac:dyDescent="0.25">
      <c r="A1217" t="s">
        <v>5130</v>
      </c>
      <c r="B1217" t="s">
        <v>10437</v>
      </c>
      <c r="C1217" t="s">
        <v>10438</v>
      </c>
      <c r="D1217" t="s">
        <v>24</v>
      </c>
      <c r="E1217" t="s">
        <v>4913</v>
      </c>
      <c r="F1217" t="s">
        <v>1998</v>
      </c>
      <c r="G1217">
        <f>IF(K1217="Pick-up","PICKUPS",IF(K1217="Staff drop-off","STAFF_DROPOFF",IF(K1217="Replacements","REPLACEMENT",IF(K1217="Central Stores Dispatch","CENTRAL STORES DISPATCH",IFNA(IFNA(VLOOKUP(F1217,'Raw Platform Nov 4-6 2025'!C:C,1,FALSE),VLOOKUP(F1217,'Raw Platform Nov 4-6 2025'!D:D,1,FALSE)),IFNA(VLOOKUP(F1217,'Glovo Raw Nov 4-6 2025'!B:B,1,FALSE),"Not Matched"))))))</f>
      </c>
      <c r="H1217">
        <f>COUNTIF(F:F,F1217)</f>
      </c>
      <c r="I1217" t="s">
        <v>10496</v>
      </c>
      <c r="J1217" t="s">
        <v>4915</v>
      </c>
      <c r="K1217" t="s">
        <v>4927</v>
      </c>
      <c r="L1217" t="s">
        <v>10497</v>
      </c>
      <c r="M1217" t="s">
        <v>10498</v>
      </c>
      <c r="N1217" t="s">
        <v>10499</v>
      </c>
      <c r="O1217" t="s">
        <v>37</v>
      </c>
      <c r="P1217" t="s">
        <v>5499</v>
      </c>
      <c r="Q1217">
        <v>0</v>
      </c>
      <c r="R1217" t="s">
        <v>4922</v>
      </c>
      <c r="S1217" t="s">
        <v>35</v>
      </c>
      <c r="T1217" t="s">
        <v>4923</v>
      </c>
      <c r="U1217" t="s">
        <v>4924</v>
      </c>
      <c r="V1217" t="s">
        <v>10500</v>
      </c>
      <c r="W1217" t="s">
        <v>3667</v>
      </c>
      <c r="X1217">
        <v>267.9</v>
      </c>
    </row>
    <row r="1218" spans="1:24" x14ac:dyDescent="0.25">
      <c r="A1218" t="s">
        <v>5130</v>
      </c>
      <c r="B1218" t="s">
        <v>10437</v>
      </c>
      <c r="C1218" t="s">
        <v>10438</v>
      </c>
      <c r="D1218" t="s">
        <v>24</v>
      </c>
      <c r="E1218" t="s">
        <v>4913</v>
      </c>
      <c r="F1218" t="s">
        <v>1727</v>
      </c>
      <c r="G1218">
        <f>IF(K1218="Pick-up","PICKUPS",IF(K1218="Staff drop-off","STAFF_DROPOFF",IF(K1218="Replacements","REPLACEMENT",IF(K1218="Central Stores Dispatch","CENTRAL STORES DISPATCH",IFNA(IFNA(VLOOKUP(F1218,'Raw Platform Nov 4-6 2025'!C:C,1,FALSE),VLOOKUP(F1218,'Raw Platform Nov 4-6 2025'!D:D,1,FALSE)),IFNA(VLOOKUP(F1218,'Glovo Raw Nov 4-6 2025'!B:B,1,FALSE),"Not Matched"))))))</f>
      </c>
      <c r="H1218">
        <f>COUNTIF(F:F,F1218)</f>
      </c>
      <c r="I1218" t="s">
        <v>10501</v>
      </c>
      <c r="J1218" t="s">
        <v>4915</v>
      </c>
      <c r="K1218" t="s">
        <v>4916</v>
      </c>
      <c r="L1218" t="s">
        <v>10502</v>
      </c>
      <c r="M1218" t="s">
        <v>10503</v>
      </c>
      <c r="N1218" t="s">
        <v>5012</v>
      </c>
      <c r="O1218" t="s">
        <v>4920</v>
      </c>
      <c r="P1218" t="s">
        <v>5056</v>
      </c>
      <c r="Q1218">
        <v>1282</v>
      </c>
      <c r="R1218" t="s">
        <v>4922</v>
      </c>
      <c r="S1218" t="s">
        <v>172</v>
      </c>
      <c r="T1218" t="s">
        <v>4923</v>
      </c>
      <c r="U1218" t="s">
        <v>4924</v>
      </c>
      <c r="V1218" t="s">
        <v>10504</v>
      </c>
      <c r="W1218" t="s">
        <v>3667</v>
      </c>
      <c r="X1218">
        <v>100</v>
      </c>
    </row>
    <row r="1219" spans="1:24" x14ac:dyDescent="0.25">
      <c r="A1219" t="s">
        <v>5130</v>
      </c>
      <c r="B1219" t="s">
        <v>10437</v>
      </c>
      <c r="C1219" t="s">
        <v>10438</v>
      </c>
      <c r="D1219" t="s">
        <v>24</v>
      </c>
      <c r="E1219" t="s">
        <v>4913</v>
      </c>
      <c r="F1219" t="s">
        <v>1989</v>
      </c>
      <c r="G1219">
        <f>IF(K1219="Pick-up","PICKUPS",IF(K1219="Staff drop-off","STAFF_DROPOFF",IF(K1219="Replacements","REPLACEMENT",IF(K1219="Central Stores Dispatch","CENTRAL STORES DISPATCH",IFNA(IFNA(VLOOKUP(F1219,'Raw Platform Nov 4-6 2025'!C:C,1,FALSE),VLOOKUP(F1219,'Raw Platform Nov 4-6 2025'!D:D,1,FALSE)),IFNA(VLOOKUP(F1219,'Glovo Raw Nov 4-6 2025'!B:B,1,FALSE),"Not Matched"))))))</f>
      </c>
      <c r="H1219">
        <f>COUNTIF(F:F,F1219)</f>
      </c>
      <c r="I1219" t="s">
        <v>10505</v>
      </c>
      <c r="J1219" t="s">
        <v>4915</v>
      </c>
      <c r="K1219" t="s">
        <v>4927</v>
      </c>
      <c r="L1219" t="s">
        <v>10506</v>
      </c>
      <c r="M1219" t="s">
        <v>10507</v>
      </c>
      <c r="N1219" t="s">
        <v>7354</v>
      </c>
      <c r="O1219" t="s">
        <v>4990</v>
      </c>
      <c r="P1219" t="s">
        <v>6558</v>
      </c>
      <c r="Q1219">
        <v>0</v>
      </c>
      <c r="R1219" t="s">
        <v>4922</v>
      </c>
      <c r="S1219" t="s">
        <v>45</v>
      </c>
      <c r="T1219" t="s">
        <v>4923</v>
      </c>
      <c r="U1219" t="s">
        <v>4924</v>
      </c>
      <c r="V1219" t="s">
        <v>10508</v>
      </c>
      <c r="W1219" t="s">
        <v>3667</v>
      </c>
      <c r="X1219">
        <v>100</v>
      </c>
    </row>
    <row r="1220" spans="1:24" x14ac:dyDescent="0.25">
      <c r="A1220" t="s">
        <v>5130</v>
      </c>
      <c r="B1220" t="s">
        <v>10437</v>
      </c>
      <c r="C1220" t="s">
        <v>10438</v>
      </c>
      <c r="D1220" t="s">
        <v>24</v>
      </c>
      <c r="E1220" t="s">
        <v>4913</v>
      </c>
      <c r="F1220" t="s">
        <v>3510</v>
      </c>
      <c r="G1220">
        <f>IF(K1220="Pick-up","PICKUPS",IF(K1220="Staff drop-off","STAFF_DROPOFF",IF(K1220="Replacements","REPLACEMENT",IF(K1220="Central Stores Dispatch","CENTRAL STORES DISPATCH",IFNA(IFNA(VLOOKUP(F1220,'Raw Platform Nov 4-6 2025'!C:C,1,FALSE),VLOOKUP(F1220,'Raw Platform Nov 4-6 2025'!D:D,1,FALSE)),IFNA(VLOOKUP(F1220,'Glovo Raw Nov 4-6 2025'!B:B,1,FALSE),"Not Matched"))))))</f>
      </c>
      <c r="H1220">
        <f>COUNTIF(F:F,F1220)</f>
      </c>
      <c r="I1220" t="s">
        <v>10509</v>
      </c>
      <c r="J1220" t="s">
        <v>4915</v>
      </c>
      <c r="K1220" t="s">
        <v>4927</v>
      </c>
      <c r="L1220" t="s">
        <v>10510</v>
      </c>
      <c r="M1220" t="s">
        <v>5217</v>
      </c>
      <c r="N1220" t="s">
        <v>10511</v>
      </c>
      <c r="O1220" t="s">
        <v>123</v>
      </c>
      <c r="P1220" t="s">
        <v>5387</v>
      </c>
      <c r="Q1220">
        <v>0</v>
      </c>
      <c r="R1220" t="s">
        <v>4922</v>
      </c>
      <c r="S1220" t="s">
        <v>35</v>
      </c>
      <c r="T1220" t="s">
        <v>4923</v>
      </c>
      <c r="U1220" t="s">
        <v>4924</v>
      </c>
      <c r="V1220" t="s">
        <v>10512</v>
      </c>
      <c r="W1220" t="s">
        <v>3667</v>
      </c>
      <c r="X1220">
        <v>152.9</v>
      </c>
    </row>
    <row r="1221" spans="1:24" x14ac:dyDescent="0.25">
      <c r="A1221" t="s">
        <v>5130</v>
      </c>
      <c r="B1221" t="s">
        <v>10437</v>
      </c>
      <c r="C1221" t="s">
        <v>10438</v>
      </c>
      <c r="D1221" t="s">
        <v>24</v>
      </c>
      <c r="E1221" t="s">
        <v>4913</v>
      </c>
      <c r="F1221" t="s">
        <v>2935</v>
      </c>
      <c r="G1221">
        <f>IF(K1221="Pick-up","PICKUPS",IF(K1221="Staff drop-off","STAFF_DROPOFF",IF(K1221="Replacements","REPLACEMENT",IF(K1221="Central Stores Dispatch","CENTRAL STORES DISPATCH",IFNA(IFNA(VLOOKUP(F1221,'Raw Platform Nov 4-6 2025'!C:C,1,FALSE),VLOOKUP(F1221,'Raw Platform Nov 4-6 2025'!D:D,1,FALSE)),IFNA(VLOOKUP(F1221,'Glovo Raw Nov 4-6 2025'!B:B,1,FALSE),"Not Matched"))))))</f>
      </c>
      <c r="H1221">
        <f>COUNTIF(F:F,F1221)</f>
      </c>
      <c r="I1221" t="s">
        <v>10513</v>
      </c>
      <c r="J1221" t="s">
        <v>4915</v>
      </c>
      <c r="K1221" t="s">
        <v>4916</v>
      </c>
      <c r="L1221" t="s">
        <v>10514</v>
      </c>
      <c r="M1221" t="s">
        <v>10515</v>
      </c>
      <c r="N1221" t="s">
        <v>10516</v>
      </c>
      <c r="O1221" t="s">
        <v>6329</v>
      </c>
      <c r="P1221" t="s">
        <v>10517</v>
      </c>
      <c r="Q1221">
        <v>990</v>
      </c>
      <c r="R1221" t="s">
        <v>4922</v>
      </c>
      <c r="S1221" t="s">
        <v>116</v>
      </c>
      <c r="T1221" t="s">
        <v>4923</v>
      </c>
      <c r="U1221" t="s">
        <v>4924</v>
      </c>
      <c r="V1221" t="s">
        <v>10518</v>
      </c>
      <c r="W1221" t="s">
        <v>3667</v>
      </c>
      <c r="X1221">
        <v>392.1</v>
      </c>
    </row>
    <row r="1222" spans="1:24" x14ac:dyDescent="0.25">
      <c r="A1222" t="s">
        <v>5130</v>
      </c>
      <c r="B1222" t="s">
        <v>10437</v>
      </c>
      <c r="C1222" t="s">
        <v>10438</v>
      </c>
      <c r="D1222" t="s">
        <v>24</v>
      </c>
      <c r="E1222" t="s">
        <v>4913</v>
      </c>
      <c r="F1222" t="s">
        <v>2644</v>
      </c>
      <c r="G1222">
        <f>IF(K1222="Pick-up","PICKUPS",IF(K1222="Staff drop-off","STAFF_DROPOFF",IF(K1222="Replacements","REPLACEMENT",IF(K1222="Central Stores Dispatch","CENTRAL STORES DISPATCH",IFNA(IFNA(VLOOKUP(F1222,'Raw Platform Nov 4-6 2025'!C:C,1,FALSE),VLOOKUP(F1222,'Raw Platform Nov 4-6 2025'!D:D,1,FALSE)),IFNA(VLOOKUP(F1222,'Glovo Raw Nov 4-6 2025'!B:B,1,FALSE),"Not Matched"))))))</f>
      </c>
      <c r="H1222">
        <f>COUNTIF(F:F,F1222)</f>
      </c>
      <c r="I1222" t="s">
        <v>10519</v>
      </c>
      <c r="J1222" t="s">
        <v>4915</v>
      </c>
      <c r="K1222" t="s">
        <v>4916</v>
      </c>
      <c r="L1222" t="s">
        <v>10520</v>
      </c>
      <c r="M1222" t="s">
        <v>5217</v>
      </c>
      <c r="N1222" t="s">
        <v>5072</v>
      </c>
      <c r="O1222" t="s">
        <v>4956</v>
      </c>
      <c r="P1222" t="s">
        <v>4963</v>
      </c>
      <c r="Q1222">
        <v>2837</v>
      </c>
      <c r="R1222" t="s">
        <v>4922</v>
      </c>
      <c r="S1222" t="s">
        <v>5136</v>
      </c>
      <c r="T1222" t="s">
        <v>4923</v>
      </c>
      <c r="U1222" t="s">
        <v>4924</v>
      </c>
      <c r="V1222" t="s">
        <v>10521</v>
      </c>
      <c r="W1222" t="s">
        <v>3667</v>
      </c>
      <c r="X1222">
        <v>100</v>
      </c>
    </row>
    <row r="1223" spans="1:24" x14ac:dyDescent="0.25">
      <c r="A1223" t="s">
        <v>5130</v>
      </c>
      <c r="B1223" t="s">
        <v>10437</v>
      </c>
      <c r="C1223" t="s">
        <v>10438</v>
      </c>
      <c r="D1223" t="s">
        <v>24</v>
      </c>
      <c r="E1223" t="s">
        <v>4913</v>
      </c>
      <c r="F1223" t="s">
        <v>2723</v>
      </c>
      <c r="G1223">
        <f>IF(K1223="Pick-up","PICKUPS",IF(K1223="Staff drop-off","STAFF_DROPOFF",IF(K1223="Replacements","REPLACEMENT",IF(K1223="Central Stores Dispatch","CENTRAL STORES DISPATCH",IFNA(IFNA(VLOOKUP(F1223,'Raw Platform Nov 4-6 2025'!C:C,1,FALSE),VLOOKUP(F1223,'Raw Platform Nov 4-6 2025'!D:D,1,FALSE)),IFNA(VLOOKUP(F1223,'Glovo Raw Nov 4-6 2025'!B:B,1,FALSE),"Not Matched"))))))</f>
      </c>
      <c r="H1223">
        <f>COUNTIF(F:F,F1223)</f>
      </c>
      <c r="I1223" t="s">
        <v>10522</v>
      </c>
      <c r="J1223" t="s">
        <v>4915</v>
      </c>
      <c r="K1223" t="s">
        <v>4927</v>
      </c>
      <c r="L1223" t="s">
        <v>10523</v>
      </c>
      <c r="M1223" t="s">
        <v>10524</v>
      </c>
      <c r="N1223" t="s">
        <v>10525</v>
      </c>
      <c r="O1223" t="s">
        <v>73</v>
      </c>
      <c r="P1223" t="s">
        <v>5271</v>
      </c>
      <c r="Q1223">
        <v>0</v>
      </c>
      <c r="R1223" t="s">
        <v>4922</v>
      </c>
      <c r="S1223" t="s">
        <v>35</v>
      </c>
      <c r="T1223" t="s">
        <v>4923</v>
      </c>
      <c r="U1223" t="s">
        <v>4924</v>
      </c>
      <c r="V1223" t="s">
        <v>10526</v>
      </c>
      <c r="W1223" t="s">
        <v>3667</v>
      </c>
      <c r="X1223">
        <v>182.8</v>
      </c>
    </row>
    <row r="1224" spans="1:24" x14ac:dyDescent="0.25">
      <c r="A1224" t="s">
        <v>5130</v>
      </c>
      <c r="B1224" t="s">
        <v>10437</v>
      </c>
      <c r="C1224" t="s">
        <v>10438</v>
      </c>
      <c r="D1224" t="s">
        <v>24</v>
      </c>
      <c r="E1224" t="s">
        <v>4913</v>
      </c>
      <c r="F1224" t="s">
        <v>2573</v>
      </c>
      <c r="G1224">
        <f>IF(K1224="Pick-up","PICKUPS",IF(K1224="Staff drop-off","STAFF_DROPOFF",IF(K1224="Replacements","REPLACEMENT",IF(K1224="Central Stores Dispatch","CENTRAL STORES DISPATCH",IFNA(IFNA(VLOOKUP(F1224,'Raw Platform Nov 4-6 2025'!C:C,1,FALSE),VLOOKUP(F1224,'Raw Platform Nov 4-6 2025'!D:D,1,FALSE)),IFNA(VLOOKUP(F1224,'Glovo Raw Nov 4-6 2025'!B:B,1,FALSE),"Not Matched"))))))</f>
      </c>
      <c r="H1224">
        <f>COUNTIF(F:F,F1224)</f>
      </c>
      <c r="I1224" t="s">
        <v>10527</v>
      </c>
      <c r="J1224" t="s">
        <v>4915</v>
      </c>
      <c r="K1224" t="s">
        <v>4916</v>
      </c>
      <c r="L1224" t="s">
        <v>10528</v>
      </c>
      <c r="M1224" t="s">
        <v>10529</v>
      </c>
      <c r="N1224" t="s">
        <v>10530</v>
      </c>
      <c r="O1224" t="s">
        <v>5937</v>
      </c>
      <c r="P1224" t="s">
        <v>10531</v>
      </c>
      <c r="Q1224">
        <v>1012</v>
      </c>
      <c r="R1224" t="s">
        <v>4922</v>
      </c>
      <c r="S1224" t="s">
        <v>172</v>
      </c>
      <c r="T1224" t="s">
        <v>4923</v>
      </c>
      <c r="U1224" t="s">
        <v>4924</v>
      </c>
      <c r="V1224" t="s">
        <v>10532</v>
      </c>
      <c r="W1224" t="s">
        <v>3667</v>
      </c>
      <c r="X1224">
        <v>389.8</v>
      </c>
    </row>
    <row r="1225" spans="1:24" x14ac:dyDescent="0.25">
      <c r="A1225" t="s">
        <v>5130</v>
      </c>
      <c r="B1225" t="s">
        <v>10437</v>
      </c>
      <c r="C1225" t="s">
        <v>10438</v>
      </c>
      <c r="D1225" t="s">
        <v>24</v>
      </c>
      <c r="E1225" t="s">
        <v>4913</v>
      </c>
      <c r="F1225" t="s">
        <v>3145</v>
      </c>
      <c r="G1225">
        <f>IF(K1225="Pick-up","PICKUPS",IF(K1225="Staff drop-off","STAFF_DROPOFF",IF(K1225="Replacements","REPLACEMENT",IF(K1225="Central Stores Dispatch","CENTRAL STORES DISPATCH",IFNA(IFNA(VLOOKUP(F1225,'Raw Platform Nov 4-6 2025'!C:C,1,FALSE),VLOOKUP(F1225,'Raw Platform Nov 4-6 2025'!D:D,1,FALSE)),IFNA(VLOOKUP(F1225,'Glovo Raw Nov 4-6 2025'!B:B,1,FALSE),"Not Matched"))))))</f>
      </c>
      <c r="H1225">
        <f>COUNTIF(F:F,F1225)</f>
      </c>
      <c r="I1225" t="s">
        <v>10533</v>
      </c>
      <c r="J1225" t="s">
        <v>4915</v>
      </c>
      <c r="K1225" t="s">
        <v>4927</v>
      </c>
      <c r="L1225" t="s">
        <v>10534</v>
      </c>
      <c r="M1225" t="s">
        <v>7307</v>
      </c>
      <c r="N1225" t="s">
        <v>7308</v>
      </c>
      <c r="O1225" t="s">
        <v>16</v>
      </c>
      <c r="P1225" t="s">
        <v>6220</v>
      </c>
      <c r="Q1225">
        <v>0</v>
      </c>
      <c r="R1225" t="s">
        <v>4922</v>
      </c>
      <c r="S1225" t="s">
        <v>172</v>
      </c>
      <c r="T1225" t="s">
        <v>4923</v>
      </c>
      <c r="U1225" t="s">
        <v>4924</v>
      </c>
      <c r="V1225" t="s">
        <v>10535</v>
      </c>
      <c r="W1225" t="s">
        <v>3667</v>
      </c>
      <c r="X1225">
        <v>265.6</v>
      </c>
    </row>
    <row r="1226" spans="1:24" x14ac:dyDescent="0.25">
      <c r="A1226" t="s">
        <v>5130</v>
      </c>
      <c r="B1226" t="s">
        <v>10437</v>
      </c>
      <c r="C1226" t="s">
        <v>10438</v>
      </c>
      <c r="D1226" t="s">
        <v>24</v>
      </c>
      <c r="E1226" t="s">
        <v>4913</v>
      </c>
      <c r="F1226" t="s">
        <v>2912</v>
      </c>
      <c r="G1226">
        <f>IF(K1226="Pick-up","PICKUPS",IF(K1226="Staff drop-off","STAFF_DROPOFF",IF(K1226="Replacements","REPLACEMENT",IF(K1226="Central Stores Dispatch","CENTRAL STORES DISPATCH",IFNA(IFNA(VLOOKUP(F1226,'Raw Platform Nov 4-6 2025'!C:C,1,FALSE),VLOOKUP(F1226,'Raw Platform Nov 4-6 2025'!D:D,1,FALSE)),IFNA(VLOOKUP(F1226,'Glovo Raw Nov 4-6 2025'!B:B,1,FALSE),"Not Matched"))))))</f>
      </c>
      <c r="H1226">
        <f>COUNTIF(F:F,F1226)</f>
      </c>
      <c r="I1226" t="s">
        <v>10536</v>
      </c>
      <c r="J1226" t="s">
        <v>4915</v>
      </c>
      <c r="K1226" t="s">
        <v>4927</v>
      </c>
      <c r="L1226" t="s">
        <v>10537</v>
      </c>
      <c r="M1226" t="s">
        <v>10538</v>
      </c>
      <c r="N1226" t="s">
        <v>10539</v>
      </c>
      <c r="O1226" t="s">
        <v>6086</v>
      </c>
      <c r="P1226" t="s">
        <v>6330</v>
      </c>
      <c r="Q1226">
        <v>0</v>
      </c>
      <c r="R1226" t="s">
        <v>4922</v>
      </c>
      <c r="S1226" t="s">
        <v>35</v>
      </c>
      <c r="T1226" t="s">
        <v>4923</v>
      </c>
      <c r="U1226" t="s">
        <v>4924</v>
      </c>
      <c r="V1226" t="s">
        <v>10540</v>
      </c>
      <c r="W1226" t="s">
        <v>3667</v>
      </c>
      <c r="X1226">
        <v>366.8</v>
      </c>
    </row>
    <row r="1227" spans="1:24" x14ac:dyDescent="0.25">
      <c r="A1227" t="s">
        <v>4932</v>
      </c>
      <c r="B1227" t="s">
        <v>10541</v>
      </c>
      <c r="C1227" t="s">
        <v>10542</v>
      </c>
      <c r="D1227" t="s">
        <v>13</v>
      </c>
      <c r="E1227" t="s">
        <v>4913</v>
      </c>
      <c r="F1227" t="s">
        <v>969</v>
      </c>
      <c r="G1227">
        <f>IF(K1227="Pick-up","PICKUPS",IF(K1227="Staff drop-off","STAFF_DROPOFF",IF(K1227="Replacements","REPLACEMENT",IF(K1227="Central Stores Dispatch","CENTRAL STORES DISPATCH",IFNA(IFNA(VLOOKUP(F1227,'Raw Platform Nov 4-6 2025'!C:C,1,FALSE),VLOOKUP(F1227,'Raw Platform Nov 4-6 2025'!D:D,1,FALSE)),IFNA(VLOOKUP(F1227,'Glovo Raw Nov 4-6 2025'!B:B,1,FALSE),"Not Matched"))))))</f>
      </c>
      <c r="H1227">
        <f>COUNTIF(F:F,F1227)</f>
      </c>
      <c r="I1227" t="s">
        <v>10543</v>
      </c>
      <c r="J1227" t="s">
        <v>63</v>
      </c>
      <c r="K1227" t="s">
        <v>4927</v>
      </c>
      <c r="L1227" t="s">
        <v>10544</v>
      </c>
      <c r="M1227" t="s">
        <v>10545</v>
      </c>
      <c r="N1227" t="s">
        <v>10546</v>
      </c>
      <c r="O1227" t="s">
        <v>4949</v>
      </c>
      <c r="P1227" t="s">
        <v>6235</v>
      </c>
      <c r="Q1227">
        <v>0</v>
      </c>
      <c r="R1227" t="s">
        <v>4922</v>
      </c>
      <c r="S1227" t="s">
        <v>29</v>
      </c>
      <c r="T1227" t="s">
        <v>4923</v>
      </c>
      <c r="U1227" t="s">
        <v>4924</v>
      </c>
      <c r="V1227" t="s">
        <v>10547</v>
      </c>
      <c r="W1227" t="s">
        <v>3667</v>
      </c>
      <c r="X1227">
        <v>104.6</v>
      </c>
    </row>
    <row r="1228" spans="1:24" x14ac:dyDescent="0.25">
      <c r="A1228" t="s">
        <v>4932</v>
      </c>
      <c r="B1228" t="s">
        <v>10541</v>
      </c>
      <c r="C1228" t="s">
        <v>10542</v>
      </c>
      <c r="D1228" t="s">
        <v>13</v>
      </c>
      <c r="E1228" t="s">
        <v>4913</v>
      </c>
      <c r="F1228" t="s">
        <v>10548</v>
      </c>
      <c r="G1228">
        <f>IF(K1228="Pick-up","PICKUPS",IF(K1228="Staff drop-off","STAFF_DROPOFF",IF(K1228="Replacements","REPLACEMENT",IF(K1228="Central Stores Dispatch","CENTRAL STORES DISPATCH",IFNA(IFNA(VLOOKUP(F1228,'Raw Platform Nov 4-6 2025'!C:C,1,FALSE),VLOOKUP(F1228,'Raw Platform Nov 4-6 2025'!D:D,1,FALSE)),IFNA(VLOOKUP(F1228,'Glovo Raw Nov 4-6 2025'!B:B,1,FALSE),"Not Matched"))))))</f>
      </c>
      <c r="H1228">
        <f>COUNTIF(F:F,F1228)</f>
      </c>
      <c r="I1228" t="s">
        <v>10549</v>
      </c>
      <c r="J1228" t="s">
        <v>4915</v>
      </c>
      <c r="K1228" t="s">
        <v>4927</v>
      </c>
      <c r="L1228" t="s">
        <v>10550</v>
      </c>
      <c r="M1228" t="s">
        <v>10551</v>
      </c>
      <c r="N1228" t="s">
        <v>5982</v>
      </c>
      <c r="O1228" t="s">
        <v>53</v>
      </c>
      <c r="P1228" t="s">
        <v>5001</v>
      </c>
      <c r="Q1228">
        <v>0</v>
      </c>
      <c r="R1228" t="s">
        <v>4922</v>
      </c>
      <c r="S1228" t="s">
        <v>29</v>
      </c>
      <c r="T1228" t="s">
        <v>4923</v>
      </c>
      <c r="U1228" t="s">
        <v>4924</v>
      </c>
      <c r="V1228" t="s">
        <v>10552</v>
      </c>
      <c r="W1228" t="s">
        <v>3667</v>
      </c>
      <c r="X1228">
        <v>120.7</v>
      </c>
    </row>
    <row r="1229" spans="1:24" x14ac:dyDescent="0.25">
      <c r="A1229" t="s">
        <v>4910</v>
      </c>
      <c r="B1229" t="s">
        <v>10541</v>
      </c>
      <c r="C1229" t="s">
        <v>10542</v>
      </c>
      <c r="D1229" t="s">
        <v>13</v>
      </c>
      <c r="E1229" t="s">
        <v>4913</v>
      </c>
      <c r="F1229" t="s">
        <v>1736</v>
      </c>
      <c r="G1229">
        <f>IF(K1229="Pick-up","PICKUPS",IF(K1229="Staff drop-off","STAFF_DROPOFF",IF(K1229="Replacements","REPLACEMENT",IF(K1229="Central Stores Dispatch","CENTRAL STORES DISPATCH",IFNA(IFNA(VLOOKUP(F1229,'Raw Platform Nov 4-6 2025'!C:C,1,FALSE),VLOOKUP(F1229,'Raw Platform Nov 4-6 2025'!D:D,1,FALSE)),IFNA(VLOOKUP(F1229,'Glovo Raw Nov 4-6 2025'!B:B,1,FALSE),"Not Matched"))))))</f>
      </c>
      <c r="H1229">
        <f>COUNTIF(F:F,F1229)</f>
      </c>
      <c r="I1229" t="s">
        <v>10553</v>
      </c>
      <c r="J1229" t="s">
        <v>4915</v>
      </c>
      <c r="K1229" t="s">
        <v>4927</v>
      </c>
      <c r="L1229" t="s">
        <v>6485</v>
      </c>
      <c r="M1229" t="s">
        <v>4918</v>
      </c>
      <c r="N1229" t="s">
        <v>5072</v>
      </c>
      <c r="O1229" t="s">
        <v>4949</v>
      </c>
      <c r="P1229" t="s">
        <v>4920</v>
      </c>
      <c r="Q1229">
        <v>0</v>
      </c>
      <c r="R1229" t="s">
        <v>4922</v>
      </c>
      <c r="S1229" t="s">
        <v>12</v>
      </c>
      <c r="T1229" t="s">
        <v>4923</v>
      </c>
      <c r="U1229" t="s">
        <v>4924</v>
      </c>
      <c r="V1229" t="s">
        <v>10554</v>
      </c>
      <c r="W1229" t="s">
        <v>3667</v>
      </c>
      <c r="X1229">
        <v>100</v>
      </c>
    </row>
    <row r="1230" spans="1:24" x14ac:dyDescent="0.25">
      <c r="A1230" t="s">
        <v>4910</v>
      </c>
      <c r="B1230" t="s">
        <v>10541</v>
      </c>
      <c r="C1230" t="s">
        <v>10542</v>
      </c>
      <c r="D1230" t="s">
        <v>13</v>
      </c>
      <c r="E1230" t="s">
        <v>4913</v>
      </c>
      <c r="F1230" t="s">
        <v>2140</v>
      </c>
      <c r="G1230">
        <f>IF(K1230="Pick-up","PICKUPS",IF(K1230="Staff drop-off","STAFF_DROPOFF",IF(K1230="Replacements","REPLACEMENT",IF(K1230="Central Stores Dispatch","CENTRAL STORES DISPATCH",IFNA(IFNA(VLOOKUP(F1230,'Raw Platform Nov 4-6 2025'!C:C,1,FALSE),VLOOKUP(F1230,'Raw Platform Nov 4-6 2025'!D:D,1,FALSE)),IFNA(VLOOKUP(F1230,'Glovo Raw Nov 4-6 2025'!B:B,1,FALSE),"Not Matched"))))))</f>
      </c>
      <c r="H1230">
        <f>COUNTIF(F:F,F1230)</f>
      </c>
      <c r="I1230" t="s">
        <v>10555</v>
      </c>
      <c r="J1230" t="s">
        <v>4915</v>
      </c>
      <c r="K1230" t="s">
        <v>4927</v>
      </c>
      <c r="L1230" t="s">
        <v>9690</v>
      </c>
      <c r="M1230" t="s">
        <v>10556</v>
      </c>
      <c r="N1230" t="s">
        <v>10557</v>
      </c>
      <c r="O1230" t="s">
        <v>47</v>
      </c>
      <c r="P1230" t="s">
        <v>5019</v>
      </c>
      <c r="Q1230">
        <v>0</v>
      </c>
      <c r="R1230" t="s">
        <v>4922</v>
      </c>
      <c r="S1230" t="s">
        <v>12</v>
      </c>
      <c r="T1230" t="s">
        <v>4923</v>
      </c>
      <c r="U1230" t="s">
        <v>4924</v>
      </c>
      <c r="V1230" t="s">
        <v>10558</v>
      </c>
      <c r="W1230" t="s">
        <v>3667</v>
      </c>
      <c r="X1230">
        <v>100</v>
      </c>
    </row>
    <row r="1231" spans="1:24" x14ac:dyDescent="0.25">
      <c r="A1231" t="s">
        <v>4932</v>
      </c>
      <c r="B1231" t="s">
        <v>10541</v>
      </c>
      <c r="C1231" t="s">
        <v>10542</v>
      </c>
      <c r="D1231" t="s">
        <v>13</v>
      </c>
      <c r="E1231" t="s">
        <v>4913</v>
      </c>
      <c r="F1231" t="s">
        <v>1697</v>
      </c>
      <c r="G1231">
        <f>IF(K1231="Pick-up","PICKUPS",IF(K1231="Staff drop-off","STAFF_DROPOFF",IF(K1231="Replacements","REPLACEMENT",IF(K1231="Central Stores Dispatch","CENTRAL STORES DISPATCH",IFNA(IFNA(VLOOKUP(F1231,'Raw Platform Nov 4-6 2025'!C:C,1,FALSE),VLOOKUP(F1231,'Raw Platform Nov 4-6 2025'!D:D,1,FALSE)),IFNA(VLOOKUP(F1231,'Glovo Raw Nov 4-6 2025'!B:B,1,FALSE),"Not Matched"))))))</f>
      </c>
      <c r="H1231">
        <f>COUNTIF(F:F,F1231)</f>
      </c>
      <c r="I1231" t="s">
        <v>10559</v>
      </c>
      <c r="J1231" t="s">
        <v>4915</v>
      </c>
      <c r="K1231" t="s">
        <v>4916</v>
      </c>
      <c r="L1231" t="s">
        <v>10560</v>
      </c>
      <c r="M1231" t="s">
        <v>10561</v>
      </c>
      <c r="N1231" t="s">
        <v>5607</v>
      </c>
      <c r="O1231" t="s">
        <v>53</v>
      </c>
      <c r="P1231" t="s">
        <v>5001</v>
      </c>
      <c r="Q1231">
        <v>1106</v>
      </c>
      <c r="R1231" t="s">
        <v>4922</v>
      </c>
      <c r="S1231" t="s">
        <v>29</v>
      </c>
      <c r="T1231" t="s">
        <v>4923</v>
      </c>
      <c r="U1231" t="s">
        <v>4924</v>
      </c>
      <c r="V1231" t="s">
        <v>10562</v>
      </c>
      <c r="W1231" t="s">
        <v>3667</v>
      </c>
      <c r="X1231">
        <v>120.7</v>
      </c>
    </row>
    <row r="1232" spans="1:24" x14ac:dyDescent="0.25">
      <c r="A1232" t="s">
        <v>4910</v>
      </c>
      <c r="B1232" t="s">
        <v>10541</v>
      </c>
      <c r="C1232" t="s">
        <v>10542</v>
      </c>
      <c r="D1232" t="s">
        <v>13</v>
      </c>
      <c r="E1232" t="s">
        <v>4913</v>
      </c>
      <c r="F1232" t="s">
        <v>1682</v>
      </c>
      <c r="G1232">
        <f>IF(K1232="Pick-up","PICKUPS",IF(K1232="Staff drop-off","STAFF_DROPOFF",IF(K1232="Replacements","REPLACEMENT",IF(K1232="Central Stores Dispatch","CENTRAL STORES DISPATCH",IFNA(IFNA(VLOOKUP(F1232,'Raw Platform Nov 4-6 2025'!C:C,1,FALSE),VLOOKUP(F1232,'Raw Platform Nov 4-6 2025'!D:D,1,FALSE)),IFNA(VLOOKUP(F1232,'Glovo Raw Nov 4-6 2025'!B:B,1,FALSE),"Not Matched"))))))</f>
      </c>
      <c r="H1232">
        <f>COUNTIF(F:F,F1232)</f>
      </c>
      <c r="I1232" t="s">
        <v>10563</v>
      </c>
      <c r="J1232" t="s">
        <v>4915</v>
      </c>
      <c r="K1232" t="s">
        <v>4927</v>
      </c>
      <c r="L1232" t="s">
        <v>10564</v>
      </c>
      <c r="M1232" t="s">
        <v>10565</v>
      </c>
      <c r="N1232" t="s">
        <v>4919</v>
      </c>
      <c r="O1232" t="s">
        <v>4920</v>
      </c>
      <c r="P1232" t="s">
        <v>4921</v>
      </c>
      <c r="Q1232">
        <v>0</v>
      </c>
      <c r="R1232" t="s">
        <v>4922</v>
      </c>
      <c r="S1232" t="s">
        <v>12</v>
      </c>
      <c r="T1232" t="s">
        <v>4923</v>
      </c>
      <c r="U1232" t="s">
        <v>4924</v>
      </c>
      <c r="V1232" t="s">
        <v>8847</v>
      </c>
      <c r="W1232" t="s">
        <v>3667</v>
      </c>
      <c r="X1232">
        <v>100</v>
      </c>
    </row>
    <row r="1233" spans="1:24" x14ac:dyDescent="0.25">
      <c r="A1233" t="s">
        <v>4910</v>
      </c>
      <c r="B1233" t="s">
        <v>10541</v>
      </c>
      <c r="C1233" t="s">
        <v>10542</v>
      </c>
      <c r="D1233" t="s">
        <v>13</v>
      </c>
      <c r="E1233" t="s">
        <v>4913</v>
      </c>
      <c r="F1233" t="s">
        <v>2120</v>
      </c>
      <c r="G1233">
        <f>IF(K1233="Pick-up","PICKUPS",IF(K1233="Staff drop-off","STAFF_DROPOFF",IF(K1233="Replacements","REPLACEMENT",IF(K1233="Central Stores Dispatch","CENTRAL STORES DISPATCH",IFNA(IFNA(VLOOKUP(F1233,'Raw Platform Nov 4-6 2025'!C:C,1,FALSE),VLOOKUP(F1233,'Raw Platform Nov 4-6 2025'!D:D,1,FALSE)),IFNA(VLOOKUP(F1233,'Glovo Raw Nov 4-6 2025'!B:B,1,FALSE),"Not Matched"))))))</f>
      </c>
      <c r="H1233">
        <f>COUNTIF(F:F,F1233)</f>
      </c>
      <c r="I1233" t="s">
        <v>10566</v>
      </c>
      <c r="J1233" t="s">
        <v>4915</v>
      </c>
      <c r="K1233" t="s">
        <v>4927</v>
      </c>
      <c r="L1233" t="s">
        <v>10567</v>
      </c>
      <c r="M1233" t="s">
        <v>10568</v>
      </c>
      <c r="N1233" t="s">
        <v>10569</v>
      </c>
      <c r="O1233" t="s">
        <v>53</v>
      </c>
      <c r="P1233" t="s">
        <v>5572</v>
      </c>
      <c r="Q1233">
        <v>0</v>
      </c>
      <c r="R1233" t="s">
        <v>4922</v>
      </c>
      <c r="S1233" t="s">
        <v>12</v>
      </c>
      <c r="T1233" t="s">
        <v>4923</v>
      </c>
      <c r="U1233" t="s">
        <v>4924</v>
      </c>
      <c r="V1233" t="s">
        <v>10570</v>
      </c>
      <c r="W1233" t="s">
        <v>3667</v>
      </c>
      <c r="X1233">
        <v>125.3</v>
      </c>
    </row>
    <row r="1234" spans="1:24" x14ac:dyDescent="0.25">
      <c r="A1234" t="s">
        <v>4932</v>
      </c>
      <c r="B1234" t="s">
        <v>10541</v>
      </c>
      <c r="C1234" t="s">
        <v>10542</v>
      </c>
      <c r="D1234" t="s">
        <v>13</v>
      </c>
      <c r="E1234" t="s">
        <v>4913</v>
      </c>
      <c r="F1234" t="s">
        <v>3361</v>
      </c>
      <c r="G1234">
        <f>IF(K1234="Pick-up","PICKUPS",IF(K1234="Staff drop-off","STAFF_DROPOFF",IF(K1234="Replacements","REPLACEMENT",IF(K1234="Central Stores Dispatch","CENTRAL STORES DISPATCH",IFNA(IFNA(VLOOKUP(F1234,'Raw Platform Nov 4-6 2025'!C:C,1,FALSE),VLOOKUP(F1234,'Raw Platform Nov 4-6 2025'!D:D,1,FALSE)),IFNA(VLOOKUP(F1234,'Glovo Raw Nov 4-6 2025'!B:B,1,FALSE),"Not Matched"))))))</f>
      </c>
      <c r="H1234">
        <f>COUNTIF(F:F,F1234)</f>
      </c>
      <c r="I1234" t="s">
        <v>10571</v>
      </c>
      <c r="J1234" t="s">
        <v>4915</v>
      </c>
      <c r="K1234" t="s">
        <v>4927</v>
      </c>
      <c r="L1234" t="s">
        <v>9076</v>
      </c>
      <c r="M1234" t="s">
        <v>7409</v>
      </c>
      <c r="N1234" t="s">
        <v>5012</v>
      </c>
      <c r="O1234" t="s">
        <v>4990</v>
      </c>
      <c r="P1234" t="s">
        <v>5013</v>
      </c>
      <c r="Q1234">
        <v>0</v>
      </c>
      <c r="R1234" t="s">
        <v>4922</v>
      </c>
      <c r="S1234" t="s">
        <v>29</v>
      </c>
      <c r="T1234" t="s">
        <v>4923</v>
      </c>
      <c r="U1234" t="s">
        <v>4924</v>
      </c>
      <c r="V1234" t="s">
        <v>10572</v>
      </c>
      <c r="W1234" t="s">
        <v>3667</v>
      </c>
      <c r="X1234">
        <v>100</v>
      </c>
    </row>
    <row r="1235" spans="1:24" x14ac:dyDescent="0.25">
      <c r="A1235" t="s">
        <v>4932</v>
      </c>
      <c r="B1235" t="s">
        <v>10541</v>
      </c>
      <c r="C1235" t="s">
        <v>10542</v>
      </c>
      <c r="D1235" t="s">
        <v>13</v>
      </c>
      <c r="E1235" t="s">
        <v>4913</v>
      </c>
      <c r="F1235" t="s">
        <v>2655</v>
      </c>
      <c r="G1235">
        <f>IF(K1235="Pick-up","PICKUPS",IF(K1235="Staff drop-off","STAFF_DROPOFF",IF(K1235="Replacements","REPLACEMENT",IF(K1235="Central Stores Dispatch","CENTRAL STORES DISPATCH",IFNA(IFNA(VLOOKUP(F1235,'Raw Platform Nov 4-6 2025'!C:C,1,FALSE),VLOOKUP(F1235,'Raw Platform Nov 4-6 2025'!D:D,1,FALSE)),IFNA(VLOOKUP(F1235,'Glovo Raw Nov 4-6 2025'!B:B,1,FALSE),"Not Matched"))))))</f>
      </c>
      <c r="H1235">
        <f>COUNTIF(F:F,F1235)</f>
      </c>
      <c r="I1235" t="s">
        <v>10573</v>
      </c>
      <c r="J1235" t="s">
        <v>4915</v>
      </c>
      <c r="K1235" t="s">
        <v>4927</v>
      </c>
      <c r="L1235" t="s">
        <v>7298</v>
      </c>
      <c r="M1235" t="s">
        <v>7299</v>
      </c>
      <c r="N1235" t="s">
        <v>5072</v>
      </c>
      <c r="O1235" t="s">
        <v>4949</v>
      </c>
      <c r="P1235" t="s">
        <v>4920</v>
      </c>
      <c r="Q1235">
        <v>0</v>
      </c>
      <c r="R1235" t="s">
        <v>4922</v>
      </c>
      <c r="S1235" t="s">
        <v>29</v>
      </c>
      <c r="T1235" t="s">
        <v>4923</v>
      </c>
      <c r="U1235" t="s">
        <v>4924</v>
      </c>
      <c r="V1235" t="s">
        <v>10574</v>
      </c>
      <c r="W1235" t="s">
        <v>3667</v>
      </c>
      <c r="X1235">
        <v>100</v>
      </c>
    </row>
    <row r="1236" spans="1:24" x14ac:dyDescent="0.25">
      <c r="A1236" t="s">
        <v>4932</v>
      </c>
      <c r="B1236" t="s">
        <v>10541</v>
      </c>
      <c r="C1236" t="s">
        <v>10542</v>
      </c>
      <c r="D1236" t="s">
        <v>13</v>
      </c>
      <c r="E1236" t="s">
        <v>4913</v>
      </c>
      <c r="F1236" t="s">
        <v>2822</v>
      </c>
      <c r="G1236">
        <f>IF(K1236="Pick-up","PICKUPS",IF(K1236="Staff drop-off","STAFF_DROPOFF",IF(K1236="Replacements","REPLACEMENT",IF(K1236="Central Stores Dispatch","CENTRAL STORES DISPATCH",IFNA(IFNA(VLOOKUP(F1236,'Raw Platform Nov 4-6 2025'!C:C,1,FALSE),VLOOKUP(F1236,'Raw Platform Nov 4-6 2025'!D:D,1,FALSE)),IFNA(VLOOKUP(F1236,'Glovo Raw Nov 4-6 2025'!B:B,1,FALSE),"Not Matched"))))))</f>
      </c>
      <c r="H1236">
        <f>COUNTIF(F:F,F1236)</f>
      </c>
      <c r="I1236" t="s">
        <v>10575</v>
      </c>
      <c r="J1236" t="s">
        <v>4915</v>
      </c>
      <c r="K1236" t="s">
        <v>4927</v>
      </c>
      <c r="L1236" t="s">
        <v>10576</v>
      </c>
      <c r="M1236" t="s">
        <v>10577</v>
      </c>
      <c r="N1236" t="s">
        <v>10578</v>
      </c>
      <c r="O1236" t="s">
        <v>2009</v>
      </c>
      <c r="P1236" t="s">
        <v>5572</v>
      </c>
      <c r="Q1236">
        <v>0</v>
      </c>
      <c r="R1236" t="s">
        <v>4922</v>
      </c>
      <c r="S1236" t="s">
        <v>29</v>
      </c>
      <c r="T1236" t="s">
        <v>4923</v>
      </c>
      <c r="U1236" t="s">
        <v>4924</v>
      </c>
      <c r="V1236" t="s">
        <v>10579</v>
      </c>
      <c r="W1236" t="s">
        <v>3667</v>
      </c>
      <c r="X1236">
        <v>125.3</v>
      </c>
    </row>
    <row r="1237" spans="1:24" x14ac:dyDescent="0.25">
      <c r="A1237" t="s">
        <v>4910</v>
      </c>
      <c r="B1237" t="s">
        <v>10541</v>
      </c>
      <c r="C1237" t="s">
        <v>10542</v>
      </c>
      <c r="D1237" t="s">
        <v>13</v>
      </c>
      <c r="E1237" t="s">
        <v>4913</v>
      </c>
      <c r="F1237" t="s">
        <v>2776</v>
      </c>
      <c r="G1237">
        <f>IF(K1237="Pick-up","PICKUPS",IF(K1237="Staff drop-off","STAFF_DROPOFF",IF(K1237="Replacements","REPLACEMENT",IF(K1237="Central Stores Dispatch","CENTRAL STORES DISPATCH",IFNA(IFNA(VLOOKUP(F1237,'Raw Platform Nov 4-6 2025'!C:C,1,FALSE),VLOOKUP(F1237,'Raw Platform Nov 4-6 2025'!D:D,1,FALSE)),IFNA(VLOOKUP(F1237,'Glovo Raw Nov 4-6 2025'!B:B,1,FALSE),"Not Matched"))))))</f>
      </c>
      <c r="H1237">
        <f>COUNTIF(F:F,F1237)</f>
      </c>
      <c r="I1237" t="s">
        <v>10580</v>
      </c>
      <c r="J1237" t="s">
        <v>4915</v>
      </c>
      <c r="K1237" t="s">
        <v>4927</v>
      </c>
      <c r="L1237" t="s">
        <v>10581</v>
      </c>
      <c r="M1237" t="s">
        <v>10582</v>
      </c>
      <c r="N1237" t="s">
        <v>10583</v>
      </c>
      <c r="O1237" t="s">
        <v>47</v>
      </c>
      <c r="P1237" t="s">
        <v>6305</v>
      </c>
      <c r="Q1237">
        <v>0</v>
      </c>
      <c r="R1237" t="s">
        <v>4922</v>
      </c>
      <c r="S1237" t="s">
        <v>12</v>
      </c>
      <c r="T1237" t="s">
        <v>4923</v>
      </c>
      <c r="U1237" t="s">
        <v>4924</v>
      </c>
      <c r="V1237" t="s">
        <v>10584</v>
      </c>
      <c r="W1237" t="s">
        <v>3667</v>
      </c>
      <c r="X1237">
        <v>143.7</v>
      </c>
    </row>
    <row r="1238" spans="1:24" x14ac:dyDescent="0.25">
      <c r="A1238" t="s">
        <v>4910</v>
      </c>
      <c r="B1238" t="s">
        <v>10541</v>
      </c>
      <c r="C1238" t="s">
        <v>10542</v>
      </c>
      <c r="D1238" t="s">
        <v>13</v>
      </c>
      <c r="E1238" t="s">
        <v>4913</v>
      </c>
      <c r="F1238" t="s">
        <v>3369</v>
      </c>
      <c r="G1238">
        <f>IF(K1238="Pick-up","PICKUPS",IF(K1238="Staff drop-off","STAFF_DROPOFF",IF(K1238="Replacements","REPLACEMENT",IF(K1238="Central Stores Dispatch","CENTRAL STORES DISPATCH",IFNA(IFNA(VLOOKUP(F1238,'Raw Platform Nov 4-6 2025'!C:C,1,FALSE),VLOOKUP(F1238,'Raw Platform Nov 4-6 2025'!D:D,1,FALSE)),IFNA(VLOOKUP(F1238,'Glovo Raw Nov 4-6 2025'!B:B,1,FALSE),"Not Matched"))))))</f>
      </c>
      <c r="H1238">
        <f>COUNTIF(F:F,F1238)</f>
      </c>
      <c r="I1238" t="s">
        <v>10585</v>
      </c>
      <c r="J1238" t="s">
        <v>5341</v>
      </c>
      <c r="K1238" t="s">
        <v>4927</v>
      </c>
      <c r="L1238" t="s">
        <v>10586</v>
      </c>
      <c r="M1238" t="s">
        <v>10587</v>
      </c>
      <c r="N1238" t="s">
        <v>5006</v>
      </c>
      <c r="O1238" t="s">
        <v>4990</v>
      </c>
      <c r="P1238" t="s">
        <v>5007</v>
      </c>
      <c r="Q1238">
        <v>0</v>
      </c>
      <c r="R1238" t="s">
        <v>4922</v>
      </c>
      <c r="S1238" t="s">
        <v>12</v>
      </c>
      <c r="T1238" t="s">
        <v>4923</v>
      </c>
      <c r="U1238" t="s">
        <v>4924</v>
      </c>
      <c r="V1238" t="s">
        <v>10588</v>
      </c>
      <c r="W1238" t="s">
        <v>3667</v>
      </c>
      <c r="X1238">
        <v>100</v>
      </c>
    </row>
    <row r="1239" spans="1:24" x14ac:dyDescent="0.25">
      <c r="A1239" t="s">
        <v>4910</v>
      </c>
      <c r="B1239" t="s">
        <v>10541</v>
      </c>
      <c r="C1239" t="s">
        <v>10542</v>
      </c>
      <c r="D1239" t="s">
        <v>13</v>
      </c>
      <c r="E1239" t="s">
        <v>4913</v>
      </c>
      <c r="F1239" t="s">
        <v>3310</v>
      </c>
      <c r="G1239">
        <f>IF(K1239="Pick-up","PICKUPS",IF(K1239="Staff drop-off","STAFF_DROPOFF",IF(K1239="Replacements","REPLACEMENT",IF(K1239="Central Stores Dispatch","CENTRAL STORES DISPATCH",IFNA(IFNA(VLOOKUP(F1239,'Raw Platform Nov 4-6 2025'!C:C,1,FALSE),VLOOKUP(F1239,'Raw Platform Nov 4-6 2025'!D:D,1,FALSE)),IFNA(VLOOKUP(F1239,'Glovo Raw Nov 4-6 2025'!B:B,1,FALSE),"Not Matched"))))))</f>
      </c>
      <c r="H1239">
        <f>COUNTIF(F:F,F1239)</f>
      </c>
      <c r="I1239" t="s">
        <v>10589</v>
      </c>
      <c r="J1239" t="s">
        <v>4915</v>
      </c>
      <c r="K1239" t="s">
        <v>4916</v>
      </c>
      <c r="L1239" t="s">
        <v>10590</v>
      </c>
      <c r="M1239" t="s">
        <v>10591</v>
      </c>
      <c r="N1239" t="s">
        <v>10592</v>
      </c>
      <c r="O1239" t="s">
        <v>4962</v>
      </c>
      <c r="P1239" t="s">
        <v>4963</v>
      </c>
      <c r="Q1239">
        <v>1199</v>
      </c>
      <c r="R1239" t="s">
        <v>4922</v>
      </c>
      <c r="S1239" t="s">
        <v>12</v>
      </c>
      <c r="T1239" t="s">
        <v>4923</v>
      </c>
      <c r="U1239" t="s">
        <v>4924</v>
      </c>
      <c r="V1239" t="s">
        <v>10593</v>
      </c>
      <c r="W1239" t="s">
        <v>3667</v>
      </c>
      <c r="X1239">
        <v>100</v>
      </c>
    </row>
    <row r="1240" spans="1:24" x14ac:dyDescent="0.25">
      <c r="A1240" t="s">
        <v>4932</v>
      </c>
      <c r="B1240" t="s">
        <v>10541</v>
      </c>
      <c r="C1240" t="s">
        <v>10542</v>
      </c>
      <c r="D1240" t="s">
        <v>13</v>
      </c>
      <c r="E1240" t="s">
        <v>4913</v>
      </c>
      <c r="F1240" t="s">
        <v>3324</v>
      </c>
      <c r="G1240">
        <f>IF(K1240="Pick-up","PICKUPS",IF(K1240="Staff drop-off","STAFF_DROPOFF",IF(K1240="Replacements","REPLACEMENT",IF(K1240="Central Stores Dispatch","CENTRAL STORES DISPATCH",IFNA(IFNA(VLOOKUP(F1240,'Raw Platform Nov 4-6 2025'!C:C,1,FALSE),VLOOKUP(F1240,'Raw Platform Nov 4-6 2025'!D:D,1,FALSE)),IFNA(VLOOKUP(F1240,'Glovo Raw Nov 4-6 2025'!B:B,1,FALSE),"Not Matched"))))))</f>
      </c>
      <c r="H1240">
        <f>COUNTIF(F:F,F1240)</f>
      </c>
      <c r="I1240" t="s">
        <v>10594</v>
      </c>
      <c r="J1240" t="s">
        <v>4915</v>
      </c>
      <c r="K1240" t="s">
        <v>4916</v>
      </c>
      <c r="L1240" t="s">
        <v>10595</v>
      </c>
      <c r="M1240" t="s">
        <v>10596</v>
      </c>
      <c r="N1240" t="s">
        <v>10597</v>
      </c>
      <c r="O1240" t="s">
        <v>123</v>
      </c>
      <c r="P1240" t="s">
        <v>4990</v>
      </c>
      <c r="Q1240">
        <v>605</v>
      </c>
      <c r="R1240" t="s">
        <v>4922</v>
      </c>
      <c r="S1240" t="s">
        <v>29</v>
      </c>
      <c r="T1240" t="s">
        <v>4923</v>
      </c>
      <c r="U1240" t="s">
        <v>4924</v>
      </c>
      <c r="V1240" t="s">
        <v>10598</v>
      </c>
      <c r="W1240" t="s">
        <v>3667</v>
      </c>
      <c r="X1240">
        <v>111.5</v>
      </c>
    </row>
    <row r="1241" spans="1:24" x14ac:dyDescent="0.25">
      <c r="A1241" t="s">
        <v>4932</v>
      </c>
      <c r="B1241" t="s">
        <v>10541</v>
      </c>
      <c r="C1241" t="s">
        <v>10542</v>
      </c>
      <c r="D1241" t="s">
        <v>13</v>
      </c>
      <c r="E1241" t="s">
        <v>4913</v>
      </c>
      <c r="F1241" t="s">
        <v>2946</v>
      </c>
      <c r="G1241">
        <f>IF(K1241="Pick-up","PICKUPS",IF(K1241="Staff drop-off","STAFF_DROPOFF",IF(K1241="Replacements","REPLACEMENT",IF(K1241="Central Stores Dispatch","CENTRAL STORES DISPATCH",IFNA(IFNA(VLOOKUP(F1241,'Raw Platform Nov 4-6 2025'!C:C,1,FALSE),VLOOKUP(F1241,'Raw Platform Nov 4-6 2025'!D:D,1,FALSE)),IFNA(VLOOKUP(F1241,'Glovo Raw Nov 4-6 2025'!B:B,1,FALSE),"Not Matched"))))))</f>
      </c>
      <c r="H1241">
        <f>COUNTIF(F:F,F1241)</f>
      </c>
      <c r="I1241" t="s">
        <v>10599</v>
      </c>
      <c r="J1241" t="s">
        <v>63</v>
      </c>
      <c r="K1241" t="s">
        <v>4927</v>
      </c>
      <c r="L1241" t="s">
        <v>10600</v>
      </c>
      <c r="M1241" t="s">
        <v>10601</v>
      </c>
      <c r="N1241" t="s">
        <v>4936</v>
      </c>
      <c r="O1241" t="s">
        <v>4920</v>
      </c>
      <c r="P1241" t="s">
        <v>4937</v>
      </c>
      <c r="Q1241">
        <v>0</v>
      </c>
      <c r="R1241" t="s">
        <v>4922</v>
      </c>
      <c r="S1241" t="s">
        <v>29</v>
      </c>
      <c r="T1241" t="s">
        <v>4923</v>
      </c>
      <c r="U1241" t="s">
        <v>4924</v>
      </c>
      <c r="V1241" t="s">
        <v>10602</v>
      </c>
      <c r="W1241" t="s">
        <v>3667</v>
      </c>
      <c r="X1241">
        <v>100</v>
      </c>
    </row>
    <row r="1242" spans="1:24" x14ac:dyDescent="0.25">
      <c r="A1242" t="s">
        <v>4932</v>
      </c>
      <c r="B1242" t="s">
        <v>10541</v>
      </c>
      <c r="C1242" t="s">
        <v>10542</v>
      </c>
      <c r="D1242" t="s">
        <v>13</v>
      </c>
      <c r="E1242" t="s">
        <v>4913</v>
      </c>
      <c r="F1242" t="s">
        <v>3165</v>
      </c>
      <c r="G1242">
        <f>IF(K1242="Pick-up","PICKUPS",IF(K1242="Staff drop-off","STAFF_DROPOFF",IF(K1242="Replacements","REPLACEMENT",IF(K1242="Central Stores Dispatch","CENTRAL STORES DISPATCH",IFNA(IFNA(VLOOKUP(F1242,'Raw Platform Nov 4-6 2025'!C:C,1,FALSE),VLOOKUP(F1242,'Raw Platform Nov 4-6 2025'!D:D,1,FALSE)),IFNA(VLOOKUP(F1242,'Glovo Raw Nov 4-6 2025'!B:B,1,FALSE),"Not Matched"))))))</f>
      </c>
      <c r="H1242">
        <f>COUNTIF(F:F,F1242)</f>
      </c>
      <c r="I1242" t="s">
        <v>10603</v>
      </c>
      <c r="J1242" t="s">
        <v>63</v>
      </c>
      <c r="K1242" t="s">
        <v>4927</v>
      </c>
      <c r="L1242" t="s">
        <v>5634</v>
      </c>
      <c r="M1242" t="s">
        <v>10604</v>
      </c>
      <c r="N1242" t="s">
        <v>9206</v>
      </c>
      <c r="O1242" t="s">
        <v>47</v>
      </c>
      <c r="P1242" t="s">
        <v>4984</v>
      </c>
      <c r="Q1242">
        <v>0</v>
      </c>
      <c r="R1242" t="s">
        <v>4922</v>
      </c>
      <c r="S1242" t="s">
        <v>29</v>
      </c>
      <c r="T1242" t="s">
        <v>4923</v>
      </c>
      <c r="U1242" t="s">
        <v>4924</v>
      </c>
      <c r="V1242" t="s">
        <v>10605</v>
      </c>
      <c r="W1242" t="s">
        <v>3667</v>
      </c>
      <c r="X1242">
        <v>100</v>
      </c>
    </row>
    <row r="1243" spans="1:24" x14ac:dyDescent="0.25">
      <c r="A1243" t="s">
        <v>4932</v>
      </c>
      <c r="B1243" t="s">
        <v>10541</v>
      </c>
      <c r="C1243" t="s">
        <v>10542</v>
      </c>
      <c r="D1243" t="s">
        <v>13</v>
      </c>
      <c r="E1243" t="s">
        <v>4913</v>
      </c>
      <c r="F1243" t="s">
        <v>3318</v>
      </c>
      <c r="G1243">
        <f>IF(K1243="Pick-up","PICKUPS",IF(K1243="Staff drop-off","STAFF_DROPOFF",IF(K1243="Replacements","REPLACEMENT",IF(K1243="Central Stores Dispatch","CENTRAL STORES DISPATCH",IFNA(IFNA(VLOOKUP(F1243,'Raw Platform Nov 4-6 2025'!C:C,1,FALSE),VLOOKUP(F1243,'Raw Platform Nov 4-6 2025'!D:D,1,FALSE)),IFNA(VLOOKUP(F1243,'Glovo Raw Nov 4-6 2025'!B:B,1,FALSE),"Not Matched"))))))</f>
      </c>
      <c r="H1243">
        <f>COUNTIF(F:F,F1243)</f>
      </c>
      <c r="I1243" t="s">
        <v>10606</v>
      </c>
      <c r="J1243" t="s">
        <v>4915</v>
      </c>
      <c r="K1243" t="s">
        <v>4927</v>
      </c>
      <c r="L1243" t="s">
        <v>10607</v>
      </c>
      <c r="M1243" t="s">
        <v>10608</v>
      </c>
      <c r="N1243" t="s">
        <v>10609</v>
      </c>
      <c r="O1243" t="s">
        <v>4990</v>
      </c>
      <c r="P1243" t="s">
        <v>5196</v>
      </c>
      <c r="Q1243">
        <v>0</v>
      </c>
      <c r="R1243" t="s">
        <v>4922</v>
      </c>
      <c r="S1243" t="s">
        <v>29</v>
      </c>
      <c r="T1243" t="s">
        <v>4923</v>
      </c>
      <c r="U1243" t="s">
        <v>4924</v>
      </c>
      <c r="V1243" t="s">
        <v>10610</v>
      </c>
      <c r="W1243" t="s">
        <v>3667</v>
      </c>
      <c r="X1243">
        <v>100</v>
      </c>
    </row>
    <row r="1244" spans="1:24" x14ac:dyDescent="0.25">
      <c r="A1244" t="s">
        <v>4910</v>
      </c>
      <c r="B1244" t="s">
        <v>10541</v>
      </c>
      <c r="C1244" t="s">
        <v>10542</v>
      </c>
      <c r="D1244" t="s">
        <v>13</v>
      </c>
      <c r="E1244" t="s">
        <v>4913</v>
      </c>
      <c r="F1244" t="s">
        <v>10611</v>
      </c>
      <c r="G1244">
        <f>IF(K1244="Pick-up","PICKUPS",IF(K1244="Staff drop-off","STAFF_DROPOFF",IF(K1244="Replacements","REPLACEMENT",IF(K1244="Central Stores Dispatch","CENTRAL STORES DISPATCH",IFNA(IFNA(VLOOKUP(F1244,'Raw Platform Nov 4-6 2025'!C:C,1,FALSE),VLOOKUP(F1244,'Raw Platform Nov 4-6 2025'!D:D,1,FALSE)),IFNA(VLOOKUP(F1244,'Glovo Raw Nov 4-6 2025'!B:B,1,FALSE),"Not Matched"))))))</f>
      </c>
      <c r="H1244">
        <f>COUNTIF(F:F,F1244)</f>
      </c>
      <c r="I1244" t="s">
        <v>10612</v>
      </c>
      <c r="J1244" t="s">
        <v>63</v>
      </c>
      <c r="K1244" t="s">
        <v>4927</v>
      </c>
      <c r="L1244" t="s">
        <v>5569</v>
      </c>
      <c r="M1244" t="s">
        <v>10464</v>
      </c>
      <c r="N1244" t="s">
        <v>5072</v>
      </c>
      <c r="O1244" t="s">
        <v>4949</v>
      </c>
      <c r="P1244" t="s">
        <v>4920</v>
      </c>
      <c r="Q1244">
        <v>0</v>
      </c>
      <c r="R1244" t="s">
        <v>4922</v>
      </c>
      <c r="S1244" t="s">
        <v>12</v>
      </c>
      <c r="T1244" t="s">
        <v>4923</v>
      </c>
      <c r="U1244" t="s">
        <v>4924</v>
      </c>
      <c r="V1244" t="s">
        <v>10613</v>
      </c>
      <c r="W1244" t="s">
        <v>3667</v>
      </c>
      <c r="X1244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FormatPr defaultRowHeight="15" outlineLevelRow="0" outlineLevelCol="0" x14ac:dyDescent="55"/>
  <sheetData>
    <row r="1" spans="1:12" x14ac:dyDescent="0.25">
      <c r="A1" t="s">
        <v>10614</v>
      </c>
      <c r="B1" t="s">
        <v>10615</v>
      </c>
      <c r="C1" t="s">
        <v>191</v>
      </c>
      <c r="D1" t="s">
        <v>30</v>
      </c>
      <c r="E1" t="s">
        <v>13</v>
      </c>
      <c r="F1" t="s">
        <v>7912</v>
      </c>
      <c r="G1" t="s">
        <v>19</v>
      </c>
      <c r="H1" t="s">
        <v>24</v>
      </c>
      <c r="I1" t="s">
        <v>10616</v>
      </c>
      <c r="J1" t="s">
        <v>10617</v>
      </c>
      <c r="K1" t="s">
        <v>10618</v>
      </c>
      <c r="L1" t="s">
        <v>10619</v>
      </c>
    </row>
    <row r="2" spans="1:12" x14ac:dyDescent="0.25">
      <c r="A2" t="s">
        <v>4912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f>SUM(B2:H2)</f>
      </c>
      <c r="J2">
        <v>50</v>
      </c>
      <c r="K2">
        <v>50</v>
      </c>
      <c r="L2">
        <f>I2-J2-K2</f>
      </c>
    </row>
    <row r="3" spans="1:12" x14ac:dyDescent="0.25">
      <c r="A3" t="s">
        <v>5114</v>
      </c>
      <c r="B3">
        <v>0</v>
      </c>
      <c r="C3">
        <v>0</v>
      </c>
      <c r="D3">
        <v>0</v>
      </c>
      <c r="E3">
        <v>1202.5</v>
      </c>
      <c r="F3">
        <v>0</v>
      </c>
      <c r="G3">
        <v>0</v>
      </c>
      <c r="H3">
        <v>484</v>
      </c>
      <c r="I3">
        <f>SUM(B3:H3)</f>
      </c>
      <c r="J3">
        <v>50</v>
      </c>
      <c r="K3">
        <v>50</v>
      </c>
      <c r="L3">
        <f>I3-J3-K3</f>
      </c>
    </row>
    <row r="4" spans="1:12" x14ac:dyDescent="0.25">
      <c r="A4" t="s">
        <v>5178</v>
      </c>
      <c r="B4">
        <v>0</v>
      </c>
      <c r="C4">
        <v>479.5</v>
      </c>
      <c r="D4">
        <v>811.7</v>
      </c>
      <c r="E4">
        <v>0</v>
      </c>
      <c r="F4">
        <v>0</v>
      </c>
      <c r="G4">
        <v>0</v>
      </c>
      <c r="H4">
        <v>0</v>
      </c>
      <c r="I4">
        <f>SUM(B4:H4)</f>
      </c>
      <c r="J4">
        <v>50</v>
      </c>
      <c r="K4">
        <v>50</v>
      </c>
      <c r="L4">
        <f>I4-J4-K4</f>
      </c>
    </row>
    <row r="5" spans="1:12" x14ac:dyDescent="0.25">
      <c r="A5" t="s">
        <v>5209</v>
      </c>
      <c r="B5">
        <v>0</v>
      </c>
      <c r="C5">
        <v>210.4</v>
      </c>
      <c r="D5">
        <v>0</v>
      </c>
      <c r="E5">
        <v>0</v>
      </c>
      <c r="F5">
        <v>0</v>
      </c>
      <c r="G5">
        <v>0</v>
      </c>
      <c r="H5">
        <v>884</v>
      </c>
      <c r="I5">
        <f>SUM(B5:H5)</f>
      </c>
      <c r="J5">
        <v>50</v>
      </c>
      <c r="K5">
        <v>50</v>
      </c>
      <c r="L5">
        <f>I5-J5-K5</f>
      </c>
    </row>
    <row r="6" spans="1:12" x14ac:dyDescent="0.25">
      <c r="A6" t="s">
        <v>10620</v>
      </c>
      <c r="B6">
        <v>263.3</v>
      </c>
      <c r="C6">
        <v>0</v>
      </c>
      <c r="D6">
        <v>205.8</v>
      </c>
      <c r="E6">
        <v>1069.2</v>
      </c>
      <c r="F6">
        <v>0</v>
      </c>
      <c r="G6">
        <v>0</v>
      </c>
      <c r="H6">
        <v>3188.1000000000004</v>
      </c>
      <c r="I6">
        <f>SUM(B6:H6)</f>
      </c>
      <c r="J6">
        <v>50</v>
      </c>
      <c r="K6">
        <v>50</v>
      </c>
      <c r="L6">
        <f>I6-J6-K6</f>
      </c>
    </row>
    <row r="7" spans="1:12" x14ac:dyDescent="0.25">
      <c r="A7" t="s">
        <v>10621</v>
      </c>
      <c r="B7">
        <v>0</v>
      </c>
      <c r="C7">
        <v>0</v>
      </c>
      <c r="D7">
        <v>0</v>
      </c>
      <c r="E7">
        <v>1393.5</v>
      </c>
      <c r="F7">
        <v>0</v>
      </c>
      <c r="G7">
        <v>0</v>
      </c>
      <c r="H7">
        <v>4756.400000000001</v>
      </c>
      <c r="I7">
        <f>SUM(B7:H7)</f>
      </c>
      <c r="J7">
        <v>50</v>
      </c>
      <c r="K7">
        <v>50</v>
      </c>
      <c r="L7">
        <f>I7-J7-K7</f>
      </c>
    </row>
    <row r="8" spans="1:12" x14ac:dyDescent="0.25">
      <c r="A8" t="s">
        <v>10622</v>
      </c>
      <c r="B8">
        <v>0</v>
      </c>
      <c r="C8">
        <v>0</v>
      </c>
      <c r="D8">
        <v>0</v>
      </c>
      <c r="E8">
        <v>2465.9</v>
      </c>
      <c r="F8">
        <v>0</v>
      </c>
      <c r="G8">
        <v>0</v>
      </c>
      <c r="H8">
        <v>189.7</v>
      </c>
      <c r="I8">
        <f>SUM(B8:H8)</f>
      </c>
      <c r="J8">
        <v>50</v>
      </c>
      <c r="K8">
        <v>50</v>
      </c>
      <c r="L8">
        <f>I8-J8-K8</f>
      </c>
    </row>
    <row r="9" spans="1:12" x14ac:dyDescent="0.25">
      <c r="A9" t="s">
        <v>5650</v>
      </c>
      <c r="B9">
        <v>0</v>
      </c>
      <c r="C9">
        <v>309.3</v>
      </c>
      <c r="D9">
        <v>0</v>
      </c>
      <c r="E9">
        <v>0</v>
      </c>
      <c r="F9">
        <v>0</v>
      </c>
      <c r="G9">
        <v>0</v>
      </c>
      <c r="H9">
        <v>1547.6</v>
      </c>
      <c r="I9">
        <f>SUM(B9:H9)</f>
      </c>
      <c r="J9">
        <v>50</v>
      </c>
      <c r="K9">
        <v>50</v>
      </c>
      <c r="L9">
        <f>I9-J9-K9</f>
      </c>
    </row>
    <row r="10" spans="1:12" x14ac:dyDescent="0.25">
      <c r="A10" t="s">
        <v>5693</v>
      </c>
      <c r="B10">
        <v>0</v>
      </c>
      <c r="C10">
        <v>554.1</v>
      </c>
      <c r="D10">
        <v>0</v>
      </c>
      <c r="E10">
        <v>215</v>
      </c>
      <c r="F10">
        <v>0</v>
      </c>
      <c r="G10">
        <v>0</v>
      </c>
      <c r="H10">
        <v>2199.3</v>
      </c>
      <c r="I10">
        <f>SUM(B10:H10)</f>
      </c>
      <c r="J10">
        <v>50</v>
      </c>
      <c r="K10">
        <v>50</v>
      </c>
      <c r="L10">
        <f>I10-J10-K10</f>
      </c>
    </row>
    <row r="11" spans="1:12" x14ac:dyDescent="0.25">
      <c r="A11" t="s">
        <v>5785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>SUM(B11:H11)</f>
      </c>
      <c r="J11">
        <v>50</v>
      </c>
      <c r="K11">
        <v>50</v>
      </c>
      <c r="L11">
        <f>I11-J11-K11</f>
      </c>
    </row>
    <row r="12" spans="1:12" x14ac:dyDescent="0.25">
      <c r="A12" t="s">
        <v>10623</v>
      </c>
      <c r="B12">
        <v>0</v>
      </c>
      <c r="C12">
        <v>0</v>
      </c>
      <c r="D12">
        <v>0</v>
      </c>
      <c r="E12">
        <v>1964.6999999999998</v>
      </c>
      <c r="F12">
        <v>0</v>
      </c>
      <c r="G12">
        <v>0</v>
      </c>
      <c r="H12">
        <v>0</v>
      </c>
      <c r="I12">
        <f>SUM(B12:H12)</f>
      </c>
      <c r="J12">
        <v>50</v>
      </c>
      <c r="K12">
        <v>50</v>
      </c>
      <c r="L12">
        <f>I12-J12-K12</f>
      </c>
    </row>
    <row r="13" spans="1:12" x14ac:dyDescent="0.25">
      <c r="A13" t="s">
        <v>5918</v>
      </c>
      <c r="B13">
        <v>2000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f>SUM(B13:H13)</f>
      </c>
      <c r="J13">
        <v>50</v>
      </c>
      <c r="K13">
        <v>50</v>
      </c>
      <c r="L13">
        <f>I13-J13-K13</f>
      </c>
    </row>
    <row r="14" spans="1:12" x14ac:dyDescent="0.25">
      <c r="A14" t="s">
        <v>5933</v>
      </c>
      <c r="B14">
        <v>0</v>
      </c>
      <c r="C14">
        <v>370.2</v>
      </c>
      <c r="D14">
        <v>2853.4000000000005</v>
      </c>
      <c r="E14">
        <v>0</v>
      </c>
      <c r="F14">
        <v>0</v>
      </c>
      <c r="G14">
        <v>0</v>
      </c>
      <c r="H14">
        <v>0</v>
      </c>
      <c r="I14">
        <f>SUM(B14:H14)</f>
      </c>
      <c r="J14">
        <v>50</v>
      </c>
      <c r="K14">
        <v>50</v>
      </c>
      <c r="L14">
        <f>I14-J14-K14</f>
      </c>
    </row>
    <row r="15" spans="1:12" x14ac:dyDescent="0.25">
      <c r="A15" t="s">
        <v>6037</v>
      </c>
      <c r="B15">
        <v>0</v>
      </c>
      <c r="C15">
        <v>3618.99</v>
      </c>
      <c r="D15">
        <v>0</v>
      </c>
      <c r="E15">
        <v>1418.9</v>
      </c>
      <c r="F15">
        <v>0</v>
      </c>
      <c r="G15">
        <v>807.2</v>
      </c>
      <c r="H15">
        <v>4642.7</v>
      </c>
      <c r="I15">
        <f>SUM(B15:H15)</f>
      </c>
      <c r="J15">
        <v>50</v>
      </c>
      <c r="K15">
        <v>50</v>
      </c>
      <c r="L15">
        <f>I15-J15-K15</f>
      </c>
    </row>
    <row r="16" spans="1:12" x14ac:dyDescent="0.25">
      <c r="A16" t="s">
        <v>6223</v>
      </c>
      <c r="B16">
        <v>0</v>
      </c>
      <c r="C16">
        <v>272.5</v>
      </c>
      <c r="D16">
        <v>0</v>
      </c>
      <c r="E16">
        <v>505.9</v>
      </c>
      <c r="F16">
        <v>0</v>
      </c>
      <c r="G16">
        <v>0</v>
      </c>
      <c r="H16">
        <v>903.5999999999999</v>
      </c>
      <c r="I16">
        <f>SUM(B16:H16)</f>
      </c>
      <c r="J16">
        <v>50</v>
      </c>
      <c r="K16">
        <v>50</v>
      </c>
      <c r="L16">
        <f>I16-J16-K16</f>
      </c>
    </row>
    <row r="17" spans="1:12" x14ac:dyDescent="0.25">
      <c r="A17" t="s">
        <v>6280</v>
      </c>
      <c r="B17">
        <v>0</v>
      </c>
      <c r="C17">
        <v>1253.2</v>
      </c>
      <c r="D17">
        <v>3430.7000000000003</v>
      </c>
      <c r="E17">
        <v>0</v>
      </c>
      <c r="F17">
        <v>0</v>
      </c>
      <c r="G17">
        <v>0</v>
      </c>
      <c r="H17">
        <v>0</v>
      </c>
      <c r="I17">
        <f>SUM(B17:H17)</f>
      </c>
      <c r="J17">
        <v>50</v>
      </c>
      <c r="K17">
        <v>50</v>
      </c>
      <c r="L17">
        <f>I17-J17-K17</f>
      </c>
    </row>
    <row r="18" spans="1:12" x14ac:dyDescent="0.25">
      <c r="A18" t="s">
        <v>10624</v>
      </c>
      <c r="B18">
        <v>0</v>
      </c>
      <c r="C18">
        <v>111.5</v>
      </c>
      <c r="D18">
        <v>0</v>
      </c>
      <c r="E18">
        <v>4435.5999999999985</v>
      </c>
      <c r="F18">
        <v>0</v>
      </c>
      <c r="G18">
        <v>0</v>
      </c>
      <c r="H18">
        <v>828.9</v>
      </c>
      <c r="I18">
        <f>SUM(B18:H18)</f>
      </c>
      <c r="J18">
        <v>50</v>
      </c>
      <c r="K18">
        <v>50</v>
      </c>
      <c r="L18">
        <f>I18-J18-K18</f>
      </c>
    </row>
    <row r="19" spans="1:12" x14ac:dyDescent="0.25">
      <c r="A19" t="s">
        <v>6522</v>
      </c>
      <c r="B19">
        <v>0</v>
      </c>
      <c r="C19">
        <v>887.7</v>
      </c>
      <c r="D19">
        <v>5308.300000000001</v>
      </c>
      <c r="E19">
        <v>0</v>
      </c>
      <c r="F19">
        <v>0</v>
      </c>
      <c r="G19">
        <v>0</v>
      </c>
      <c r="H19">
        <v>104.6</v>
      </c>
      <c r="I19">
        <f>SUM(B19:H19)</f>
      </c>
      <c r="J19">
        <v>50</v>
      </c>
      <c r="K19">
        <v>50</v>
      </c>
      <c r="L19">
        <f>I19-J19-K19</f>
      </c>
    </row>
    <row r="20" spans="1:12" x14ac:dyDescent="0.25">
      <c r="A20" t="s">
        <v>6650</v>
      </c>
      <c r="B20">
        <v>0</v>
      </c>
      <c r="C20">
        <v>534.5</v>
      </c>
      <c r="D20">
        <v>3145.1000000000004</v>
      </c>
      <c r="E20">
        <v>0</v>
      </c>
      <c r="F20">
        <v>0</v>
      </c>
      <c r="G20">
        <v>0</v>
      </c>
      <c r="H20">
        <v>0</v>
      </c>
      <c r="I20">
        <f>SUM(B20:H20)</f>
      </c>
      <c r="J20">
        <v>50</v>
      </c>
      <c r="K20">
        <v>50</v>
      </c>
      <c r="L20">
        <f>I20-J20-K20</f>
      </c>
    </row>
    <row r="21" spans="1:12" x14ac:dyDescent="0.25">
      <c r="A21" t="s">
        <v>6794</v>
      </c>
      <c r="B21">
        <v>0</v>
      </c>
      <c r="C21">
        <v>0</v>
      </c>
      <c r="D21">
        <v>0</v>
      </c>
      <c r="E21">
        <v>0</v>
      </c>
      <c r="F21">
        <v>0</v>
      </c>
      <c r="G21">
        <v>761.1</v>
      </c>
      <c r="H21">
        <v>0</v>
      </c>
      <c r="I21">
        <f>SUM(B21:H21)</f>
      </c>
      <c r="J21">
        <v>50</v>
      </c>
      <c r="K21">
        <v>50</v>
      </c>
      <c r="L21">
        <f>I21-J21-K21</f>
      </c>
    </row>
    <row r="22" spans="1:12" x14ac:dyDescent="0.25">
      <c r="A22" t="s">
        <v>6816</v>
      </c>
      <c r="B22">
        <v>0</v>
      </c>
      <c r="C22">
        <v>200</v>
      </c>
      <c r="D22">
        <v>5338</v>
      </c>
      <c r="E22">
        <v>0</v>
      </c>
      <c r="F22">
        <v>0</v>
      </c>
      <c r="G22">
        <v>0</v>
      </c>
      <c r="H22">
        <v>189.7</v>
      </c>
      <c r="I22">
        <f>SUM(B22:H22)</f>
      </c>
      <c r="J22">
        <v>50</v>
      </c>
      <c r="K22">
        <v>50</v>
      </c>
      <c r="L22">
        <f>I22-J22-K22</f>
      </c>
    </row>
    <row r="23" spans="1:12" x14ac:dyDescent="0.25">
      <c r="A23" t="s">
        <v>10625</v>
      </c>
      <c r="B23">
        <v>0</v>
      </c>
      <c r="C23">
        <v>603.6</v>
      </c>
      <c r="D23">
        <v>0</v>
      </c>
      <c r="E23">
        <v>1802.8999999999999</v>
      </c>
      <c r="F23">
        <v>0</v>
      </c>
      <c r="G23">
        <v>0</v>
      </c>
      <c r="H23">
        <v>2506.3</v>
      </c>
      <c r="I23">
        <f>SUM(B23:H23)</f>
      </c>
      <c r="J23">
        <v>50</v>
      </c>
      <c r="K23">
        <v>50</v>
      </c>
      <c r="L23">
        <f>I23-J23-K23</f>
      </c>
    </row>
    <row r="24" spans="1:12" x14ac:dyDescent="0.25">
      <c r="A24" t="s">
        <v>7068</v>
      </c>
      <c r="B24">
        <v>0</v>
      </c>
      <c r="C24">
        <v>0</v>
      </c>
      <c r="D24">
        <v>0</v>
      </c>
      <c r="E24">
        <v>1092.1</v>
      </c>
      <c r="F24">
        <v>0</v>
      </c>
      <c r="G24">
        <v>0</v>
      </c>
      <c r="H24">
        <v>1180.5</v>
      </c>
      <c r="I24">
        <f>SUM(B24:H24)</f>
      </c>
      <c r="J24">
        <v>50</v>
      </c>
      <c r="K24">
        <v>50</v>
      </c>
      <c r="L24">
        <f>I24-J24-K24</f>
      </c>
    </row>
    <row r="25" spans="1:12" x14ac:dyDescent="0.25">
      <c r="A25" t="s">
        <v>7159</v>
      </c>
      <c r="B25">
        <v>0</v>
      </c>
      <c r="C25">
        <v>0</v>
      </c>
      <c r="D25">
        <v>2193.6000000000004</v>
      </c>
      <c r="E25">
        <v>0</v>
      </c>
      <c r="F25">
        <v>0</v>
      </c>
      <c r="G25">
        <v>0</v>
      </c>
      <c r="H25">
        <v>0</v>
      </c>
      <c r="I25">
        <f>SUM(B25:H25)</f>
      </c>
      <c r="J25">
        <v>50</v>
      </c>
      <c r="K25">
        <v>50</v>
      </c>
      <c r="L25">
        <f>I25-J25-K25</f>
      </c>
    </row>
    <row r="26" spans="1:12" x14ac:dyDescent="0.25">
      <c r="A26" t="s">
        <v>10626</v>
      </c>
      <c r="B26">
        <v>0</v>
      </c>
      <c r="C26">
        <v>0</v>
      </c>
      <c r="D26">
        <v>1001.4</v>
      </c>
      <c r="E26">
        <v>0</v>
      </c>
      <c r="F26">
        <v>0</v>
      </c>
      <c r="G26">
        <v>0</v>
      </c>
      <c r="H26">
        <v>0</v>
      </c>
      <c r="I26">
        <f>SUM(B26:H26)</f>
      </c>
      <c r="J26">
        <v>50</v>
      </c>
      <c r="K26">
        <v>50</v>
      </c>
      <c r="L26">
        <f>I26-J26-K26</f>
      </c>
    </row>
    <row r="27" spans="1:12" x14ac:dyDescent="0.25">
      <c r="A27" t="s">
        <v>7244</v>
      </c>
      <c r="B27">
        <v>0</v>
      </c>
      <c r="C27">
        <v>534.6</v>
      </c>
      <c r="D27">
        <v>0</v>
      </c>
      <c r="E27">
        <v>100</v>
      </c>
      <c r="F27">
        <v>0</v>
      </c>
      <c r="G27">
        <v>0</v>
      </c>
      <c r="H27">
        <v>3973.2999999999997</v>
      </c>
      <c r="I27">
        <f>SUM(B27:H27)</f>
      </c>
      <c r="J27">
        <v>50</v>
      </c>
      <c r="K27">
        <v>50</v>
      </c>
      <c r="L27">
        <f>I27-J27-K27</f>
      </c>
    </row>
    <row r="28" spans="1:12" x14ac:dyDescent="0.25">
      <c r="A28" t="s">
        <v>7367</v>
      </c>
      <c r="B28">
        <v>0</v>
      </c>
      <c r="C28">
        <v>0</v>
      </c>
      <c r="D28">
        <v>1590</v>
      </c>
      <c r="E28">
        <v>0</v>
      </c>
      <c r="F28">
        <v>0</v>
      </c>
      <c r="G28">
        <v>0</v>
      </c>
      <c r="H28">
        <v>0</v>
      </c>
      <c r="I28">
        <f>SUM(B28:H28)</f>
      </c>
      <c r="J28">
        <v>50</v>
      </c>
      <c r="K28">
        <v>50</v>
      </c>
      <c r="L28">
        <f>I28-J28-K28</f>
      </c>
    </row>
    <row r="29" spans="1:12" x14ac:dyDescent="0.25">
      <c r="A29" t="s">
        <v>7402</v>
      </c>
      <c r="B29">
        <v>0</v>
      </c>
      <c r="C29">
        <v>914.1</v>
      </c>
      <c r="D29">
        <v>0</v>
      </c>
      <c r="E29">
        <v>307</v>
      </c>
      <c r="F29">
        <v>0</v>
      </c>
      <c r="G29">
        <v>0</v>
      </c>
      <c r="H29">
        <v>4218.4</v>
      </c>
      <c r="I29">
        <f>SUM(B29:H29)</f>
      </c>
      <c r="J29">
        <v>50</v>
      </c>
      <c r="K29">
        <v>50</v>
      </c>
      <c r="L29">
        <f>I29-J29-K29</f>
      </c>
    </row>
    <row r="30" spans="1:12" x14ac:dyDescent="0.25">
      <c r="A30" t="s">
        <v>10627</v>
      </c>
      <c r="B30">
        <v>0</v>
      </c>
      <c r="C30">
        <v>100</v>
      </c>
      <c r="D30">
        <v>2054.3</v>
      </c>
      <c r="E30">
        <v>0</v>
      </c>
      <c r="F30">
        <v>0</v>
      </c>
      <c r="G30">
        <v>0</v>
      </c>
      <c r="H30">
        <v>0</v>
      </c>
      <c r="I30">
        <f>SUM(B30:H30)</f>
      </c>
      <c r="J30">
        <v>50</v>
      </c>
      <c r="K30">
        <v>50</v>
      </c>
      <c r="L30">
        <f>I30-J30-K30</f>
      </c>
    </row>
    <row r="31" spans="1:12" x14ac:dyDescent="0.25">
      <c r="A31" t="s">
        <v>7581</v>
      </c>
      <c r="B31">
        <v>0</v>
      </c>
      <c r="C31">
        <v>371.4</v>
      </c>
      <c r="D31">
        <v>2437.3999999999996</v>
      </c>
      <c r="E31">
        <v>0</v>
      </c>
      <c r="F31">
        <v>0</v>
      </c>
      <c r="G31">
        <v>0</v>
      </c>
      <c r="H31">
        <v>0</v>
      </c>
      <c r="I31">
        <f>SUM(B31:H31)</f>
      </c>
      <c r="J31">
        <v>50</v>
      </c>
      <c r="K31">
        <v>50</v>
      </c>
      <c r="L31">
        <f>I31-J31-K31</f>
      </c>
    </row>
    <row r="32" spans="1:12" x14ac:dyDescent="0.25">
      <c r="A32" t="s">
        <v>7647</v>
      </c>
      <c r="B32">
        <v>0</v>
      </c>
      <c r="C32">
        <v>1078.5</v>
      </c>
      <c r="D32">
        <v>0</v>
      </c>
      <c r="E32">
        <v>0</v>
      </c>
      <c r="F32">
        <v>0</v>
      </c>
      <c r="G32">
        <v>3170.9</v>
      </c>
      <c r="H32">
        <v>0</v>
      </c>
      <c r="I32">
        <f>SUM(B32:H32)</f>
      </c>
      <c r="J32">
        <v>50</v>
      </c>
      <c r="K32">
        <v>50</v>
      </c>
      <c r="L32">
        <f>I32-J32-K32</f>
      </c>
    </row>
    <row r="33" spans="1:12" x14ac:dyDescent="0.25">
      <c r="A33" t="s">
        <v>10628</v>
      </c>
      <c r="B33">
        <v>0</v>
      </c>
      <c r="C33">
        <v>129.9</v>
      </c>
      <c r="D33">
        <v>1053</v>
      </c>
      <c r="E33">
        <v>0</v>
      </c>
      <c r="F33">
        <v>0</v>
      </c>
      <c r="G33">
        <v>0</v>
      </c>
      <c r="H33">
        <v>0</v>
      </c>
      <c r="I33">
        <f>SUM(B33:H33)</f>
      </c>
      <c r="J33">
        <v>50</v>
      </c>
      <c r="K33">
        <v>50</v>
      </c>
      <c r="L33">
        <f>I33-J33-K33</f>
      </c>
    </row>
    <row r="34" spans="1:12" x14ac:dyDescent="0.25">
      <c r="A34" t="s">
        <v>10629</v>
      </c>
      <c r="B34">
        <v>0</v>
      </c>
      <c r="C34">
        <v>116.1</v>
      </c>
      <c r="D34">
        <v>0</v>
      </c>
      <c r="E34">
        <v>123</v>
      </c>
      <c r="F34">
        <v>0</v>
      </c>
      <c r="G34">
        <v>0</v>
      </c>
      <c r="H34">
        <v>2719.8</v>
      </c>
      <c r="I34">
        <f>SUM(B34:H34)</f>
      </c>
      <c r="J34">
        <v>50</v>
      </c>
      <c r="K34">
        <v>50</v>
      </c>
      <c r="L34">
        <f>I34-J34-K34</f>
      </c>
    </row>
    <row r="35" spans="1:12" x14ac:dyDescent="0.25">
      <c r="A35" t="s">
        <v>7885</v>
      </c>
      <c r="B35">
        <v>0</v>
      </c>
      <c r="C35">
        <v>395.5</v>
      </c>
      <c r="D35">
        <v>0</v>
      </c>
      <c r="E35">
        <v>267.9</v>
      </c>
      <c r="F35">
        <v>343.8</v>
      </c>
      <c r="G35">
        <v>0</v>
      </c>
      <c r="H35">
        <v>1069.3</v>
      </c>
      <c r="I35">
        <f>SUM(B35:H35)</f>
      </c>
      <c r="J35">
        <v>50</v>
      </c>
      <c r="K35">
        <v>50</v>
      </c>
      <c r="L35">
        <f>I35-J35-K35</f>
      </c>
    </row>
    <row r="36" spans="1:12" x14ac:dyDescent="0.25">
      <c r="A36" t="s">
        <v>7924</v>
      </c>
      <c r="B36">
        <v>0</v>
      </c>
      <c r="C36">
        <v>1584.4</v>
      </c>
      <c r="D36">
        <v>0</v>
      </c>
      <c r="E36">
        <v>0</v>
      </c>
      <c r="F36">
        <v>0</v>
      </c>
      <c r="G36">
        <v>2402.9999999999995</v>
      </c>
      <c r="H36">
        <v>0</v>
      </c>
      <c r="I36">
        <f>SUM(B36:H36)</f>
      </c>
      <c r="J36">
        <v>50</v>
      </c>
      <c r="K36">
        <v>50</v>
      </c>
      <c r="L36">
        <f>I36-J36-K36</f>
      </c>
    </row>
    <row r="37" spans="1:12" x14ac:dyDescent="0.25">
      <c r="A37" t="s">
        <v>10630</v>
      </c>
      <c r="B37">
        <v>0</v>
      </c>
      <c r="C37">
        <v>1424.6999999999998</v>
      </c>
      <c r="D37">
        <v>0</v>
      </c>
      <c r="E37">
        <v>676</v>
      </c>
      <c r="F37">
        <v>0</v>
      </c>
      <c r="G37">
        <v>0</v>
      </c>
      <c r="H37">
        <v>1078.4</v>
      </c>
      <c r="I37">
        <f>SUM(B37:H37)</f>
      </c>
      <c r="J37">
        <v>50</v>
      </c>
      <c r="K37">
        <v>50</v>
      </c>
      <c r="L37">
        <f>I37-J37-K37</f>
      </c>
    </row>
    <row r="38" spans="1:12" x14ac:dyDescent="0.25">
      <c r="A38" t="s">
        <v>10631</v>
      </c>
      <c r="B38">
        <v>0</v>
      </c>
      <c r="C38">
        <v>106.9</v>
      </c>
      <c r="D38">
        <v>0</v>
      </c>
      <c r="E38">
        <v>0</v>
      </c>
      <c r="F38">
        <v>0</v>
      </c>
      <c r="G38">
        <v>0</v>
      </c>
      <c r="H38">
        <v>1442.8</v>
      </c>
      <c r="I38">
        <f>SUM(B38:H38)</f>
      </c>
      <c r="J38">
        <v>50</v>
      </c>
      <c r="K38">
        <v>50</v>
      </c>
      <c r="L38">
        <f>I38-J38-K38</f>
      </c>
    </row>
    <row r="39" spans="1:12" x14ac:dyDescent="0.25">
      <c r="A39" t="s">
        <v>8109</v>
      </c>
      <c r="B39">
        <v>0</v>
      </c>
      <c r="C39">
        <v>213.8</v>
      </c>
      <c r="D39">
        <v>1885.3999999999999</v>
      </c>
      <c r="E39">
        <v>0</v>
      </c>
      <c r="F39">
        <v>0</v>
      </c>
      <c r="G39">
        <v>0</v>
      </c>
      <c r="H39">
        <v>0</v>
      </c>
      <c r="I39">
        <f>SUM(B39:H39)</f>
      </c>
      <c r="J39">
        <v>50</v>
      </c>
      <c r="K39">
        <v>50</v>
      </c>
      <c r="L39">
        <f>I39-J39-K39</f>
      </c>
    </row>
    <row r="40" spans="1:12" x14ac:dyDescent="0.25">
      <c r="A40" t="s">
        <v>8172</v>
      </c>
      <c r="B40">
        <v>0</v>
      </c>
      <c r="C40">
        <v>0</v>
      </c>
      <c r="D40">
        <v>0</v>
      </c>
      <c r="E40">
        <v>0</v>
      </c>
      <c r="F40">
        <v>0</v>
      </c>
      <c r="G40">
        <v>330</v>
      </c>
      <c r="H40">
        <v>0</v>
      </c>
      <c r="I40">
        <f>SUM(B40:H40)</f>
      </c>
      <c r="J40">
        <v>50</v>
      </c>
      <c r="K40">
        <v>50</v>
      </c>
      <c r="L40">
        <f>I40-J40-K40</f>
      </c>
    </row>
    <row r="41" spans="1:12" x14ac:dyDescent="0.25">
      <c r="A41" t="s">
        <v>8180</v>
      </c>
      <c r="B41">
        <v>0</v>
      </c>
      <c r="C41">
        <v>256.4</v>
      </c>
      <c r="D41">
        <v>0</v>
      </c>
      <c r="E41">
        <v>0</v>
      </c>
      <c r="F41">
        <v>0</v>
      </c>
      <c r="G41">
        <v>0</v>
      </c>
      <c r="H41">
        <v>815.2</v>
      </c>
      <c r="I41">
        <f>SUM(B41:H41)</f>
      </c>
      <c r="J41">
        <v>50</v>
      </c>
      <c r="K41">
        <v>50</v>
      </c>
      <c r="L41">
        <f>I41-J41-K41</f>
      </c>
    </row>
    <row r="42" spans="1:12" x14ac:dyDescent="0.25">
      <c r="A42" t="s">
        <v>10632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f>SUM(B42:H42)</f>
      </c>
      <c r="J42">
        <v>50</v>
      </c>
      <c r="K42">
        <v>50</v>
      </c>
      <c r="L42">
        <f>I42-J42-K42</f>
      </c>
    </row>
    <row r="43" spans="1:12" x14ac:dyDescent="0.25">
      <c r="A43" t="s">
        <v>8269</v>
      </c>
      <c r="B43">
        <v>0</v>
      </c>
      <c r="C43">
        <v>2966.9599999999996</v>
      </c>
      <c r="D43">
        <v>551.9</v>
      </c>
      <c r="E43">
        <v>0</v>
      </c>
      <c r="F43">
        <v>0</v>
      </c>
      <c r="G43">
        <v>1249.9</v>
      </c>
      <c r="H43">
        <v>1301.5</v>
      </c>
      <c r="I43">
        <f>SUM(B43:H43)</f>
      </c>
      <c r="J43">
        <v>50</v>
      </c>
      <c r="K43">
        <v>50</v>
      </c>
      <c r="L43">
        <f>I43-J43-K43</f>
      </c>
    </row>
    <row r="44" spans="1:12" x14ac:dyDescent="0.25">
      <c r="A44" t="s">
        <v>10633</v>
      </c>
      <c r="B44">
        <v>200</v>
      </c>
      <c r="C44">
        <v>1878.2999999999997</v>
      </c>
      <c r="D44">
        <v>0</v>
      </c>
      <c r="E44">
        <v>0</v>
      </c>
      <c r="F44">
        <v>0</v>
      </c>
      <c r="G44">
        <v>0</v>
      </c>
      <c r="H44">
        <v>2358.1</v>
      </c>
      <c r="I44">
        <f>SUM(B44:H44)</f>
      </c>
      <c r="J44">
        <v>50</v>
      </c>
      <c r="K44">
        <v>50</v>
      </c>
      <c r="L44">
        <f>I44-J44-K44</f>
      </c>
    </row>
    <row r="45" spans="1:12" x14ac:dyDescent="0.25">
      <c r="A45" t="s">
        <v>8438</v>
      </c>
      <c r="B45">
        <v>0</v>
      </c>
      <c r="C45">
        <v>100</v>
      </c>
      <c r="D45">
        <v>1703.6999999999998</v>
      </c>
      <c r="E45">
        <v>180.5</v>
      </c>
      <c r="F45">
        <v>0</v>
      </c>
      <c r="G45">
        <v>0</v>
      </c>
      <c r="H45">
        <v>0</v>
      </c>
      <c r="I45">
        <f>SUM(B45:H45)</f>
      </c>
      <c r="J45">
        <v>50</v>
      </c>
      <c r="K45">
        <v>50</v>
      </c>
      <c r="L45">
        <f>I45-J45-K45</f>
      </c>
    </row>
    <row r="46" spans="1:12" x14ac:dyDescent="0.25">
      <c r="A46" t="s">
        <v>10634</v>
      </c>
      <c r="B46">
        <v>0</v>
      </c>
      <c r="C46">
        <v>370.2</v>
      </c>
      <c r="D46">
        <v>0</v>
      </c>
      <c r="E46">
        <v>0</v>
      </c>
      <c r="F46">
        <v>369.1</v>
      </c>
      <c r="G46">
        <v>0</v>
      </c>
      <c r="H46">
        <v>3616.1</v>
      </c>
      <c r="I46">
        <f>SUM(B46:H46)</f>
      </c>
      <c r="J46">
        <v>50</v>
      </c>
      <c r="K46">
        <v>50</v>
      </c>
      <c r="L46">
        <f>I46-J46-K46</f>
      </c>
    </row>
    <row r="47" spans="1:12" x14ac:dyDescent="0.25">
      <c r="A47" t="s">
        <v>10635</v>
      </c>
      <c r="B47">
        <v>0</v>
      </c>
      <c r="C47">
        <v>157.5</v>
      </c>
      <c r="D47">
        <v>0</v>
      </c>
      <c r="E47">
        <v>0</v>
      </c>
      <c r="F47">
        <v>0</v>
      </c>
      <c r="G47">
        <v>887.6000000000001</v>
      </c>
      <c r="H47">
        <v>0</v>
      </c>
      <c r="I47">
        <f>SUM(B47:H47)</f>
      </c>
      <c r="J47">
        <v>50</v>
      </c>
      <c r="K47">
        <v>50</v>
      </c>
      <c r="L47">
        <f>I47-J47-K47</f>
      </c>
    </row>
    <row r="48" spans="1:12" x14ac:dyDescent="0.25">
      <c r="A48" t="s">
        <v>8606</v>
      </c>
      <c r="B48">
        <v>0</v>
      </c>
      <c r="C48">
        <v>545</v>
      </c>
      <c r="D48">
        <v>0</v>
      </c>
      <c r="E48">
        <v>0</v>
      </c>
      <c r="F48">
        <v>0</v>
      </c>
      <c r="G48">
        <v>3333.2000000000003</v>
      </c>
      <c r="H48">
        <v>0</v>
      </c>
      <c r="I48">
        <f>SUM(B48:H48)</f>
      </c>
      <c r="J48">
        <v>50</v>
      </c>
      <c r="K48">
        <v>50</v>
      </c>
      <c r="L48">
        <f>I48-J48-K48</f>
      </c>
    </row>
    <row r="49" spans="1:12" x14ac:dyDescent="0.25">
      <c r="A49" t="s">
        <v>8682</v>
      </c>
      <c r="B49">
        <v>0</v>
      </c>
      <c r="C49">
        <v>589.8</v>
      </c>
      <c r="D49">
        <v>0</v>
      </c>
      <c r="E49">
        <v>210.4</v>
      </c>
      <c r="F49">
        <v>0</v>
      </c>
      <c r="G49">
        <v>3965.4</v>
      </c>
      <c r="H49">
        <v>0</v>
      </c>
      <c r="I49">
        <f>SUM(B49:H49)</f>
      </c>
      <c r="J49">
        <v>50</v>
      </c>
      <c r="K49">
        <v>50</v>
      </c>
      <c r="L49">
        <f>I49-J49-K49</f>
      </c>
    </row>
    <row r="50" spans="1:12" x14ac:dyDescent="0.25">
      <c r="A50" t="s">
        <v>8786</v>
      </c>
      <c r="B50">
        <v>532.3</v>
      </c>
      <c r="C50">
        <v>1266.9</v>
      </c>
      <c r="D50">
        <v>2262.3</v>
      </c>
      <c r="E50">
        <v>0</v>
      </c>
      <c r="F50">
        <v>0</v>
      </c>
      <c r="G50">
        <v>0</v>
      </c>
      <c r="H50">
        <v>0</v>
      </c>
      <c r="I50">
        <f>SUM(B50:H50)</f>
      </c>
      <c r="J50">
        <v>50</v>
      </c>
      <c r="K50">
        <v>50</v>
      </c>
      <c r="L50">
        <f>I50-J50-K50</f>
      </c>
    </row>
    <row r="51" spans="1:12" x14ac:dyDescent="0.25">
      <c r="A51" t="s">
        <v>8909</v>
      </c>
      <c r="B51">
        <v>0</v>
      </c>
      <c r="C51">
        <v>1461.4</v>
      </c>
      <c r="D51">
        <v>0</v>
      </c>
      <c r="E51">
        <v>0</v>
      </c>
      <c r="F51">
        <v>0</v>
      </c>
      <c r="G51">
        <v>2391.4</v>
      </c>
      <c r="H51">
        <v>0</v>
      </c>
      <c r="I51">
        <f>SUM(B51:H51)</f>
      </c>
      <c r="J51">
        <v>50</v>
      </c>
      <c r="K51">
        <v>50</v>
      </c>
      <c r="L51">
        <f>I51-J51-K51</f>
      </c>
    </row>
    <row r="52" spans="1:12" x14ac:dyDescent="0.25">
      <c r="A52" t="s">
        <v>8983</v>
      </c>
      <c r="B52">
        <v>100</v>
      </c>
      <c r="C52">
        <v>515</v>
      </c>
      <c r="D52">
        <v>0</v>
      </c>
      <c r="E52">
        <v>2155.2</v>
      </c>
      <c r="F52">
        <v>0</v>
      </c>
      <c r="G52">
        <v>0</v>
      </c>
      <c r="H52">
        <v>2407.1000000000004</v>
      </c>
      <c r="I52">
        <f>SUM(B52:H52)</f>
      </c>
      <c r="J52">
        <v>50</v>
      </c>
      <c r="K52">
        <v>50</v>
      </c>
      <c r="L52">
        <f>I52-J52-K52</f>
      </c>
    </row>
    <row r="53" spans="1:12" x14ac:dyDescent="0.25">
      <c r="A53" t="s">
        <v>10636</v>
      </c>
      <c r="B53">
        <v>0</v>
      </c>
      <c r="C53">
        <v>0</v>
      </c>
      <c r="D53">
        <v>0</v>
      </c>
      <c r="E53">
        <v>3188.2</v>
      </c>
      <c r="F53">
        <v>0</v>
      </c>
      <c r="G53">
        <v>0</v>
      </c>
      <c r="H53">
        <v>0</v>
      </c>
      <c r="I53">
        <f>SUM(B53:H53)</f>
      </c>
      <c r="J53">
        <v>50</v>
      </c>
      <c r="K53">
        <v>50</v>
      </c>
      <c r="L53">
        <f>I53-J53-K53</f>
      </c>
    </row>
    <row r="54" spans="1:12" x14ac:dyDescent="0.25">
      <c r="A54" t="s">
        <v>9247</v>
      </c>
      <c r="B54">
        <v>0</v>
      </c>
      <c r="C54">
        <v>344.9</v>
      </c>
      <c r="D54">
        <v>2845.2999999999997</v>
      </c>
      <c r="E54">
        <v>0</v>
      </c>
      <c r="F54">
        <v>0</v>
      </c>
      <c r="G54">
        <v>0</v>
      </c>
      <c r="H54">
        <v>0</v>
      </c>
      <c r="I54">
        <f>SUM(B54:H54)</f>
      </c>
      <c r="J54">
        <v>50</v>
      </c>
      <c r="K54">
        <v>50</v>
      </c>
      <c r="L54">
        <f>I54-J54-K54</f>
      </c>
    </row>
    <row r="55" spans="1:12" x14ac:dyDescent="0.25">
      <c r="A55" t="s">
        <v>10637</v>
      </c>
      <c r="B55">
        <v>0</v>
      </c>
      <c r="C55">
        <v>232.2</v>
      </c>
      <c r="D55">
        <v>0</v>
      </c>
      <c r="E55">
        <v>0</v>
      </c>
      <c r="F55">
        <v>0</v>
      </c>
      <c r="G55">
        <v>1722.0999999999997</v>
      </c>
      <c r="H55">
        <v>0</v>
      </c>
      <c r="I55">
        <f>SUM(B55:H55)</f>
      </c>
      <c r="J55">
        <v>50</v>
      </c>
      <c r="K55">
        <v>50</v>
      </c>
      <c r="L55">
        <f>I55-J55-K55</f>
      </c>
    </row>
    <row r="56" spans="1:12" x14ac:dyDescent="0.25">
      <c r="A56" t="s">
        <v>10638</v>
      </c>
      <c r="B56">
        <v>0</v>
      </c>
      <c r="C56">
        <v>646.0999999999999</v>
      </c>
      <c r="D56">
        <v>205.8</v>
      </c>
      <c r="E56">
        <v>1516.5</v>
      </c>
      <c r="F56">
        <v>0</v>
      </c>
      <c r="G56">
        <v>0</v>
      </c>
      <c r="H56">
        <v>2907.5999999999995</v>
      </c>
      <c r="I56">
        <f>SUM(B56:H56)</f>
      </c>
      <c r="J56">
        <v>50</v>
      </c>
      <c r="K56">
        <v>50</v>
      </c>
      <c r="L56">
        <f>I56-J56-K56</f>
      </c>
    </row>
    <row r="57" spans="1:12" x14ac:dyDescent="0.25">
      <c r="A57" t="s">
        <v>9512</v>
      </c>
      <c r="B57">
        <v>1500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f>SUM(B57:H57)</f>
      </c>
      <c r="J57">
        <v>50</v>
      </c>
      <c r="K57">
        <v>50</v>
      </c>
      <c r="L57">
        <f>I57-J57-K57</f>
      </c>
    </row>
    <row r="58" spans="1:12" x14ac:dyDescent="0.25">
      <c r="A58" t="s">
        <v>9523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f>SUM(B58:H58)</f>
      </c>
      <c r="J58">
        <v>50</v>
      </c>
      <c r="K58">
        <v>50</v>
      </c>
      <c r="L58">
        <f>I58-J58-K58</f>
      </c>
    </row>
    <row r="59" spans="1:12" x14ac:dyDescent="0.25">
      <c r="A59" t="s">
        <v>10639</v>
      </c>
      <c r="B59">
        <v>0</v>
      </c>
      <c r="C59">
        <v>221.9</v>
      </c>
      <c r="D59">
        <v>590.9000000000001</v>
      </c>
      <c r="E59">
        <v>113.8</v>
      </c>
      <c r="F59">
        <v>0</v>
      </c>
      <c r="G59">
        <v>0</v>
      </c>
      <c r="H59">
        <v>714</v>
      </c>
      <c r="I59">
        <f>SUM(B59:H59)</f>
      </c>
      <c r="J59">
        <v>50</v>
      </c>
      <c r="K59">
        <v>50</v>
      </c>
      <c r="L59">
        <f>I59-J59-K59</f>
      </c>
    </row>
    <row r="60" spans="1:12" x14ac:dyDescent="0.25">
      <c r="A60" t="s">
        <v>10640</v>
      </c>
      <c r="B60">
        <v>520.9</v>
      </c>
      <c r="C60">
        <v>324.2</v>
      </c>
      <c r="D60">
        <v>0</v>
      </c>
      <c r="E60">
        <v>261</v>
      </c>
      <c r="F60">
        <v>0</v>
      </c>
      <c r="G60">
        <v>0</v>
      </c>
      <c r="H60">
        <v>2650.2000000000007</v>
      </c>
      <c r="I60">
        <f>SUM(B60:H60)</f>
      </c>
      <c r="J60">
        <v>50</v>
      </c>
      <c r="K60">
        <v>50</v>
      </c>
      <c r="L60">
        <f>I60-J60-K60</f>
      </c>
    </row>
    <row r="61" spans="1:12" x14ac:dyDescent="0.25">
      <c r="A61" t="s">
        <v>9641</v>
      </c>
      <c r="B61">
        <v>0</v>
      </c>
      <c r="C61">
        <v>0</v>
      </c>
      <c r="D61">
        <v>0</v>
      </c>
      <c r="E61">
        <v>3718.4000000000005</v>
      </c>
      <c r="F61">
        <v>0</v>
      </c>
      <c r="G61">
        <v>0</v>
      </c>
      <c r="H61">
        <v>0</v>
      </c>
      <c r="I61">
        <f>SUM(B61:H61)</f>
      </c>
      <c r="J61">
        <v>50</v>
      </c>
      <c r="K61">
        <v>50</v>
      </c>
      <c r="L61">
        <f>I61-J61-K61</f>
      </c>
    </row>
    <row r="62" spans="1:12" x14ac:dyDescent="0.25">
      <c r="A62" t="s">
        <v>9706</v>
      </c>
      <c r="B62">
        <v>0</v>
      </c>
      <c r="C62">
        <v>0</v>
      </c>
      <c r="D62">
        <v>2315.2999999999997</v>
      </c>
      <c r="E62">
        <v>0</v>
      </c>
      <c r="F62">
        <v>0</v>
      </c>
      <c r="G62">
        <v>0</v>
      </c>
      <c r="H62">
        <v>0</v>
      </c>
      <c r="I62">
        <f>SUM(B62:H62)</f>
      </c>
      <c r="J62">
        <v>50</v>
      </c>
      <c r="K62">
        <v>50</v>
      </c>
      <c r="L62">
        <f>I62-J62-K62</f>
      </c>
    </row>
    <row r="63" spans="1:12" x14ac:dyDescent="0.25">
      <c r="A63" t="s">
        <v>9768</v>
      </c>
      <c r="B63">
        <v>0</v>
      </c>
      <c r="C63">
        <v>0</v>
      </c>
      <c r="D63">
        <v>0</v>
      </c>
      <c r="E63">
        <v>5260.000000000001</v>
      </c>
      <c r="F63">
        <v>0</v>
      </c>
      <c r="G63">
        <v>0</v>
      </c>
      <c r="H63">
        <v>0</v>
      </c>
      <c r="I63">
        <f>SUM(B63:H63)</f>
      </c>
      <c r="J63">
        <v>50</v>
      </c>
      <c r="K63">
        <v>50</v>
      </c>
      <c r="L63">
        <f>I63-J63-K63</f>
      </c>
    </row>
    <row r="64" spans="1:12" x14ac:dyDescent="0.25">
      <c r="A64" t="s">
        <v>10641</v>
      </c>
      <c r="B64">
        <v>0</v>
      </c>
      <c r="C64">
        <v>428.8</v>
      </c>
      <c r="D64">
        <v>2194.6</v>
      </c>
      <c r="E64">
        <v>0</v>
      </c>
      <c r="F64">
        <v>0</v>
      </c>
      <c r="G64">
        <v>0</v>
      </c>
      <c r="H64">
        <v>0</v>
      </c>
      <c r="I64">
        <f>SUM(B64:H64)</f>
      </c>
      <c r="J64">
        <v>50</v>
      </c>
      <c r="K64">
        <v>50</v>
      </c>
      <c r="L64">
        <f>I64-J64-K64</f>
      </c>
    </row>
    <row r="65" spans="1:12" x14ac:dyDescent="0.25">
      <c r="A65" t="s">
        <v>10642</v>
      </c>
      <c r="B65">
        <v>0</v>
      </c>
      <c r="C65">
        <v>493.2</v>
      </c>
      <c r="D65">
        <v>3950.3</v>
      </c>
      <c r="E65">
        <v>0</v>
      </c>
      <c r="F65">
        <v>0</v>
      </c>
      <c r="G65">
        <v>0</v>
      </c>
      <c r="H65">
        <v>0</v>
      </c>
      <c r="I65">
        <f>SUM(B65:H65)</f>
      </c>
      <c r="J65">
        <v>50</v>
      </c>
      <c r="K65">
        <v>50</v>
      </c>
      <c r="L65">
        <f>I65-J65-K65</f>
      </c>
    </row>
    <row r="66" spans="1:12" x14ac:dyDescent="0.25">
      <c r="A66" t="s">
        <v>10141</v>
      </c>
      <c r="B66">
        <v>0</v>
      </c>
      <c r="C66">
        <v>526.5</v>
      </c>
      <c r="D66">
        <v>3047.5</v>
      </c>
      <c r="E66">
        <v>0</v>
      </c>
      <c r="F66">
        <v>0</v>
      </c>
      <c r="G66">
        <v>0</v>
      </c>
      <c r="H66">
        <v>0</v>
      </c>
      <c r="I66">
        <f>SUM(B66:H66)</f>
      </c>
      <c r="J66">
        <v>50</v>
      </c>
      <c r="K66">
        <v>50</v>
      </c>
      <c r="L66">
        <f>I66-J66-K66</f>
      </c>
    </row>
    <row r="67" spans="1:12" x14ac:dyDescent="0.25">
      <c r="A67" t="s">
        <v>10255</v>
      </c>
      <c r="B67">
        <v>0</v>
      </c>
      <c r="C67">
        <v>622</v>
      </c>
      <c r="D67">
        <v>3916.9000000000005</v>
      </c>
      <c r="E67">
        <v>0</v>
      </c>
      <c r="F67">
        <v>0</v>
      </c>
      <c r="G67">
        <v>0</v>
      </c>
      <c r="H67">
        <v>0</v>
      </c>
      <c r="I67">
        <f>SUM(B67:H67)</f>
      </c>
      <c r="J67">
        <v>50</v>
      </c>
      <c r="K67">
        <v>50</v>
      </c>
      <c r="L67">
        <f>I67-J67-K67</f>
      </c>
    </row>
    <row r="68" spans="1:12" x14ac:dyDescent="0.25">
      <c r="A68" t="s">
        <v>10366</v>
      </c>
      <c r="B68">
        <v>1500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f>SUM(B68:H68)</f>
      </c>
      <c r="J68">
        <v>50</v>
      </c>
      <c r="K68">
        <v>50</v>
      </c>
      <c r="L68">
        <f>I68-J68-K68</f>
      </c>
    </row>
    <row r="69" spans="1:12" x14ac:dyDescent="0.25">
      <c r="A69" t="s">
        <v>10370</v>
      </c>
      <c r="B69">
        <v>0</v>
      </c>
      <c r="C69">
        <v>100</v>
      </c>
      <c r="D69">
        <v>0</v>
      </c>
      <c r="E69">
        <v>134.5</v>
      </c>
      <c r="F69">
        <v>0</v>
      </c>
      <c r="G69">
        <v>0</v>
      </c>
      <c r="H69">
        <v>1849.6</v>
      </c>
      <c r="I69">
        <f>SUM(B69:H69)</f>
      </c>
      <c r="J69">
        <v>50</v>
      </c>
      <c r="K69">
        <v>50</v>
      </c>
      <c r="L69">
        <f>I69-J69-K69</f>
      </c>
    </row>
    <row r="70" spans="1:12" x14ac:dyDescent="0.25">
      <c r="A70" t="s">
        <v>10643</v>
      </c>
      <c r="B70">
        <v>0</v>
      </c>
      <c r="C70">
        <v>325.4</v>
      </c>
      <c r="D70">
        <v>0</v>
      </c>
      <c r="E70">
        <v>758.7</v>
      </c>
      <c r="F70">
        <v>0</v>
      </c>
      <c r="G70">
        <v>0</v>
      </c>
      <c r="H70">
        <v>3648.1000000000004</v>
      </c>
      <c r="I70">
        <f>SUM(B70:H70)</f>
      </c>
      <c r="J70">
        <v>50</v>
      </c>
      <c r="K70">
        <v>50</v>
      </c>
      <c r="L70">
        <f>I70-J70-K70</f>
      </c>
    </row>
    <row r="71" spans="1:12" x14ac:dyDescent="0.25">
      <c r="A71" t="s">
        <v>10542</v>
      </c>
      <c r="B71">
        <v>0</v>
      </c>
      <c r="C71">
        <v>0</v>
      </c>
      <c r="D71">
        <v>0</v>
      </c>
      <c r="E71">
        <v>1951.8</v>
      </c>
      <c r="F71">
        <v>0</v>
      </c>
      <c r="G71">
        <v>0</v>
      </c>
      <c r="H71">
        <v>0</v>
      </c>
      <c r="I71">
        <f>SUM(B71:H71)</f>
      </c>
      <c r="J71">
        <v>50</v>
      </c>
      <c r="K71">
        <v>50</v>
      </c>
      <c r="L71">
        <f>I71-J71-K71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Platform Nov 4-6 2025</vt:lpstr>
      <vt:lpstr>Glovo Raw Nov 4-6 2025</vt:lpstr>
      <vt:lpstr>Auditing Nov 4-6 2025</vt:lpstr>
      <vt:lpstr>Payment Summary Nov 4-6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2026-04-16T18:20:38Z</dcterms:created>
  <dcterms:modified xsi:type="dcterms:W3CDTF">2026-04-16T18:20:38Z</dcterms:modified>
</cp:coreProperties>
</file>